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Archana Bhoi\Data Analytics PBI\Zaree Store Sales\"/>
    </mc:Choice>
  </mc:AlternateContent>
  <xr:revisionPtr revIDLastSave="0" documentId="13_ncr:1_{E2248680-3D4C-481D-A219-9C64306F4E81}" xr6:coauthVersionLast="47" xr6:coauthVersionMax="47" xr10:uidLastSave="{00000000-0000-0000-0000-000000000000}"/>
  <bookViews>
    <workbookView xWindow="0" yWindow="360" windowWidth="23256" windowHeight="12456" firstSheet="9" activeTab="13" xr2:uid="{00000000-000D-0000-FFFF-FFFF00000000}"/>
  </bookViews>
  <sheets>
    <sheet name="Raw_Data" sheetId="1" r:id="rId1"/>
    <sheet name="Sales by Category" sheetId="4" r:id="rId2"/>
    <sheet name="Top 5 performing Brands" sheetId="6" r:id="rId3"/>
    <sheet name="Top 5 Selling products" sheetId="7" r:id="rId4"/>
    <sheet name="Best Performing cities" sheetId="8" r:id="rId5"/>
    <sheet name="Ocassion driving sales" sheetId="9" r:id="rId6"/>
    <sheet name="Profit generating Channel" sheetId="10" r:id="rId7"/>
    <sheet name="Discount VS Sales" sheetId="11" r:id="rId8"/>
    <sheet name="Month wise Sales" sheetId="12" r:id="rId9"/>
    <sheet name="Peak hours" sheetId="13" r:id="rId10"/>
    <sheet name="Loss Transactions" sheetId="14" r:id="rId11"/>
    <sheet name="Sales by customer Aquisition " sheetId="16" r:id="rId12"/>
    <sheet name="Gender  - City Wise" sheetId="17" r:id="rId13"/>
    <sheet name="Dashboard" sheetId="3" r:id="rId14"/>
  </sheets>
  <definedNames>
    <definedName name="Slicer_Category">#N/A</definedName>
    <definedName name="Slicer_City">#N/A</definedName>
    <definedName name="Slicer_Gender">#N/A</definedName>
    <definedName name="Slicer_Payment_Method">#N/A</definedName>
  </definedNames>
  <calcPr calcId="191029"/>
  <pivotCaches>
    <pivotCache cacheId="56" r:id="rId15"/>
    <pivotCache cacheId="71"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R5" i="3"/>
  <c r="N5" i="3"/>
  <c r="J5" i="3"/>
  <c r="F5" i="3"/>
  <c r="B5" i="3"/>
  <c r="V2" i="1"/>
  <c r="W2" i="1" s="1"/>
  <c r="V3" i="1"/>
  <c r="W3" i="1" s="1"/>
  <c r="V4" i="1"/>
  <c r="W4" i="1" s="1"/>
  <c r="V5" i="1"/>
  <c r="W5" i="1" s="1"/>
  <c r="V6" i="1"/>
  <c r="W6" i="1" s="1"/>
  <c r="V7" i="1"/>
  <c r="W7" i="1" s="1"/>
  <c r="V8" i="1"/>
  <c r="W8" i="1" s="1"/>
  <c r="V9" i="1"/>
  <c r="W9" i="1" s="1"/>
  <c r="V10" i="1"/>
  <c r="W10" i="1" s="1"/>
  <c r="V11" i="1"/>
  <c r="W11" i="1" s="1"/>
  <c r="V12" i="1"/>
  <c r="W12" i="1" s="1"/>
  <c r="V13" i="1"/>
  <c r="W13" i="1" s="1"/>
  <c r="V14" i="1"/>
  <c r="W14" i="1" s="1"/>
  <c r="V15" i="1"/>
  <c r="W15" i="1" s="1"/>
  <c r="V16" i="1"/>
  <c r="W16" i="1" s="1"/>
  <c r="V17" i="1"/>
  <c r="W17" i="1" s="1"/>
  <c r="V18" i="1"/>
  <c r="W18" i="1" s="1"/>
  <c r="V19" i="1"/>
  <c r="W19" i="1" s="1"/>
  <c r="V20" i="1"/>
  <c r="W20" i="1" s="1"/>
  <c r="V21" i="1"/>
  <c r="W21" i="1" s="1"/>
  <c r="V22" i="1"/>
  <c r="W22" i="1" s="1"/>
  <c r="V23" i="1"/>
  <c r="W23" i="1" s="1"/>
  <c r="V24" i="1"/>
  <c r="W24" i="1" s="1"/>
  <c r="V25" i="1"/>
  <c r="W25" i="1" s="1"/>
  <c r="V26" i="1"/>
  <c r="W26" i="1" s="1"/>
  <c r="V27" i="1"/>
  <c r="W27" i="1" s="1"/>
  <c r="V28" i="1"/>
  <c r="W28" i="1" s="1"/>
  <c r="V29" i="1"/>
  <c r="W29" i="1" s="1"/>
  <c r="V30" i="1"/>
  <c r="W30" i="1" s="1"/>
  <c r="V31" i="1"/>
  <c r="W31" i="1" s="1"/>
  <c r="V32" i="1"/>
  <c r="W32" i="1" s="1"/>
  <c r="V33" i="1"/>
  <c r="W33" i="1" s="1"/>
  <c r="V34" i="1"/>
  <c r="W34" i="1" s="1"/>
  <c r="V35" i="1"/>
  <c r="W35" i="1" s="1"/>
  <c r="V36" i="1"/>
  <c r="W36" i="1" s="1"/>
  <c r="V37" i="1"/>
  <c r="W37" i="1" s="1"/>
  <c r="V38" i="1"/>
  <c r="W38" i="1" s="1"/>
  <c r="V39" i="1"/>
  <c r="W39" i="1" s="1"/>
  <c r="V40" i="1"/>
  <c r="W40" i="1" s="1"/>
  <c r="V41" i="1"/>
  <c r="W41" i="1" s="1"/>
  <c r="V42" i="1"/>
  <c r="W42" i="1" s="1"/>
  <c r="V43" i="1"/>
  <c r="W43" i="1" s="1"/>
  <c r="V44" i="1"/>
  <c r="W44" i="1" s="1"/>
  <c r="V45" i="1"/>
  <c r="W45" i="1" s="1"/>
  <c r="V46" i="1"/>
  <c r="W46" i="1" s="1"/>
  <c r="V47" i="1"/>
  <c r="W47" i="1" s="1"/>
  <c r="V48" i="1"/>
  <c r="W48" i="1" s="1"/>
  <c r="V49" i="1"/>
  <c r="W49" i="1" s="1"/>
  <c r="V50" i="1"/>
  <c r="W50" i="1" s="1"/>
  <c r="V51" i="1"/>
  <c r="W51" i="1" s="1"/>
  <c r="V52" i="1"/>
  <c r="W52" i="1" s="1"/>
  <c r="V53" i="1"/>
  <c r="W53" i="1" s="1"/>
  <c r="V54" i="1"/>
  <c r="W54" i="1" s="1"/>
  <c r="V55" i="1"/>
  <c r="W55" i="1" s="1"/>
  <c r="V56" i="1"/>
  <c r="W56" i="1" s="1"/>
  <c r="V57" i="1"/>
  <c r="W57" i="1" s="1"/>
  <c r="V58" i="1"/>
  <c r="W58" i="1" s="1"/>
  <c r="V59" i="1"/>
  <c r="W59" i="1" s="1"/>
  <c r="V60" i="1"/>
  <c r="W60" i="1" s="1"/>
  <c r="V61" i="1"/>
  <c r="W61" i="1" s="1"/>
  <c r="V62" i="1"/>
  <c r="W62" i="1" s="1"/>
  <c r="V63" i="1"/>
  <c r="W63" i="1" s="1"/>
  <c r="V64" i="1"/>
  <c r="W64" i="1" s="1"/>
  <c r="V65" i="1"/>
  <c r="W65" i="1" s="1"/>
  <c r="V66" i="1"/>
  <c r="W66" i="1" s="1"/>
  <c r="V67" i="1"/>
  <c r="W67" i="1" s="1"/>
  <c r="V68" i="1"/>
  <c r="W68" i="1" s="1"/>
  <c r="V69" i="1"/>
  <c r="W69" i="1" s="1"/>
  <c r="V70" i="1"/>
  <c r="W70" i="1" s="1"/>
  <c r="V71" i="1"/>
  <c r="W71" i="1" s="1"/>
  <c r="V72" i="1"/>
  <c r="W72" i="1" s="1"/>
  <c r="V73" i="1"/>
  <c r="W73" i="1" s="1"/>
  <c r="V74" i="1"/>
  <c r="W74" i="1" s="1"/>
  <c r="V75" i="1"/>
  <c r="W75" i="1" s="1"/>
  <c r="V76" i="1"/>
  <c r="W76" i="1" s="1"/>
  <c r="V77" i="1"/>
  <c r="W77" i="1" s="1"/>
  <c r="V78" i="1"/>
  <c r="W78" i="1" s="1"/>
  <c r="V79" i="1"/>
  <c r="W79" i="1" s="1"/>
  <c r="V80" i="1"/>
  <c r="W80" i="1" s="1"/>
  <c r="V81" i="1"/>
  <c r="W81" i="1" s="1"/>
  <c r="V82" i="1"/>
  <c r="W82" i="1" s="1"/>
  <c r="V83" i="1"/>
  <c r="W83" i="1" s="1"/>
  <c r="V84" i="1"/>
  <c r="W84" i="1" s="1"/>
  <c r="V85" i="1"/>
  <c r="W85" i="1" s="1"/>
  <c r="V86" i="1"/>
  <c r="W86" i="1" s="1"/>
  <c r="V87" i="1"/>
  <c r="W87" i="1" s="1"/>
  <c r="V88" i="1"/>
  <c r="W88" i="1" s="1"/>
  <c r="V89" i="1"/>
  <c r="W89" i="1" s="1"/>
  <c r="V90" i="1"/>
  <c r="W90" i="1" s="1"/>
  <c r="V91" i="1"/>
  <c r="W91" i="1" s="1"/>
  <c r="V92" i="1"/>
  <c r="W92" i="1" s="1"/>
  <c r="V93" i="1"/>
  <c r="W93" i="1" s="1"/>
  <c r="V94" i="1"/>
  <c r="W94" i="1" s="1"/>
  <c r="V95" i="1"/>
  <c r="W95" i="1" s="1"/>
  <c r="V96" i="1"/>
  <c r="W96" i="1" s="1"/>
  <c r="V97" i="1"/>
  <c r="W97" i="1" s="1"/>
  <c r="V98" i="1"/>
  <c r="W98" i="1" s="1"/>
  <c r="V99" i="1"/>
  <c r="W99" i="1" s="1"/>
  <c r="V100" i="1"/>
  <c r="W100" i="1" s="1"/>
  <c r="V101" i="1"/>
  <c r="W101" i="1" s="1"/>
  <c r="V102" i="1"/>
  <c r="W102" i="1" s="1"/>
  <c r="V103" i="1"/>
  <c r="W103" i="1" s="1"/>
  <c r="V104" i="1"/>
  <c r="W104" i="1" s="1"/>
  <c r="V105" i="1"/>
  <c r="W105" i="1" s="1"/>
  <c r="V106" i="1"/>
  <c r="W106" i="1" s="1"/>
  <c r="V107" i="1"/>
  <c r="W107" i="1" s="1"/>
  <c r="V108" i="1"/>
  <c r="W108" i="1" s="1"/>
  <c r="V109" i="1"/>
  <c r="W109" i="1" s="1"/>
  <c r="V110" i="1"/>
  <c r="W110" i="1" s="1"/>
  <c r="V111" i="1"/>
  <c r="W111" i="1" s="1"/>
  <c r="V112" i="1"/>
  <c r="W112" i="1" s="1"/>
  <c r="V113" i="1"/>
  <c r="W113" i="1" s="1"/>
  <c r="V114" i="1"/>
  <c r="W114" i="1" s="1"/>
  <c r="V115" i="1"/>
  <c r="W115" i="1" s="1"/>
  <c r="V116" i="1"/>
  <c r="W116" i="1" s="1"/>
  <c r="V117" i="1"/>
  <c r="W117" i="1" s="1"/>
  <c r="V118" i="1"/>
  <c r="W118" i="1" s="1"/>
  <c r="V119" i="1"/>
  <c r="W119" i="1" s="1"/>
  <c r="V120" i="1"/>
  <c r="W120" i="1" s="1"/>
  <c r="V121" i="1"/>
  <c r="W121" i="1" s="1"/>
  <c r="V122" i="1"/>
  <c r="W122" i="1" s="1"/>
  <c r="V123" i="1"/>
  <c r="W123" i="1" s="1"/>
  <c r="V124" i="1"/>
  <c r="W124" i="1" s="1"/>
  <c r="V125" i="1"/>
  <c r="W125" i="1" s="1"/>
  <c r="V126" i="1"/>
  <c r="W126" i="1" s="1"/>
  <c r="V127" i="1"/>
  <c r="W127" i="1" s="1"/>
  <c r="V128" i="1"/>
  <c r="W128" i="1" s="1"/>
  <c r="V129" i="1"/>
  <c r="W129" i="1" s="1"/>
  <c r="V130" i="1"/>
  <c r="W130" i="1" s="1"/>
  <c r="V131" i="1"/>
  <c r="W131" i="1" s="1"/>
  <c r="V132" i="1"/>
  <c r="W132" i="1" s="1"/>
  <c r="V133" i="1"/>
  <c r="W133" i="1" s="1"/>
  <c r="V134" i="1"/>
  <c r="W134" i="1" s="1"/>
  <c r="V135" i="1"/>
  <c r="W135" i="1" s="1"/>
  <c r="V136" i="1"/>
  <c r="W136" i="1" s="1"/>
  <c r="V137" i="1"/>
  <c r="W137" i="1" s="1"/>
  <c r="V138" i="1"/>
  <c r="W138" i="1" s="1"/>
  <c r="V139" i="1"/>
  <c r="W139" i="1" s="1"/>
  <c r="V140" i="1"/>
  <c r="W140" i="1" s="1"/>
  <c r="V141" i="1"/>
  <c r="W141" i="1" s="1"/>
  <c r="V142" i="1"/>
  <c r="W142" i="1" s="1"/>
  <c r="V143" i="1"/>
  <c r="W143" i="1" s="1"/>
  <c r="V144" i="1"/>
  <c r="W144" i="1" s="1"/>
  <c r="V145" i="1"/>
  <c r="W145" i="1" s="1"/>
  <c r="V146" i="1"/>
  <c r="W146" i="1" s="1"/>
  <c r="V147" i="1"/>
  <c r="W147" i="1" s="1"/>
  <c r="V148" i="1"/>
  <c r="W148" i="1" s="1"/>
  <c r="V149" i="1"/>
  <c r="W149" i="1" s="1"/>
  <c r="V150" i="1"/>
  <c r="W150" i="1" s="1"/>
  <c r="V151" i="1"/>
  <c r="W151" i="1" s="1"/>
  <c r="V152" i="1"/>
  <c r="W152" i="1" s="1"/>
  <c r="V153" i="1"/>
  <c r="W153" i="1" s="1"/>
  <c r="V154" i="1"/>
  <c r="W154" i="1" s="1"/>
  <c r="V155" i="1"/>
  <c r="W155" i="1" s="1"/>
  <c r="V156" i="1"/>
  <c r="W156" i="1" s="1"/>
  <c r="V157" i="1"/>
  <c r="W157" i="1" s="1"/>
  <c r="V158" i="1"/>
  <c r="W158" i="1" s="1"/>
  <c r="V159" i="1"/>
  <c r="W159" i="1" s="1"/>
  <c r="V160" i="1"/>
  <c r="W160" i="1" s="1"/>
  <c r="V161" i="1"/>
  <c r="W161" i="1" s="1"/>
  <c r="V162" i="1"/>
  <c r="W162" i="1" s="1"/>
  <c r="V163" i="1"/>
  <c r="W163" i="1" s="1"/>
  <c r="V164" i="1"/>
  <c r="W164" i="1" s="1"/>
  <c r="V165" i="1"/>
  <c r="W165" i="1" s="1"/>
  <c r="V166" i="1"/>
  <c r="W166" i="1" s="1"/>
  <c r="V167" i="1"/>
  <c r="W167" i="1" s="1"/>
  <c r="V168" i="1"/>
  <c r="W168" i="1" s="1"/>
  <c r="V169" i="1"/>
  <c r="W169" i="1" s="1"/>
  <c r="V170" i="1"/>
  <c r="W170" i="1" s="1"/>
  <c r="V171" i="1"/>
  <c r="W171" i="1" s="1"/>
  <c r="V172" i="1"/>
  <c r="W172" i="1" s="1"/>
  <c r="V173" i="1"/>
  <c r="W173" i="1" s="1"/>
  <c r="V174" i="1"/>
  <c r="W174" i="1" s="1"/>
  <c r="V175" i="1"/>
  <c r="W175" i="1" s="1"/>
  <c r="V176" i="1"/>
  <c r="W176" i="1" s="1"/>
  <c r="V177" i="1"/>
  <c r="W177" i="1" s="1"/>
  <c r="V178" i="1"/>
  <c r="W178" i="1" s="1"/>
  <c r="V179" i="1"/>
  <c r="W179" i="1" s="1"/>
  <c r="V180" i="1"/>
  <c r="W180" i="1" s="1"/>
  <c r="V181" i="1"/>
  <c r="W181" i="1" s="1"/>
  <c r="V182" i="1"/>
  <c r="W182" i="1" s="1"/>
  <c r="V183" i="1"/>
  <c r="W183" i="1" s="1"/>
  <c r="V184" i="1"/>
  <c r="W184" i="1" s="1"/>
  <c r="V185" i="1"/>
  <c r="W185" i="1" s="1"/>
  <c r="V186" i="1"/>
  <c r="W186" i="1" s="1"/>
  <c r="V187" i="1"/>
  <c r="W187" i="1" s="1"/>
  <c r="V188" i="1"/>
  <c r="W188" i="1" s="1"/>
  <c r="V189" i="1"/>
  <c r="W189" i="1" s="1"/>
  <c r="V190" i="1"/>
  <c r="W190" i="1" s="1"/>
  <c r="V191" i="1"/>
  <c r="W191" i="1" s="1"/>
  <c r="V192" i="1"/>
  <c r="W192" i="1" s="1"/>
  <c r="V193" i="1"/>
  <c r="W193" i="1" s="1"/>
  <c r="V194" i="1"/>
  <c r="W194" i="1" s="1"/>
  <c r="V195" i="1"/>
  <c r="W195" i="1" s="1"/>
  <c r="V196" i="1"/>
  <c r="W196" i="1" s="1"/>
  <c r="V197" i="1"/>
  <c r="W197" i="1" s="1"/>
  <c r="V198" i="1"/>
  <c r="W198" i="1" s="1"/>
  <c r="V199" i="1"/>
  <c r="W199" i="1" s="1"/>
  <c r="V200" i="1"/>
  <c r="W200" i="1" s="1"/>
  <c r="V201" i="1"/>
  <c r="W201" i="1" s="1"/>
  <c r="V202" i="1"/>
  <c r="W202" i="1" s="1"/>
  <c r="V203" i="1"/>
  <c r="W203" i="1" s="1"/>
  <c r="V204" i="1"/>
  <c r="W204" i="1" s="1"/>
  <c r="V205" i="1"/>
  <c r="W205" i="1" s="1"/>
  <c r="V206" i="1"/>
  <c r="W206" i="1" s="1"/>
  <c r="V207" i="1"/>
  <c r="W207" i="1" s="1"/>
  <c r="V208" i="1"/>
  <c r="W208" i="1" s="1"/>
  <c r="V209" i="1"/>
  <c r="W209" i="1" s="1"/>
  <c r="V210" i="1"/>
  <c r="W210" i="1" s="1"/>
  <c r="V211" i="1"/>
  <c r="W211" i="1" s="1"/>
  <c r="V212" i="1"/>
  <c r="W212" i="1" s="1"/>
  <c r="V213" i="1"/>
  <c r="W213" i="1" s="1"/>
  <c r="V214" i="1"/>
  <c r="W214" i="1" s="1"/>
  <c r="V215" i="1"/>
  <c r="W215" i="1" s="1"/>
  <c r="V216" i="1"/>
  <c r="W216" i="1" s="1"/>
  <c r="V217" i="1"/>
  <c r="W217" i="1" s="1"/>
  <c r="V218" i="1"/>
  <c r="W218" i="1" s="1"/>
  <c r="V219" i="1"/>
  <c r="W219" i="1" s="1"/>
  <c r="V220" i="1"/>
  <c r="W220" i="1" s="1"/>
  <c r="V221" i="1"/>
  <c r="W221" i="1" s="1"/>
  <c r="V222" i="1"/>
  <c r="W222" i="1" s="1"/>
  <c r="V223" i="1"/>
  <c r="W223" i="1" s="1"/>
  <c r="V224" i="1"/>
  <c r="W224" i="1" s="1"/>
  <c r="V225" i="1"/>
  <c r="W225" i="1" s="1"/>
  <c r="V226" i="1"/>
  <c r="W226" i="1" s="1"/>
  <c r="V227" i="1"/>
  <c r="W227" i="1" s="1"/>
  <c r="V228" i="1"/>
  <c r="W228" i="1" s="1"/>
  <c r="V229" i="1"/>
  <c r="W229" i="1" s="1"/>
  <c r="V230" i="1"/>
  <c r="W230" i="1" s="1"/>
  <c r="V231" i="1"/>
  <c r="W231" i="1" s="1"/>
  <c r="V232" i="1"/>
  <c r="W232" i="1" s="1"/>
  <c r="V233" i="1"/>
  <c r="W233" i="1" s="1"/>
  <c r="V234" i="1"/>
  <c r="W234" i="1" s="1"/>
  <c r="V235" i="1"/>
  <c r="W235" i="1" s="1"/>
  <c r="V236" i="1"/>
  <c r="W236" i="1" s="1"/>
  <c r="V237" i="1"/>
  <c r="W237" i="1" s="1"/>
  <c r="V238" i="1"/>
  <c r="W238" i="1" s="1"/>
  <c r="V239" i="1"/>
  <c r="W239" i="1" s="1"/>
  <c r="V240" i="1"/>
  <c r="W240" i="1" s="1"/>
  <c r="V241" i="1"/>
  <c r="W241" i="1" s="1"/>
  <c r="V242" i="1"/>
  <c r="W242" i="1" s="1"/>
  <c r="V243" i="1"/>
  <c r="W243" i="1" s="1"/>
  <c r="V244" i="1"/>
  <c r="W244" i="1" s="1"/>
  <c r="V245" i="1"/>
  <c r="W245" i="1" s="1"/>
  <c r="V246" i="1"/>
  <c r="W246" i="1" s="1"/>
  <c r="V247" i="1"/>
  <c r="W247" i="1" s="1"/>
  <c r="V248" i="1"/>
  <c r="W248" i="1" s="1"/>
  <c r="V249" i="1"/>
  <c r="W249" i="1" s="1"/>
  <c r="V250" i="1"/>
  <c r="W250" i="1" s="1"/>
  <c r="V251" i="1"/>
  <c r="W251" i="1" s="1"/>
  <c r="V252" i="1"/>
  <c r="W252" i="1" s="1"/>
  <c r="V253" i="1"/>
  <c r="W253" i="1" s="1"/>
  <c r="V254" i="1"/>
  <c r="W254" i="1" s="1"/>
  <c r="V255" i="1"/>
  <c r="W255" i="1" s="1"/>
  <c r="V256" i="1"/>
  <c r="W256" i="1" s="1"/>
  <c r="V257" i="1"/>
  <c r="W257" i="1" s="1"/>
  <c r="V258" i="1"/>
  <c r="W258" i="1" s="1"/>
  <c r="V259" i="1"/>
  <c r="W259" i="1" s="1"/>
  <c r="V260" i="1"/>
  <c r="W260" i="1" s="1"/>
  <c r="V261" i="1"/>
  <c r="W261" i="1" s="1"/>
  <c r="V262" i="1"/>
  <c r="W262" i="1" s="1"/>
  <c r="V263" i="1"/>
  <c r="W263" i="1" s="1"/>
  <c r="V264" i="1"/>
  <c r="W264" i="1" s="1"/>
  <c r="V265" i="1"/>
  <c r="W265" i="1" s="1"/>
  <c r="V266" i="1"/>
  <c r="W266" i="1" s="1"/>
  <c r="V267" i="1"/>
  <c r="W267" i="1" s="1"/>
  <c r="V268" i="1"/>
  <c r="W268" i="1" s="1"/>
  <c r="V269" i="1"/>
  <c r="W269" i="1" s="1"/>
  <c r="V270" i="1"/>
  <c r="W270" i="1" s="1"/>
  <c r="V271" i="1"/>
  <c r="W271" i="1" s="1"/>
  <c r="V272" i="1"/>
  <c r="W272" i="1" s="1"/>
  <c r="V273" i="1"/>
  <c r="W273" i="1" s="1"/>
  <c r="V274" i="1"/>
  <c r="W274" i="1" s="1"/>
  <c r="V275" i="1"/>
  <c r="W275" i="1" s="1"/>
  <c r="V276" i="1"/>
  <c r="W276" i="1" s="1"/>
  <c r="V277" i="1"/>
  <c r="W277" i="1" s="1"/>
  <c r="V278" i="1"/>
  <c r="W278" i="1" s="1"/>
  <c r="V279" i="1"/>
  <c r="W279" i="1" s="1"/>
  <c r="V280" i="1"/>
  <c r="W280" i="1" s="1"/>
  <c r="V281" i="1"/>
  <c r="W281" i="1" s="1"/>
  <c r="V282" i="1"/>
  <c r="W282" i="1" s="1"/>
  <c r="V283" i="1"/>
  <c r="W283" i="1" s="1"/>
  <c r="V284" i="1"/>
  <c r="W284" i="1" s="1"/>
  <c r="V285" i="1"/>
  <c r="W285" i="1" s="1"/>
  <c r="V286" i="1"/>
  <c r="W286" i="1" s="1"/>
  <c r="V287" i="1"/>
  <c r="W287" i="1" s="1"/>
  <c r="V288" i="1"/>
  <c r="W288" i="1" s="1"/>
  <c r="V289" i="1"/>
  <c r="W289" i="1" s="1"/>
  <c r="V290" i="1"/>
  <c r="W290" i="1" s="1"/>
  <c r="V291" i="1"/>
  <c r="W291" i="1" s="1"/>
  <c r="V292" i="1"/>
  <c r="W292" i="1" s="1"/>
  <c r="V293" i="1"/>
  <c r="W293" i="1" s="1"/>
  <c r="V294" i="1"/>
  <c r="W294" i="1" s="1"/>
  <c r="V295" i="1"/>
  <c r="W295" i="1" s="1"/>
  <c r="V296" i="1"/>
  <c r="W296" i="1" s="1"/>
  <c r="V297" i="1"/>
  <c r="W297" i="1" s="1"/>
  <c r="V298" i="1"/>
  <c r="W298" i="1" s="1"/>
  <c r="V299" i="1"/>
  <c r="W299" i="1" s="1"/>
  <c r="V300" i="1"/>
  <c r="W300" i="1" s="1"/>
  <c r="V301" i="1"/>
  <c r="W301" i="1" s="1"/>
  <c r="V302" i="1"/>
  <c r="W302" i="1" s="1"/>
  <c r="V303" i="1"/>
  <c r="W303" i="1" s="1"/>
  <c r="V304" i="1"/>
  <c r="W304" i="1" s="1"/>
  <c r="V305" i="1"/>
  <c r="W305" i="1" s="1"/>
  <c r="V306" i="1"/>
  <c r="W306" i="1" s="1"/>
  <c r="V307" i="1"/>
  <c r="W307" i="1" s="1"/>
  <c r="V308" i="1"/>
  <c r="W308" i="1" s="1"/>
  <c r="V309" i="1"/>
  <c r="W309" i="1" s="1"/>
  <c r="V310" i="1"/>
  <c r="W310" i="1" s="1"/>
  <c r="V311" i="1"/>
  <c r="W311" i="1" s="1"/>
  <c r="V312" i="1"/>
  <c r="W312" i="1" s="1"/>
  <c r="V313" i="1"/>
  <c r="W313" i="1" s="1"/>
  <c r="V314" i="1"/>
  <c r="W314" i="1" s="1"/>
  <c r="V315" i="1"/>
  <c r="W315" i="1" s="1"/>
  <c r="V316" i="1"/>
  <c r="W316" i="1" s="1"/>
  <c r="V317" i="1"/>
  <c r="W317" i="1" s="1"/>
  <c r="V318" i="1"/>
  <c r="W318" i="1" s="1"/>
  <c r="V319" i="1"/>
  <c r="W319" i="1" s="1"/>
  <c r="V320" i="1"/>
  <c r="W320" i="1" s="1"/>
  <c r="V321" i="1"/>
  <c r="W321" i="1" s="1"/>
  <c r="V322" i="1"/>
  <c r="W322" i="1" s="1"/>
  <c r="V323" i="1"/>
  <c r="W323" i="1" s="1"/>
  <c r="V324" i="1"/>
  <c r="W324" i="1" s="1"/>
  <c r="V325" i="1"/>
  <c r="W325" i="1" s="1"/>
  <c r="V326" i="1"/>
  <c r="W326" i="1" s="1"/>
  <c r="V327" i="1"/>
  <c r="W327" i="1" s="1"/>
  <c r="V328" i="1"/>
  <c r="W328" i="1" s="1"/>
  <c r="V329" i="1"/>
  <c r="W329" i="1" s="1"/>
  <c r="V330" i="1"/>
  <c r="W330" i="1" s="1"/>
  <c r="V331" i="1"/>
  <c r="W331" i="1" s="1"/>
  <c r="V332" i="1"/>
  <c r="W332" i="1" s="1"/>
  <c r="V333" i="1"/>
  <c r="W333" i="1" s="1"/>
  <c r="V334" i="1"/>
  <c r="W334" i="1" s="1"/>
  <c r="V335" i="1"/>
  <c r="W335" i="1" s="1"/>
  <c r="V336" i="1"/>
  <c r="W336" i="1" s="1"/>
  <c r="V337" i="1"/>
  <c r="W337" i="1" s="1"/>
  <c r="V338" i="1"/>
  <c r="W338" i="1" s="1"/>
  <c r="V339" i="1"/>
  <c r="W339" i="1" s="1"/>
  <c r="V340" i="1"/>
  <c r="W340" i="1" s="1"/>
  <c r="V341" i="1"/>
  <c r="W341" i="1" s="1"/>
  <c r="V342" i="1"/>
  <c r="W342" i="1" s="1"/>
  <c r="V343" i="1"/>
  <c r="W343" i="1" s="1"/>
  <c r="V344" i="1"/>
  <c r="W344" i="1" s="1"/>
  <c r="V345" i="1"/>
  <c r="W345" i="1" s="1"/>
  <c r="V346" i="1"/>
  <c r="W346" i="1" s="1"/>
  <c r="V347" i="1"/>
  <c r="W347" i="1" s="1"/>
  <c r="V348" i="1"/>
  <c r="W348" i="1" s="1"/>
  <c r="V349" i="1"/>
  <c r="W349" i="1" s="1"/>
  <c r="V350" i="1"/>
  <c r="W350" i="1" s="1"/>
  <c r="V351" i="1"/>
  <c r="W351" i="1" s="1"/>
  <c r="V352" i="1"/>
  <c r="W352" i="1" s="1"/>
  <c r="V353" i="1"/>
  <c r="W353" i="1" s="1"/>
  <c r="V354" i="1"/>
  <c r="W354" i="1" s="1"/>
  <c r="V355" i="1"/>
  <c r="W355" i="1" s="1"/>
  <c r="V356" i="1"/>
  <c r="W356" i="1" s="1"/>
  <c r="V357" i="1"/>
  <c r="W357" i="1" s="1"/>
  <c r="V358" i="1"/>
  <c r="W358" i="1" s="1"/>
  <c r="V359" i="1"/>
  <c r="W359" i="1" s="1"/>
  <c r="V360" i="1"/>
  <c r="W360" i="1" s="1"/>
  <c r="V361" i="1"/>
  <c r="W361" i="1" s="1"/>
  <c r="V362" i="1"/>
  <c r="W362" i="1" s="1"/>
  <c r="V363" i="1"/>
  <c r="W363" i="1" s="1"/>
  <c r="V364" i="1"/>
  <c r="W364" i="1" s="1"/>
  <c r="V365" i="1"/>
  <c r="W365" i="1" s="1"/>
  <c r="V366" i="1"/>
  <c r="W366" i="1" s="1"/>
  <c r="V367" i="1"/>
  <c r="W367" i="1" s="1"/>
  <c r="V368" i="1"/>
  <c r="W368" i="1" s="1"/>
  <c r="V369" i="1"/>
  <c r="W369" i="1" s="1"/>
  <c r="V370" i="1"/>
  <c r="W370" i="1" s="1"/>
  <c r="V371" i="1"/>
  <c r="W371" i="1" s="1"/>
  <c r="V372" i="1"/>
  <c r="W372" i="1" s="1"/>
  <c r="V373" i="1"/>
  <c r="W373" i="1" s="1"/>
  <c r="V374" i="1"/>
  <c r="W374" i="1" s="1"/>
  <c r="V375" i="1"/>
  <c r="W375" i="1" s="1"/>
  <c r="V376" i="1"/>
  <c r="W376" i="1" s="1"/>
  <c r="V377" i="1"/>
  <c r="W377" i="1" s="1"/>
  <c r="V378" i="1"/>
  <c r="W378" i="1" s="1"/>
  <c r="V379" i="1"/>
  <c r="W379" i="1" s="1"/>
  <c r="V380" i="1"/>
  <c r="W380" i="1" s="1"/>
  <c r="V381" i="1"/>
  <c r="W381" i="1" s="1"/>
  <c r="V382" i="1"/>
  <c r="W382" i="1" s="1"/>
  <c r="V383" i="1"/>
  <c r="W383" i="1" s="1"/>
  <c r="V384" i="1"/>
  <c r="W384" i="1" s="1"/>
  <c r="V385" i="1"/>
  <c r="W385" i="1" s="1"/>
  <c r="V386" i="1"/>
  <c r="W386" i="1" s="1"/>
  <c r="V387" i="1"/>
  <c r="W387" i="1" s="1"/>
  <c r="V388" i="1"/>
  <c r="W388" i="1" s="1"/>
  <c r="V389" i="1"/>
  <c r="W389" i="1" s="1"/>
  <c r="V390" i="1"/>
  <c r="W390" i="1" s="1"/>
  <c r="V391" i="1"/>
  <c r="W391" i="1" s="1"/>
  <c r="V392" i="1"/>
  <c r="W392" i="1" s="1"/>
  <c r="V393" i="1"/>
  <c r="W393" i="1" s="1"/>
  <c r="V394" i="1"/>
  <c r="W394" i="1" s="1"/>
  <c r="V395" i="1"/>
  <c r="W395" i="1" s="1"/>
  <c r="V396" i="1"/>
  <c r="W396" i="1" s="1"/>
  <c r="V397" i="1"/>
  <c r="W397" i="1" s="1"/>
  <c r="V398" i="1"/>
  <c r="W398" i="1" s="1"/>
  <c r="V399" i="1"/>
  <c r="W399" i="1" s="1"/>
  <c r="V400" i="1"/>
  <c r="W400" i="1" s="1"/>
  <c r="V401" i="1"/>
  <c r="W401" i="1" s="1"/>
  <c r="V402" i="1"/>
  <c r="W402" i="1" s="1"/>
  <c r="V403" i="1"/>
  <c r="W403" i="1" s="1"/>
  <c r="V404" i="1"/>
  <c r="W404" i="1" s="1"/>
  <c r="V405" i="1"/>
  <c r="W405" i="1" s="1"/>
  <c r="V406" i="1"/>
  <c r="W406" i="1" s="1"/>
  <c r="V407" i="1"/>
  <c r="W407" i="1" s="1"/>
  <c r="V408" i="1"/>
  <c r="W408" i="1" s="1"/>
  <c r="V409" i="1"/>
  <c r="W409" i="1" s="1"/>
  <c r="V410" i="1"/>
  <c r="W410" i="1" s="1"/>
  <c r="V411" i="1"/>
  <c r="W411" i="1" s="1"/>
  <c r="V412" i="1"/>
  <c r="W412" i="1" s="1"/>
  <c r="V413" i="1"/>
  <c r="W413" i="1" s="1"/>
  <c r="V414" i="1"/>
  <c r="W414" i="1" s="1"/>
  <c r="V415" i="1"/>
  <c r="W415" i="1" s="1"/>
  <c r="V416" i="1"/>
  <c r="W416" i="1" s="1"/>
  <c r="V417" i="1"/>
  <c r="W417" i="1" s="1"/>
  <c r="V418" i="1"/>
  <c r="W418" i="1" s="1"/>
  <c r="V419" i="1"/>
  <c r="W419" i="1" s="1"/>
  <c r="V420" i="1"/>
  <c r="W420" i="1" s="1"/>
  <c r="V421" i="1"/>
  <c r="W421" i="1" s="1"/>
  <c r="V422" i="1"/>
  <c r="W422" i="1" s="1"/>
  <c r="V423" i="1"/>
  <c r="W423" i="1" s="1"/>
  <c r="V424" i="1"/>
  <c r="W424" i="1" s="1"/>
  <c r="V425" i="1"/>
  <c r="W425" i="1" s="1"/>
  <c r="V426" i="1"/>
  <c r="W426" i="1" s="1"/>
  <c r="V427" i="1"/>
  <c r="W427" i="1" s="1"/>
  <c r="V428" i="1"/>
  <c r="W428" i="1" s="1"/>
  <c r="V429" i="1"/>
  <c r="W429" i="1" s="1"/>
  <c r="V430" i="1"/>
  <c r="W430" i="1" s="1"/>
  <c r="V431" i="1"/>
  <c r="W431" i="1" s="1"/>
  <c r="V432" i="1"/>
  <c r="W432" i="1" s="1"/>
  <c r="V433" i="1"/>
  <c r="W433" i="1" s="1"/>
  <c r="V434" i="1"/>
  <c r="W434" i="1" s="1"/>
  <c r="V435" i="1"/>
  <c r="W435" i="1" s="1"/>
  <c r="V436" i="1"/>
  <c r="W436" i="1" s="1"/>
  <c r="V437" i="1"/>
  <c r="W437" i="1" s="1"/>
  <c r="V438" i="1"/>
  <c r="W438" i="1" s="1"/>
  <c r="V439" i="1"/>
  <c r="W439" i="1" s="1"/>
  <c r="V440" i="1"/>
  <c r="W440" i="1" s="1"/>
  <c r="V441" i="1"/>
  <c r="W441" i="1" s="1"/>
  <c r="V442" i="1"/>
  <c r="W442" i="1" s="1"/>
  <c r="V443" i="1"/>
  <c r="W443" i="1" s="1"/>
  <c r="V444" i="1"/>
  <c r="W444" i="1" s="1"/>
  <c r="V445" i="1"/>
  <c r="W445" i="1" s="1"/>
  <c r="V446" i="1"/>
  <c r="W446" i="1" s="1"/>
  <c r="V447" i="1"/>
  <c r="W447" i="1" s="1"/>
  <c r="V448" i="1"/>
  <c r="W448" i="1" s="1"/>
  <c r="V449" i="1"/>
  <c r="W449" i="1" s="1"/>
  <c r="V450" i="1"/>
  <c r="W450" i="1" s="1"/>
  <c r="V451" i="1"/>
  <c r="W451" i="1" s="1"/>
  <c r="V452" i="1"/>
  <c r="W452" i="1" s="1"/>
  <c r="V453" i="1"/>
  <c r="W453" i="1" s="1"/>
  <c r="V454" i="1"/>
  <c r="W454" i="1" s="1"/>
  <c r="V455" i="1"/>
  <c r="W455" i="1" s="1"/>
  <c r="V456" i="1"/>
  <c r="W456" i="1" s="1"/>
  <c r="V457" i="1"/>
  <c r="W457" i="1" s="1"/>
  <c r="V458" i="1"/>
  <c r="W458" i="1" s="1"/>
  <c r="V459" i="1"/>
  <c r="W459" i="1" s="1"/>
  <c r="V460" i="1"/>
  <c r="W460" i="1" s="1"/>
  <c r="V461" i="1"/>
  <c r="W461" i="1" s="1"/>
  <c r="V462" i="1"/>
  <c r="W462" i="1" s="1"/>
  <c r="V463" i="1"/>
  <c r="W463" i="1" s="1"/>
  <c r="V464" i="1"/>
  <c r="W464" i="1" s="1"/>
  <c r="V465" i="1"/>
  <c r="W465" i="1" s="1"/>
  <c r="V466" i="1"/>
  <c r="W466" i="1" s="1"/>
  <c r="V467" i="1"/>
  <c r="W467" i="1" s="1"/>
  <c r="V468" i="1"/>
  <c r="W468" i="1" s="1"/>
  <c r="V469" i="1"/>
  <c r="W469" i="1" s="1"/>
  <c r="V470" i="1"/>
  <c r="W470" i="1" s="1"/>
  <c r="V471" i="1"/>
  <c r="W471" i="1" s="1"/>
  <c r="V472" i="1"/>
  <c r="W472" i="1" s="1"/>
  <c r="V473" i="1"/>
  <c r="W473" i="1" s="1"/>
  <c r="V474" i="1"/>
  <c r="W474" i="1" s="1"/>
  <c r="V475" i="1"/>
  <c r="W475" i="1" s="1"/>
  <c r="V476" i="1"/>
  <c r="W476" i="1" s="1"/>
  <c r="V477" i="1"/>
  <c r="W477" i="1" s="1"/>
  <c r="V478" i="1"/>
  <c r="W478" i="1" s="1"/>
  <c r="V479" i="1"/>
  <c r="W479" i="1" s="1"/>
  <c r="V480" i="1"/>
  <c r="W480" i="1" s="1"/>
  <c r="V481" i="1"/>
  <c r="W481" i="1" s="1"/>
  <c r="V482" i="1"/>
  <c r="W482" i="1" s="1"/>
  <c r="V483" i="1"/>
  <c r="W483" i="1" s="1"/>
  <c r="V484" i="1"/>
  <c r="W484" i="1" s="1"/>
  <c r="V485" i="1"/>
  <c r="W485" i="1" s="1"/>
  <c r="V486" i="1"/>
  <c r="W486" i="1" s="1"/>
  <c r="V487" i="1"/>
  <c r="W487" i="1" s="1"/>
  <c r="V488" i="1"/>
  <c r="W488" i="1" s="1"/>
  <c r="V489" i="1"/>
  <c r="W489" i="1" s="1"/>
  <c r="V490" i="1"/>
  <c r="W490" i="1" s="1"/>
  <c r="V491" i="1"/>
  <c r="W491" i="1" s="1"/>
  <c r="V492" i="1"/>
  <c r="W492" i="1" s="1"/>
  <c r="V493" i="1"/>
  <c r="W493" i="1" s="1"/>
  <c r="V494" i="1"/>
  <c r="W494" i="1" s="1"/>
  <c r="V495" i="1"/>
  <c r="W495" i="1" s="1"/>
  <c r="V496" i="1"/>
  <c r="W496" i="1" s="1"/>
  <c r="V497" i="1"/>
  <c r="W497" i="1" s="1"/>
  <c r="V498" i="1"/>
  <c r="W498" i="1" s="1"/>
  <c r="V499" i="1"/>
  <c r="W499" i="1" s="1"/>
  <c r="V500" i="1"/>
  <c r="W500" i="1" s="1"/>
  <c r="V501" i="1"/>
  <c r="W501" i="1" s="1"/>
  <c r="V502" i="1"/>
  <c r="W502" i="1" s="1"/>
  <c r="V503" i="1"/>
  <c r="W503" i="1" s="1"/>
  <c r="V504" i="1"/>
  <c r="W504" i="1" s="1"/>
  <c r="V505" i="1"/>
  <c r="W505" i="1" s="1"/>
  <c r="V506" i="1"/>
  <c r="W506" i="1" s="1"/>
  <c r="V507" i="1"/>
  <c r="W507" i="1" s="1"/>
  <c r="V508" i="1"/>
  <c r="W508" i="1" s="1"/>
  <c r="V509" i="1"/>
  <c r="W509" i="1" s="1"/>
  <c r="V510" i="1"/>
  <c r="W510" i="1" s="1"/>
  <c r="V511" i="1"/>
  <c r="W511" i="1" s="1"/>
  <c r="V512" i="1"/>
  <c r="W512" i="1" s="1"/>
  <c r="V513" i="1"/>
  <c r="W513" i="1" s="1"/>
  <c r="V514" i="1"/>
  <c r="W514" i="1" s="1"/>
  <c r="V515" i="1"/>
  <c r="W515" i="1" s="1"/>
  <c r="V516" i="1"/>
  <c r="W516" i="1" s="1"/>
  <c r="V517" i="1"/>
  <c r="W517" i="1" s="1"/>
  <c r="V518" i="1"/>
  <c r="W518" i="1" s="1"/>
  <c r="V519" i="1"/>
  <c r="W519" i="1" s="1"/>
  <c r="V520" i="1"/>
  <c r="W520" i="1" s="1"/>
  <c r="V521" i="1"/>
  <c r="W521" i="1" s="1"/>
  <c r="V522" i="1"/>
  <c r="W522" i="1" s="1"/>
  <c r="V523" i="1"/>
  <c r="W523" i="1" s="1"/>
  <c r="V524" i="1"/>
  <c r="W524" i="1" s="1"/>
  <c r="V525" i="1"/>
  <c r="W525" i="1" s="1"/>
  <c r="V526" i="1"/>
  <c r="W526" i="1" s="1"/>
  <c r="V527" i="1"/>
  <c r="W527" i="1" s="1"/>
  <c r="V528" i="1"/>
  <c r="W528" i="1" s="1"/>
  <c r="V529" i="1"/>
  <c r="W529" i="1" s="1"/>
  <c r="V530" i="1"/>
  <c r="W530" i="1" s="1"/>
  <c r="V531" i="1"/>
  <c r="W531" i="1" s="1"/>
  <c r="V532" i="1"/>
  <c r="W532" i="1" s="1"/>
  <c r="V533" i="1"/>
  <c r="W533" i="1" s="1"/>
  <c r="V534" i="1"/>
  <c r="W534" i="1" s="1"/>
  <c r="V535" i="1"/>
  <c r="W535" i="1" s="1"/>
  <c r="V536" i="1"/>
  <c r="W536" i="1" s="1"/>
  <c r="V537" i="1"/>
  <c r="W537" i="1" s="1"/>
  <c r="V538" i="1"/>
  <c r="W538" i="1" s="1"/>
  <c r="V539" i="1"/>
  <c r="W539" i="1" s="1"/>
  <c r="V540" i="1"/>
  <c r="W540" i="1" s="1"/>
  <c r="V541" i="1"/>
  <c r="W541" i="1" s="1"/>
  <c r="V542" i="1"/>
  <c r="W542" i="1" s="1"/>
  <c r="V543" i="1"/>
  <c r="W543" i="1" s="1"/>
  <c r="V544" i="1"/>
  <c r="W544" i="1" s="1"/>
  <c r="V545" i="1"/>
  <c r="W545" i="1" s="1"/>
  <c r="V546" i="1"/>
  <c r="W546" i="1" s="1"/>
  <c r="V547" i="1"/>
  <c r="W547" i="1" s="1"/>
  <c r="V548" i="1"/>
  <c r="W548" i="1" s="1"/>
  <c r="V549" i="1"/>
  <c r="W549" i="1" s="1"/>
  <c r="V550" i="1"/>
  <c r="W550" i="1" s="1"/>
  <c r="V551" i="1"/>
  <c r="W551" i="1" s="1"/>
  <c r="V552" i="1"/>
  <c r="W552" i="1" s="1"/>
  <c r="V553" i="1"/>
  <c r="W553" i="1" s="1"/>
  <c r="V554" i="1"/>
  <c r="W554" i="1" s="1"/>
  <c r="V555" i="1"/>
  <c r="W555" i="1" s="1"/>
  <c r="V556" i="1"/>
  <c r="W556" i="1" s="1"/>
  <c r="V557" i="1"/>
  <c r="W557" i="1" s="1"/>
  <c r="V558" i="1"/>
  <c r="W558" i="1" s="1"/>
  <c r="V559" i="1"/>
  <c r="W559" i="1" s="1"/>
  <c r="V560" i="1"/>
  <c r="W560" i="1" s="1"/>
  <c r="V561" i="1"/>
  <c r="W561" i="1" s="1"/>
  <c r="V562" i="1"/>
  <c r="W562" i="1" s="1"/>
  <c r="V563" i="1"/>
  <c r="W563" i="1" s="1"/>
  <c r="V564" i="1"/>
  <c r="W564" i="1" s="1"/>
  <c r="V565" i="1"/>
  <c r="W565" i="1" s="1"/>
  <c r="V566" i="1"/>
  <c r="W566" i="1" s="1"/>
  <c r="V567" i="1"/>
  <c r="W567" i="1" s="1"/>
  <c r="V568" i="1"/>
  <c r="W568" i="1" s="1"/>
  <c r="V569" i="1"/>
  <c r="W569" i="1" s="1"/>
  <c r="V570" i="1"/>
  <c r="W570" i="1" s="1"/>
  <c r="V571" i="1"/>
  <c r="W571" i="1" s="1"/>
  <c r="V572" i="1"/>
  <c r="W572" i="1" s="1"/>
  <c r="V573" i="1"/>
  <c r="W573" i="1" s="1"/>
  <c r="V574" i="1"/>
  <c r="W574" i="1" s="1"/>
  <c r="V575" i="1"/>
  <c r="W575" i="1" s="1"/>
  <c r="V576" i="1"/>
  <c r="W576" i="1" s="1"/>
  <c r="V577" i="1"/>
  <c r="W577" i="1" s="1"/>
  <c r="V578" i="1"/>
  <c r="W578" i="1" s="1"/>
  <c r="V579" i="1"/>
  <c r="W579" i="1" s="1"/>
  <c r="V580" i="1"/>
  <c r="W580" i="1" s="1"/>
  <c r="V581" i="1"/>
  <c r="W581" i="1" s="1"/>
  <c r="V582" i="1"/>
  <c r="W582" i="1" s="1"/>
  <c r="V583" i="1"/>
  <c r="W583" i="1" s="1"/>
  <c r="V584" i="1"/>
  <c r="W584" i="1" s="1"/>
  <c r="V585" i="1"/>
  <c r="W585" i="1" s="1"/>
  <c r="V586" i="1"/>
  <c r="W586" i="1" s="1"/>
  <c r="V587" i="1"/>
  <c r="W587" i="1" s="1"/>
  <c r="V588" i="1"/>
  <c r="W588" i="1" s="1"/>
  <c r="V589" i="1"/>
  <c r="W589" i="1" s="1"/>
  <c r="V590" i="1"/>
  <c r="W590" i="1" s="1"/>
  <c r="V591" i="1"/>
  <c r="W591" i="1" s="1"/>
  <c r="V592" i="1"/>
  <c r="W592" i="1" s="1"/>
  <c r="V593" i="1"/>
  <c r="W593" i="1" s="1"/>
  <c r="V594" i="1"/>
  <c r="W594" i="1" s="1"/>
  <c r="V595" i="1"/>
  <c r="W595" i="1" s="1"/>
  <c r="V596" i="1"/>
  <c r="W596" i="1" s="1"/>
  <c r="V597" i="1"/>
  <c r="W597" i="1" s="1"/>
  <c r="V598" i="1"/>
  <c r="W598" i="1" s="1"/>
  <c r="V599" i="1"/>
  <c r="W599" i="1" s="1"/>
  <c r="V600" i="1"/>
  <c r="W600" i="1" s="1"/>
  <c r="V601" i="1"/>
  <c r="W601" i="1" s="1"/>
  <c r="V602" i="1"/>
  <c r="W602" i="1" s="1"/>
  <c r="V603" i="1"/>
  <c r="W603" i="1" s="1"/>
  <c r="V604" i="1"/>
  <c r="W604" i="1" s="1"/>
  <c r="V605" i="1"/>
  <c r="W605" i="1" s="1"/>
  <c r="V606" i="1"/>
  <c r="W606" i="1" s="1"/>
  <c r="V607" i="1"/>
  <c r="W607" i="1" s="1"/>
  <c r="V608" i="1"/>
  <c r="W608" i="1" s="1"/>
  <c r="V609" i="1"/>
  <c r="W609" i="1" s="1"/>
  <c r="V610" i="1"/>
  <c r="W610" i="1" s="1"/>
  <c r="V611" i="1"/>
  <c r="W611" i="1" s="1"/>
  <c r="V612" i="1"/>
  <c r="W612" i="1" s="1"/>
  <c r="V613" i="1"/>
  <c r="W613" i="1" s="1"/>
  <c r="V614" i="1"/>
  <c r="W614" i="1" s="1"/>
  <c r="V615" i="1"/>
  <c r="W615" i="1" s="1"/>
  <c r="V616" i="1"/>
  <c r="W616" i="1" s="1"/>
  <c r="V617" i="1"/>
  <c r="W617" i="1" s="1"/>
  <c r="V618" i="1"/>
  <c r="W618" i="1" s="1"/>
  <c r="V619" i="1"/>
  <c r="W619" i="1" s="1"/>
  <c r="V620" i="1"/>
  <c r="W620" i="1" s="1"/>
  <c r="V621" i="1"/>
  <c r="W621" i="1" s="1"/>
  <c r="V622" i="1"/>
  <c r="W622" i="1" s="1"/>
  <c r="V623" i="1"/>
  <c r="W623" i="1" s="1"/>
  <c r="V624" i="1"/>
  <c r="W624" i="1" s="1"/>
  <c r="V625" i="1"/>
  <c r="W625" i="1" s="1"/>
  <c r="V626" i="1"/>
  <c r="W626" i="1" s="1"/>
  <c r="V627" i="1"/>
  <c r="W627" i="1" s="1"/>
  <c r="V628" i="1"/>
  <c r="W628" i="1" s="1"/>
  <c r="V629" i="1"/>
  <c r="W629" i="1" s="1"/>
  <c r="V630" i="1"/>
  <c r="W630" i="1" s="1"/>
  <c r="V631" i="1"/>
  <c r="W631" i="1" s="1"/>
  <c r="V632" i="1"/>
  <c r="W632" i="1" s="1"/>
  <c r="V633" i="1"/>
  <c r="W633" i="1" s="1"/>
  <c r="V634" i="1"/>
  <c r="W634" i="1" s="1"/>
  <c r="V635" i="1"/>
  <c r="W635" i="1" s="1"/>
  <c r="V636" i="1"/>
  <c r="W636" i="1" s="1"/>
  <c r="V637" i="1"/>
  <c r="W637" i="1" s="1"/>
  <c r="V638" i="1"/>
  <c r="W638" i="1" s="1"/>
  <c r="V639" i="1"/>
  <c r="W639" i="1" s="1"/>
  <c r="V640" i="1"/>
  <c r="W640" i="1" s="1"/>
  <c r="V641" i="1"/>
  <c r="W641" i="1" s="1"/>
  <c r="V642" i="1"/>
  <c r="W642" i="1" s="1"/>
  <c r="V643" i="1"/>
  <c r="W643" i="1" s="1"/>
  <c r="V644" i="1"/>
  <c r="W644" i="1" s="1"/>
  <c r="V645" i="1"/>
  <c r="W645" i="1" s="1"/>
  <c r="V646" i="1"/>
  <c r="W646" i="1" s="1"/>
  <c r="V647" i="1"/>
  <c r="W647" i="1" s="1"/>
  <c r="V648" i="1"/>
  <c r="W648" i="1" s="1"/>
  <c r="V649" i="1"/>
  <c r="W649" i="1" s="1"/>
  <c r="V650" i="1"/>
  <c r="W650" i="1" s="1"/>
  <c r="V651" i="1"/>
  <c r="W651" i="1" s="1"/>
  <c r="V652" i="1"/>
  <c r="W652" i="1" s="1"/>
  <c r="V653" i="1"/>
  <c r="W653" i="1" s="1"/>
  <c r="V654" i="1"/>
  <c r="W654" i="1" s="1"/>
  <c r="V655" i="1"/>
  <c r="W655" i="1" s="1"/>
  <c r="V656" i="1"/>
  <c r="W656" i="1" s="1"/>
  <c r="V657" i="1"/>
  <c r="W657" i="1" s="1"/>
  <c r="V658" i="1"/>
  <c r="W658" i="1" s="1"/>
  <c r="V659" i="1"/>
  <c r="W659" i="1" s="1"/>
  <c r="V660" i="1"/>
  <c r="W660" i="1" s="1"/>
  <c r="V661" i="1"/>
  <c r="W661" i="1" s="1"/>
  <c r="V662" i="1"/>
  <c r="W662" i="1" s="1"/>
  <c r="V663" i="1"/>
  <c r="W663" i="1" s="1"/>
  <c r="V664" i="1"/>
  <c r="W664" i="1" s="1"/>
  <c r="V665" i="1"/>
  <c r="W665" i="1" s="1"/>
  <c r="V666" i="1"/>
  <c r="W666" i="1" s="1"/>
  <c r="V667" i="1"/>
  <c r="W667" i="1" s="1"/>
  <c r="V668" i="1"/>
  <c r="W668" i="1" s="1"/>
  <c r="V669" i="1"/>
  <c r="W669" i="1" s="1"/>
  <c r="V670" i="1"/>
  <c r="W670" i="1" s="1"/>
  <c r="V671" i="1"/>
  <c r="W671" i="1" s="1"/>
  <c r="V672" i="1"/>
  <c r="W672" i="1" s="1"/>
  <c r="V673" i="1"/>
  <c r="W673" i="1" s="1"/>
  <c r="V674" i="1"/>
  <c r="W674" i="1" s="1"/>
  <c r="V675" i="1"/>
  <c r="W675" i="1" s="1"/>
  <c r="V676" i="1"/>
  <c r="W676" i="1" s="1"/>
  <c r="V677" i="1"/>
  <c r="W677" i="1" s="1"/>
  <c r="V678" i="1"/>
  <c r="W678" i="1" s="1"/>
  <c r="V679" i="1"/>
  <c r="W679" i="1" s="1"/>
  <c r="V680" i="1"/>
  <c r="W680" i="1" s="1"/>
  <c r="V681" i="1"/>
  <c r="W681" i="1" s="1"/>
  <c r="V682" i="1"/>
  <c r="W682" i="1" s="1"/>
  <c r="V683" i="1"/>
  <c r="W683" i="1" s="1"/>
  <c r="V684" i="1"/>
  <c r="W684" i="1" s="1"/>
  <c r="V685" i="1"/>
  <c r="W685" i="1" s="1"/>
  <c r="V686" i="1"/>
  <c r="W686" i="1" s="1"/>
  <c r="V687" i="1"/>
  <c r="W687" i="1" s="1"/>
  <c r="V688" i="1"/>
  <c r="W688" i="1" s="1"/>
  <c r="V689" i="1"/>
  <c r="W689" i="1" s="1"/>
  <c r="V690" i="1"/>
  <c r="W690" i="1" s="1"/>
  <c r="V691" i="1"/>
  <c r="W691" i="1" s="1"/>
  <c r="V692" i="1"/>
  <c r="W692" i="1" s="1"/>
  <c r="V693" i="1"/>
  <c r="W693" i="1" s="1"/>
  <c r="V694" i="1"/>
  <c r="W694" i="1" s="1"/>
  <c r="V695" i="1"/>
  <c r="W695" i="1" s="1"/>
  <c r="V696" i="1"/>
  <c r="W696" i="1" s="1"/>
  <c r="V697" i="1"/>
  <c r="W697" i="1" s="1"/>
  <c r="V698" i="1"/>
  <c r="W698" i="1" s="1"/>
  <c r="V699" i="1"/>
  <c r="W699" i="1" s="1"/>
  <c r="V700" i="1"/>
  <c r="W700" i="1" s="1"/>
  <c r="V701" i="1"/>
  <c r="W701" i="1" s="1"/>
  <c r="V702" i="1"/>
  <c r="W702" i="1" s="1"/>
  <c r="V703" i="1"/>
  <c r="W703" i="1" s="1"/>
  <c r="V704" i="1"/>
  <c r="W704" i="1" s="1"/>
  <c r="V705" i="1"/>
  <c r="W705" i="1" s="1"/>
  <c r="V706" i="1"/>
  <c r="W706" i="1" s="1"/>
  <c r="V707" i="1"/>
  <c r="W707" i="1" s="1"/>
  <c r="V708" i="1"/>
  <c r="W708" i="1" s="1"/>
  <c r="V709" i="1"/>
  <c r="W709" i="1" s="1"/>
  <c r="V710" i="1"/>
  <c r="W710" i="1" s="1"/>
  <c r="V711" i="1"/>
  <c r="W711" i="1" s="1"/>
  <c r="V712" i="1"/>
  <c r="W712" i="1" s="1"/>
  <c r="V713" i="1"/>
  <c r="W713" i="1" s="1"/>
  <c r="V714" i="1"/>
  <c r="W714" i="1" s="1"/>
  <c r="V715" i="1"/>
  <c r="W715" i="1" s="1"/>
  <c r="V716" i="1"/>
  <c r="W716" i="1" s="1"/>
  <c r="V717" i="1"/>
  <c r="W717" i="1" s="1"/>
  <c r="V718" i="1"/>
  <c r="W718" i="1" s="1"/>
  <c r="V719" i="1"/>
  <c r="W719" i="1" s="1"/>
  <c r="V720" i="1"/>
  <c r="W720" i="1" s="1"/>
  <c r="V721" i="1"/>
  <c r="W721" i="1" s="1"/>
  <c r="V722" i="1"/>
  <c r="W722" i="1" s="1"/>
  <c r="V723" i="1"/>
  <c r="W723" i="1" s="1"/>
  <c r="V724" i="1"/>
  <c r="W724" i="1" s="1"/>
  <c r="V725" i="1"/>
  <c r="W725" i="1" s="1"/>
  <c r="V726" i="1"/>
  <c r="W726" i="1" s="1"/>
  <c r="V727" i="1"/>
  <c r="W727" i="1" s="1"/>
  <c r="V728" i="1"/>
  <c r="W728" i="1" s="1"/>
  <c r="V729" i="1"/>
  <c r="W729" i="1" s="1"/>
  <c r="V730" i="1"/>
  <c r="W730" i="1" s="1"/>
  <c r="V731" i="1"/>
  <c r="W731" i="1" s="1"/>
  <c r="V732" i="1"/>
  <c r="W732" i="1" s="1"/>
  <c r="V733" i="1"/>
  <c r="W733" i="1" s="1"/>
  <c r="V734" i="1"/>
  <c r="W734" i="1" s="1"/>
  <c r="V735" i="1"/>
  <c r="W735" i="1" s="1"/>
  <c r="V736" i="1"/>
  <c r="W736" i="1" s="1"/>
  <c r="V737" i="1"/>
  <c r="W737" i="1" s="1"/>
  <c r="V738" i="1"/>
  <c r="W738" i="1" s="1"/>
  <c r="V739" i="1"/>
  <c r="W739" i="1" s="1"/>
  <c r="V740" i="1"/>
  <c r="W740" i="1" s="1"/>
  <c r="V741" i="1"/>
  <c r="W741" i="1" s="1"/>
  <c r="V742" i="1"/>
  <c r="W742" i="1" s="1"/>
  <c r="V743" i="1"/>
  <c r="W743" i="1" s="1"/>
  <c r="V744" i="1"/>
  <c r="W744" i="1" s="1"/>
  <c r="V745" i="1"/>
  <c r="W745" i="1" s="1"/>
  <c r="V746" i="1"/>
  <c r="W746" i="1" s="1"/>
  <c r="V747" i="1"/>
  <c r="W747" i="1" s="1"/>
  <c r="V748" i="1"/>
  <c r="W748" i="1" s="1"/>
  <c r="V749" i="1"/>
  <c r="W749" i="1" s="1"/>
  <c r="V750" i="1"/>
  <c r="W750" i="1" s="1"/>
  <c r="V751" i="1"/>
  <c r="W751" i="1" s="1"/>
  <c r="V752" i="1"/>
  <c r="W752" i="1" s="1"/>
  <c r="V753" i="1"/>
  <c r="W753" i="1" s="1"/>
  <c r="V754" i="1"/>
  <c r="W754" i="1" s="1"/>
  <c r="V755" i="1"/>
  <c r="W755" i="1" s="1"/>
  <c r="V756" i="1"/>
  <c r="W756" i="1" s="1"/>
  <c r="V757" i="1"/>
  <c r="W757" i="1" s="1"/>
  <c r="V758" i="1"/>
  <c r="W758" i="1" s="1"/>
  <c r="V759" i="1"/>
  <c r="W759" i="1" s="1"/>
  <c r="V760" i="1"/>
  <c r="W760" i="1" s="1"/>
  <c r="V761" i="1"/>
  <c r="W761" i="1" s="1"/>
  <c r="V762" i="1"/>
  <c r="W762" i="1" s="1"/>
  <c r="V763" i="1"/>
  <c r="W763" i="1" s="1"/>
  <c r="V764" i="1"/>
  <c r="W764" i="1" s="1"/>
  <c r="V765" i="1"/>
  <c r="W765" i="1" s="1"/>
  <c r="V766" i="1"/>
  <c r="W766" i="1" s="1"/>
  <c r="V767" i="1"/>
  <c r="W767" i="1" s="1"/>
  <c r="V768" i="1"/>
  <c r="W768" i="1" s="1"/>
  <c r="V769" i="1"/>
  <c r="W769" i="1" s="1"/>
  <c r="V770" i="1"/>
  <c r="W770" i="1" s="1"/>
  <c r="V771" i="1"/>
  <c r="W771" i="1" s="1"/>
  <c r="V772" i="1"/>
  <c r="W772" i="1" s="1"/>
  <c r="V773" i="1"/>
  <c r="W773" i="1" s="1"/>
  <c r="V774" i="1"/>
  <c r="W774" i="1" s="1"/>
  <c r="V775" i="1"/>
  <c r="W775" i="1" s="1"/>
  <c r="V776" i="1"/>
  <c r="W776" i="1" s="1"/>
  <c r="V777" i="1"/>
  <c r="W777" i="1" s="1"/>
  <c r="V778" i="1"/>
  <c r="W778" i="1" s="1"/>
  <c r="V779" i="1"/>
  <c r="W779" i="1" s="1"/>
  <c r="V780" i="1"/>
  <c r="W780" i="1" s="1"/>
  <c r="V781" i="1"/>
  <c r="W781" i="1" s="1"/>
  <c r="V782" i="1"/>
  <c r="W782" i="1" s="1"/>
  <c r="V783" i="1"/>
  <c r="W783" i="1" s="1"/>
  <c r="V784" i="1"/>
  <c r="W784" i="1" s="1"/>
  <c r="V785" i="1"/>
  <c r="W785" i="1" s="1"/>
  <c r="V786" i="1"/>
  <c r="W786" i="1" s="1"/>
  <c r="V787" i="1"/>
  <c r="W787" i="1" s="1"/>
  <c r="V788" i="1"/>
  <c r="W788" i="1" s="1"/>
  <c r="V789" i="1"/>
  <c r="W789" i="1" s="1"/>
  <c r="V790" i="1"/>
  <c r="W790" i="1" s="1"/>
  <c r="V791" i="1"/>
  <c r="W791" i="1" s="1"/>
  <c r="V792" i="1"/>
  <c r="W792" i="1" s="1"/>
  <c r="V793" i="1"/>
  <c r="W793" i="1" s="1"/>
  <c r="V794" i="1"/>
  <c r="W794" i="1" s="1"/>
  <c r="V795" i="1"/>
  <c r="W795" i="1" s="1"/>
  <c r="V796" i="1"/>
  <c r="W796" i="1" s="1"/>
  <c r="V797" i="1"/>
  <c r="W797" i="1" s="1"/>
  <c r="V798" i="1"/>
  <c r="W798" i="1" s="1"/>
  <c r="V799" i="1"/>
  <c r="W799" i="1" s="1"/>
  <c r="V800" i="1"/>
  <c r="W800" i="1" s="1"/>
  <c r="V801" i="1"/>
  <c r="W801" i="1" s="1"/>
  <c r="V802" i="1"/>
  <c r="W802" i="1" s="1"/>
  <c r="V803" i="1"/>
  <c r="W803" i="1" s="1"/>
  <c r="V804" i="1"/>
  <c r="W804" i="1" s="1"/>
  <c r="V805" i="1"/>
  <c r="W805" i="1" s="1"/>
  <c r="V806" i="1"/>
  <c r="W806" i="1" s="1"/>
  <c r="V807" i="1"/>
  <c r="W807" i="1" s="1"/>
  <c r="V808" i="1"/>
  <c r="W808" i="1" s="1"/>
  <c r="V809" i="1"/>
  <c r="W809" i="1" s="1"/>
  <c r="V810" i="1"/>
  <c r="W810" i="1" s="1"/>
  <c r="V811" i="1"/>
  <c r="W811" i="1" s="1"/>
  <c r="V812" i="1"/>
  <c r="W812" i="1" s="1"/>
  <c r="V813" i="1"/>
  <c r="W813" i="1" s="1"/>
  <c r="V814" i="1"/>
  <c r="W814" i="1" s="1"/>
  <c r="V815" i="1"/>
  <c r="W815" i="1" s="1"/>
  <c r="V816" i="1"/>
  <c r="W816" i="1" s="1"/>
  <c r="V817" i="1"/>
  <c r="W817" i="1" s="1"/>
  <c r="V818" i="1"/>
  <c r="W818" i="1" s="1"/>
  <c r="V819" i="1"/>
  <c r="W819" i="1" s="1"/>
  <c r="V820" i="1"/>
  <c r="W820" i="1" s="1"/>
  <c r="V821" i="1"/>
  <c r="W821" i="1" s="1"/>
  <c r="V822" i="1"/>
  <c r="W822" i="1" s="1"/>
  <c r="V823" i="1"/>
  <c r="W823" i="1" s="1"/>
  <c r="V824" i="1"/>
  <c r="W824" i="1" s="1"/>
  <c r="V825" i="1"/>
  <c r="W825" i="1" s="1"/>
  <c r="V826" i="1"/>
  <c r="W826" i="1" s="1"/>
  <c r="V827" i="1"/>
  <c r="W827" i="1" s="1"/>
  <c r="V828" i="1"/>
  <c r="W828" i="1" s="1"/>
  <c r="V829" i="1"/>
  <c r="W829" i="1" s="1"/>
  <c r="V830" i="1"/>
  <c r="W830" i="1" s="1"/>
  <c r="V831" i="1"/>
  <c r="W831" i="1" s="1"/>
  <c r="V832" i="1"/>
  <c r="W832" i="1" s="1"/>
  <c r="V833" i="1"/>
  <c r="W833" i="1" s="1"/>
  <c r="V834" i="1"/>
  <c r="W834" i="1" s="1"/>
  <c r="V835" i="1"/>
  <c r="W835" i="1" s="1"/>
  <c r="V836" i="1"/>
  <c r="W836" i="1" s="1"/>
  <c r="V837" i="1"/>
  <c r="W837" i="1" s="1"/>
  <c r="V838" i="1"/>
  <c r="W838" i="1" s="1"/>
  <c r="V839" i="1"/>
  <c r="W839" i="1" s="1"/>
  <c r="V840" i="1"/>
  <c r="W840" i="1" s="1"/>
  <c r="V841" i="1"/>
  <c r="W841" i="1" s="1"/>
  <c r="V842" i="1"/>
  <c r="W842" i="1" s="1"/>
  <c r="V843" i="1"/>
  <c r="W843" i="1" s="1"/>
  <c r="V844" i="1"/>
  <c r="W844" i="1" s="1"/>
  <c r="V845" i="1"/>
  <c r="W845" i="1" s="1"/>
  <c r="V846" i="1"/>
  <c r="W846" i="1" s="1"/>
  <c r="V847" i="1"/>
  <c r="W847" i="1" s="1"/>
  <c r="V848" i="1"/>
  <c r="W848" i="1" s="1"/>
  <c r="V849" i="1"/>
  <c r="W849" i="1" s="1"/>
  <c r="V850" i="1"/>
  <c r="W850" i="1" s="1"/>
  <c r="V851" i="1"/>
  <c r="W851" i="1" s="1"/>
  <c r="V852" i="1"/>
  <c r="W852" i="1" s="1"/>
  <c r="V853" i="1"/>
  <c r="W853" i="1" s="1"/>
  <c r="V854" i="1"/>
  <c r="W854" i="1" s="1"/>
  <c r="V855" i="1"/>
  <c r="W855" i="1" s="1"/>
  <c r="V856" i="1"/>
  <c r="W856" i="1" s="1"/>
  <c r="V857" i="1"/>
  <c r="W857" i="1" s="1"/>
  <c r="V858" i="1"/>
  <c r="W858" i="1" s="1"/>
  <c r="V859" i="1"/>
  <c r="W859" i="1" s="1"/>
  <c r="V860" i="1"/>
  <c r="W860" i="1" s="1"/>
  <c r="V861" i="1"/>
  <c r="W861" i="1" s="1"/>
  <c r="V862" i="1"/>
  <c r="W862" i="1" s="1"/>
  <c r="V863" i="1"/>
  <c r="W863" i="1" s="1"/>
  <c r="V864" i="1"/>
  <c r="W864" i="1" s="1"/>
  <c r="V865" i="1"/>
  <c r="W865" i="1" s="1"/>
  <c r="V866" i="1"/>
  <c r="W866" i="1" s="1"/>
  <c r="V867" i="1"/>
  <c r="W867" i="1" s="1"/>
  <c r="V868" i="1"/>
  <c r="W868" i="1" s="1"/>
  <c r="V869" i="1"/>
  <c r="W869" i="1" s="1"/>
  <c r="V870" i="1"/>
  <c r="W870" i="1" s="1"/>
  <c r="V871" i="1"/>
  <c r="W871" i="1" s="1"/>
  <c r="V872" i="1"/>
  <c r="W872" i="1" s="1"/>
  <c r="V873" i="1"/>
  <c r="W873" i="1" s="1"/>
  <c r="V874" i="1"/>
  <c r="W874" i="1" s="1"/>
  <c r="V875" i="1"/>
  <c r="W875" i="1" s="1"/>
  <c r="V876" i="1"/>
  <c r="W876" i="1" s="1"/>
  <c r="V877" i="1"/>
  <c r="W877" i="1" s="1"/>
  <c r="V878" i="1"/>
  <c r="W878" i="1" s="1"/>
  <c r="V879" i="1"/>
  <c r="W879" i="1" s="1"/>
  <c r="V880" i="1"/>
  <c r="W880" i="1" s="1"/>
  <c r="V881" i="1"/>
  <c r="W881" i="1" s="1"/>
  <c r="V882" i="1"/>
  <c r="W882" i="1" s="1"/>
  <c r="V883" i="1"/>
  <c r="W883" i="1" s="1"/>
  <c r="V884" i="1"/>
  <c r="W884" i="1" s="1"/>
  <c r="V885" i="1"/>
  <c r="W885" i="1" s="1"/>
  <c r="V886" i="1"/>
  <c r="W886" i="1" s="1"/>
  <c r="V887" i="1"/>
  <c r="W887" i="1" s="1"/>
  <c r="V888" i="1"/>
  <c r="W888" i="1" s="1"/>
  <c r="V889" i="1"/>
  <c r="W889" i="1" s="1"/>
  <c r="V890" i="1"/>
  <c r="W890" i="1" s="1"/>
  <c r="V891" i="1"/>
  <c r="W891" i="1" s="1"/>
  <c r="V892" i="1"/>
  <c r="W892" i="1" s="1"/>
  <c r="V893" i="1"/>
  <c r="W893" i="1" s="1"/>
  <c r="V894" i="1"/>
  <c r="W894" i="1" s="1"/>
  <c r="V895" i="1"/>
  <c r="W895" i="1" s="1"/>
  <c r="V896" i="1"/>
  <c r="W896" i="1" s="1"/>
  <c r="V897" i="1"/>
  <c r="W897" i="1" s="1"/>
  <c r="V898" i="1"/>
  <c r="W898" i="1" s="1"/>
  <c r="V899" i="1"/>
  <c r="W899" i="1" s="1"/>
  <c r="V900" i="1"/>
  <c r="W900" i="1" s="1"/>
  <c r="V901" i="1"/>
  <c r="W901" i="1" s="1"/>
  <c r="V902" i="1"/>
  <c r="W902" i="1" s="1"/>
  <c r="V903" i="1"/>
  <c r="W903" i="1" s="1"/>
  <c r="V904" i="1"/>
  <c r="W904" i="1" s="1"/>
  <c r="V905" i="1"/>
  <c r="W905" i="1" s="1"/>
  <c r="V906" i="1"/>
  <c r="W906" i="1" s="1"/>
  <c r="V907" i="1"/>
  <c r="W907" i="1" s="1"/>
  <c r="V908" i="1"/>
  <c r="W908" i="1" s="1"/>
  <c r="V909" i="1"/>
  <c r="W909" i="1" s="1"/>
  <c r="V910" i="1"/>
  <c r="W910" i="1" s="1"/>
  <c r="V911" i="1"/>
  <c r="W911" i="1" s="1"/>
  <c r="V912" i="1"/>
  <c r="W912" i="1" s="1"/>
  <c r="V913" i="1"/>
  <c r="W913" i="1" s="1"/>
  <c r="V914" i="1"/>
  <c r="W914" i="1" s="1"/>
  <c r="V915" i="1"/>
  <c r="W915" i="1" s="1"/>
  <c r="V916" i="1"/>
  <c r="W916" i="1" s="1"/>
  <c r="V917" i="1"/>
  <c r="W917" i="1" s="1"/>
  <c r="V918" i="1"/>
  <c r="W918" i="1" s="1"/>
  <c r="V919" i="1"/>
  <c r="W919" i="1" s="1"/>
  <c r="V920" i="1"/>
  <c r="W920" i="1" s="1"/>
  <c r="V921" i="1"/>
  <c r="W921" i="1" s="1"/>
  <c r="V922" i="1"/>
  <c r="W922" i="1" s="1"/>
  <c r="V923" i="1"/>
  <c r="W923" i="1" s="1"/>
  <c r="V924" i="1"/>
  <c r="W924" i="1" s="1"/>
  <c r="V925" i="1"/>
  <c r="W925" i="1" s="1"/>
  <c r="V926" i="1"/>
  <c r="W926" i="1" s="1"/>
  <c r="V927" i="1"/>
  <c r="W927" i="1" s="1"/>
  <c r="V928" i="1"/>
  <c r="W928" i="1" s="1"/>
  <c r="V929" i="1"/>
  <c r="W929" i="1" s="1"/>
  <c r="V930" i="1"/>
  <c r="W930" i="1" s="1"/>
  <c r="V931" i="1"/>
  <c r="W931" i="1" s="1"/>
  <c r="V932" i="1"/>
  <c r="W932" i="1" s="1"/>
  <c r="V933" i="1"/>
  <c r="W933" i="1" s="1"/>
  <c r="V934" i="1"/>
  <c r="W934" i="1" s="1"/>
  <c r="V935" i="1"/>
  <c r="W935" i="1" s="1"/>
  <c r="V936" i="1"/>
  <c r="W936" i="1" s="1"/>
  <c r="V937" i="1"/>
  <c r="W937" i="1" s="1"/>
  <c r="V938" i="1"/>
  <c r="W938" i="1" s="1"/>
  <c r="V939" i="1"/>
  <c r="W939" i="1" s="1"/>
  <c r="V940" i="1"/>
  <c r="W940" i="1" s="1"/>
  <c r="V941" i="1"/>
  <c r="W941" i="1" s="1"/>
  <c r="V942" i="1"/>
  <c r="W942" i="1" s="1"/>
  <c r="V943" i="1"/>
  <c r="W943" i="1" s="1"/>
  <c r="V944" i="1"/>
  <c r="W944" i="1" s="1"/>
  <c r="V945" i="1"/>
  <c r="W945" i="1" s="1"/>
  <c r="V946" i="1"/>
  <c r="W946" i="1" s="1"/>
  <c r="V947" i="1"/>
  <c r="W947" i="1" s="1"/>
  <c r="V948" i="1"/>
  <c r="W948" i="1" s="1"/>
  <c r="V949" i="1"/>
  <c r="W949" i="1" s="1"/>
  <c r="V950" i="1"/>
  <c r="W950" i="1" s="1"/>
  <c r="V951" i="1"/>
  <c r="W951" i="1" s="1"/>
  <c r="V952" i="1"/>
  <c r="W952" i="1" s="1"/>
  <c r="V953" i="1"/>
  <c r="W953" i="1" s="1"/>
  <c r="V954" i="1"/>
  <c r="W954" i="1" s="1"/>
  <c r="V955" i="1"/>
  <c r="W955" i="1" s="1"/>
  <c r="V956" i="1"/>
  <c r="W956" i="1" s="1"/>
  <c r="V957" i="1"/>
  <c r="W957" i="1" s="1"/>
  <c r="V958" i="1"/>
  <c r="W958" i="1" s="1"/>
  <c r="V959" i="1"/>
  <c r="W959" i="1" s="1"/>
  <c r="V960" i="1"/>
  <c r="W960" i="1" s="1"/>
  <c r="V961" i="1"/>
  <c r="W961" i="1" s="1"/>
  <c r="V962" i="1"/>
  <c r="W962" i="1" s="1"/>
  <c r="V963" i="1"/>
  <c r="W963" i="1" s="1"/>
  <c r="V964" i="1"/>
  <c r="W964" i="1" s="1"/>
  <c r="V965" i="1"/>
  <c r="W965" i="1" s="1"/>
  <c r="V966" i="1"/>
  <c r="W966" i="1" s="1"/>
  <c r="V967" i="1"/>
  <c r="W967" i="1" s="1"/>
  <c r="V968" i="1"/>
  <c r="W968" i="1" s="1"/>
  <c r="V969" i="1"/>
  <c r="W969" i="1" s="1"/>
  <c r="V970" i="1"/>
  <c r="W970" i="1" s="1"/>
  <c r="V971" i="1"/>
  <c r="W971" i="1" s="1"/>
  <c r="V972" i="1"/>
  <c r="W972" i="1" s="1"/>
  <c r="V973" i="1"/>
  <c r="W973" i="1" s="1"/>
  <c r="V974" i="1"/>
  <c r="W974" i="1" s="1"/>
  <c r="V975" i="1"/>
  <c r="W975" i="1" s="1"/>
  <c r="V976" i="1"/>
  <c r="W976" i="1" s="1"/>
  <c r="V977" i="1"/>
  <c r="W977" i="1" s="1"/>
  <c r="V978" i="1"/>
  <c r="W978" i="1" s="1"/>
  <c r="V979" i="1"/>
  <c r="W979" i="1" s="1"/>
  <c r="V980" i="1"/>
  <c r="W980" i="1" s="1"/>
  <c r="V981" i="1"/>
  <c r="W981" i="1" s="1"/>
  <c r="V982" i="1"/>
  <c r="W982" i="1" s="1"/>
  <c r="V983" i="1"/>
  <c r="W983" i="1" s="1"/>
  <c r="V984" i="1"/>
  <c r="W984" i="1" s="1"/>
  <c r="V985" i="1"/>
  <c r="W985" i="1" s="1"/>
  <c r="V986" i="1"/>
  <c r="W986" i="1" s="1"/>
  <c r="V987" i="1"/>
  <c r="W987" i="1" s="1"/>
  <c r="V988" i="1"/>
  <c r="W988" i="1" s="1"/>
  <c r="V989" i="1"/>
  <c r="W989" i="1" s="1"/>
  <c r="V990" i="1"/>
  <c r="W990" i="1" s="1"/>
  <c r="V991" i="1"/>
  <c r="W991" i="1" s="1"/>
  <c r="V992" i="1"/>
  <c r="W992" i="1" s="1"/>
  <c r="V993" i="1"/>
  <c r="W993" i="1" s="1"/>
  <c r="V994" i="1"/>
  <c r="W994" i="1" s="1"/>
  <c r="V995" i="1"/>
  <c r="W995" i="1" s="1"/>
  <c r="V996" i="1"/>
  <c r="W996" i="1" s="1"/>
  <c r="V997" i="1"/>
  <c r="W997" i="1" s="1"/>
  <c r="V998" i="1"/>
  <c r="W998" i="1" s="1"/>
  <c r="V999" i="1"/>
  <c r="W999" i="1" s="1"/>
  <c r="V1000" i="1"/>
  <c r="W1000" i="1" s="1"/>
  <c r="V1001" i="1"/>
  <c r="W1001" i="1" s="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Y5" i="3" l="1"/>
  <c r="B598" i="1" l="1"/>
  <c r="B703" i="1"/>
  <c r="B446" i="1"/>
  <c r="B941" i="1"/>
  <c r="B837" i="1"/>
</calcChain>
</file>

<file path=xl/sharedStrings.xml><?xml version="1.0" encoding="utf-8"?>
<sst xmlns="http://schemas.openxmlformats.org/spreadsheetml/2006/main" count="12236" uniqueCount="1175">
  <si>
    <t>Order_ID</t>
  </si>
  <si>
    <t>Order_Date</t>
  </si>
  <si>
    <t>City</t>
  </si>
  <si>
    <t>Gender</t>
  </si>
  <si>
    <t>Category</t>
  </si>
  <si>
    <t>Brand</t>
  </si>
  <si>
    <t>Occasion</t>
  </si>
  <si>
    <t>Sales_Channel</t>
  </si>
  <si>
    <t>Quantity</t>
  </si>
  <si>
    <t>Unit_Price</t>
  </si>
  <si>
    <t>Discount_Pct</t>
  </si>
  <si>
    <t>Gross_Sales</t>
  </si>
  <si>
    <t>Discount_Amount</t>
  </si>
  <si>
    <t>Net_Sales</t>
  </si>
  <si>
    <t>Cost</t>
  </si>
  <si>
    <t>Profit</t>
  </si>
  <si>
    <t>Payment_Method</t>
  </si>
  <si>
    <t>Salesperson</t>
  </si>
  <si>
    <t>Customer_Source</t>
  </si>
  <si>
    <t>Customer_Rating</t>
  </si>
  <si>
    <t>Month</t>
  </si>
  <si>
    <t>Order_Day</t>
  </si>
  <si>
    <t>ZAR-10940</t>
  </si>
  <si>
    <t>Cuttack</t>
  </si>
  <si>
    <t>Women</t>
  </si>
  <si>
    <t>Salwar Suit</t>
  </si>
  <si>
    <t>Manyavar</t>
  </si>
  <si>
    <t>Office</t>
  </si>
  <si>
    <t>Net Banking</t>
  </si>
  <si>
    <t>Jul</t>
  </si>
  <si>
    <t>Sunday</t>
  </si>
  <si>
    <t>ZAR-10632</t>
  </si>
  <si>
    <t>Balasore</t>
  </si>
  <si>
    <t>Kurti</t>
  </si>
  <si>
    <t>Aurelia</t>
  </si>
  <si>
    <t>Store</t>
  </si>
  <si>
    <t>Card</t>
  </si>
  <si>
    <t>Ananya</t>
  </si>
  <si>
    <t>Google</t>
  </si>
  <si>
    <t>Dec</t>
  </si>
  <si>
    <t>Wednesday</t>
  </si>
  <si>
    <t>ZAR-10684</t>
  </si>
  <si>
    <t>Bridal Lehenga</t>
  </si>
  <si>
    <t>Designer Collection</t>
  </si>
  <si>
    <t>Wedding</t>
  </si>
  <si>
    <t>Instagram</t>
  </si>
  <si>
    <t>UPI</t>
  </si>
  <si>
    <t>Neha</t>
  </si>
  <si>
    <t>Jun</t>
  </si>
  <si>
    <t>Monday</t>
  </si>
  <si>
    <t>ZAR-10516</t>
  </si>
  <si>
    <t>Men</t>
  </si>
  <si>
    <t>Sherwani</t>
  </si>
  <si>
    <t>Local Artisan</t>
  </si>
  <si>
    <t>Reception</t>
  </si>
  <si>
    <t>COD</t>
  </si>
  <si>
    <t>Referral</t>
  </si>
  <si>
    <t>Oct</t>
  </si>
  <si>
    <t>Friday</t>
  </si>
  <si>
    <t>ZAR-10367</t>
  </si>
  <si>
    <t>Sambalpur</t>
  </si>
  <si>
    <t>Lehenga</t>
  </si>
  <si>
    <t>Zaree Studio</t>
  </si>
  <si>
    <t>Festive</t>
  </si>
  <si>
    <t>WhatsApp</t>
  </si>
  <si>
    <t>Karan</t>
  </si>
  <si>
    <t>Feb</t>
  </si>
  <si>
    <t>Thursday</t>
  </si>
  <si>
    <t>ZAR-10657</t>
  </si>
  <si>
    <t>Berhampur</t>
  </si>
  <si>
    <t>Rohit</t>
  </si>
  <si>
    <t>Saturday</t>
  </si>
  <si>
    <t>ZAR-10658</t>
  </si>
  <si>
    <t>Kurta Pajama</t>
  </si>
  <si>
    <t>Rangriti</t>
  </si>
  <si>
    <t>Nov</t>
  </si>
  <si>
    <t>ZAR-10531</t>
  </si>
  <si>
    <t>Rourkela</t>
  </si>
  <si>
    <t>Phone</t>
  </si>
  <si>
    <t>Cash</t>
  </si>
  <si>
    <t>Repeat Customer</t>
  </si>
  <si>
    <t>ZAR-10323</t>
  </si>
  <si>
    <t>Puja</t>
  </si>
  <si>
    <t>ZAR-10072</t>
  </si>
  <si>
    <t>Saree</t>
  </si>
  <si>
    <t>Walk-in</t>
  </si>
  <si>
    <t>Tuesday</t>
  </si>
  <si>
    <t>ZAR-10794</t>
  </si>
  <si>
    <t>Dupatta</t>
  </si>
  <si>
    <t>Priya</t>
  </si>
  <si>
    <t>Aug</t>
  </si>
  <si>
    <t>ZAR-10373</t>
  </si>
  <si>
    <t>Wedding Guest</t>
  </si>
  <si>
    <t>Website</t>
  </si>
  <si>
    <t>Meera</t>
  </si>
  <si>
    <t>ZAR-10843</t>
  </si>
  <si>
    <t>Kids</t>
  </si>
  <si>
    <t>Kids Gown</t>
  </si>
  <si>
    <t>Casual</t>
  </si>
  <si>
    <t>Apr</t>
  </si>
  <si>
    <t>ZAR-10458</t>
  </si>
  <si>
    <t>Indo-Western</t>
  </si>
  <si>
    <t>Biba</t>
  </si>
  <si>
    <t>Family Function</t>
  </si>
  <si>
    <t>Sanjay</t>
  </si>
  <si>
    <t>ZAR-10249</t>
  </si>
  <si>
    <t>ZAR-10613</t>
  </si>
  <si>
    <t>ZAR-10707</t>
  </si>
  <si>
    <t>Puri</t>
  </si>
  <si>
    <t>ZAR-10984</t>
  </si>
  <si>
    <t>Blouse</t>
  </si>
  <si>
    <t>May</t>
  </si>
  <si>
    <t>ZAR-10300</t>
  </si>
  <si>
    <t>FabIndia</t>
  </si>
  <si>
    <t>ZAR-10103</t>
  </si>
  <si>
    <t>Kids Lehenga</t>
  </si>
  <si>
    <t>ZAR-10965</t>
  </si>
  <si>
    <t>ZAR-10607</t>
  </si>
  <si>
    <t>ZAR-10215</t>
  </si>
  <si>
    <t>ZAR-10239</t>
  </si>
  <si>
    <t>Gown</t>
  </si>
  <si>
    <t>ZAR-10595</t>
  </si>
  <si>
    <t>Dhoti Set</t>
  </si>
  <si>
    <t>ZAR-10283</t>
  </si>
  <si>
    <t>ZAR-10379</t>
  </si>
  <si>
    <t>Engagement</t>
  </si>
  <si>
    <t xml:space="preserve"> ZAR-10288 </t>
  </si>
  <si>
    <t>Mar</t>
  </si>
  <si>
    <t>ZAR-10390</t>
  </si>
  <si>
    <t>Kids Saree</t>
  </si>
  <si>
    <t>ZAR-10887</t>
  </si>
  <si>
    <t>ZAR-10720</t>
  </si>
  <si>
    <t>ZAR-10837</t>
  </si>
  <si>
    <t>ZAR-10098</t>
  </si>
  <si>
    <t>Kids Sherwani</t>
  </si>
  <si>
    <t>ZAR-10246</t>
  </si>
  <si>
    <t>ZAR-10738</t>
  </si>
  <si>
    <t>ZAR-10078</t>
  </si>
  <si>
    <t>ZAR-10901</t>
  </si>
  <si>
    <t>ZAR-10211</t>
  </si>
  <si>
    <t>Nehru Jacket</t>
  </si>
  <si>
    <t>ZAR-10261</t>
  </si>
  <si>
    <t>ZAR-10160</t>
  </si>
  <si>
    <t>ZAR-10497</t>
  </si>
  <si>
    <t>ZAR-10528</t>
  </si>
  <si>
    <t>Kids Kurta</t>
  </si>
  <si>
    <t>ZAR-10333</t>
  </si>
  <si>
    <t>ZAR-10956</t>
  </si>
  <si>
    <t>ZAR-10316</t>
  </si>
  <si>
    <t>ZAR-10296</t>
  </si>
  <si>
    <t>ZAR-10383</t>
  </si>
  <si>
    <t>Jan</t>
  </si>
  <si>
    <t>ZAR-10924</t>
  </si>
  <si>
    <t>Shirt</t>
  </si>
  <si>
    <t>ZAR-10983</t>
  </si>
  <si>
    <t>Sep</t>
  </si>
  <si>
    <t>ZAR-10879</t>
  </si>
  <si>
    <t xml:space="preserve">Sambalpur </t>
  </si>
  <si>
    <t>ZAR-10623</t>
  </si>
  <si>
    <t>ZAR-10937</t>
  </si>
  <si>
    <t>ZAR-10061</t>
  </si>
  <si>
    <t>sambalpur</t>
  </si>
  <si>
    <t>ZAR-10627</t>
  </si>
  <si>
    <t>IG</t>
  </si>
  <si>
    <t>ZAR-10560</t>
  </si>
  <si>
    <t>ZAR-10747</t>
  </si>
  <si>
    <t>ZAR-10382</t>
  </si>
  <si>
    <t>ZAR-10056</t>
  </si>
  <si>
    <t>ZAR-10025</t>
  </si>
  <si>
    <t>ZAR-10032</t>
  </si>
  <si>
    <t>ZAR-10896</t>
  </si>
  <si>
    <t>ZAR-10431</t>
  </si>
  <si>
    <t>ZAR-10012</t>
  </si>
  <si>
    <t>ZAR-10951</t>
  </si>
  <si>
    <t>ZAR-10813</t>
  </si>
  <si>
    <t>ZAR-10484</t>
  </si>
  <si>
    <t>ZAR-10447</t>
  </si>
  <si>
    <t>ZAR-10201</t>
  </si>
  <si>
    <t>ZAR-10502</t>
  </si>
  <si>
    <t>ZAR-10776</t>
  </si>
  <si>
    <t>ZAR-10109</t>
  </si>
  <si>
    <t>ZAR-10220</t>
  </si>
  <si>
    <t>ZAR-10422</t>
  </si>
  <si>
    <t>ZAR-10176</t>
  </si>
  <si>
    <t>ZAR-10723</t>
  </si>
  <si>
    <t>ZAR-10521</t>
  </si>
  <si>
    <t>ZAR-10455</t>
  </si>
  <si>
    <t>ZAR-10933</t>
  </si>
  <si>
    <t>ZAR-10041</t>
  </si>
  <si>
    <t>1</t>
  </si>
  <si>
    <t>ZAR-10553</t>
  </si>
  <si>
    <t>ZAR-10918</t>
  </si>
  <si>
    <t>ZAR-10353</t>
  </si>
  <si>
    <t>ZAR-10068</t>
  </si>
  <si>
    <t>ZAR-10279</t>
  </si>
  <si>
    <t>ZAR-10069</t>
  </si>
  <si>
    <t>ZAR-10910</t>
  </si>
  <si>
    <t>Whatsapp</t>
  </si>
  <si>
    <t>ZAR-10736</t>
  </si>
  <si>
    <t>ZAR-10844</t>
  </si>
  <si>
    <t>instagram</t>
  </si>
  <si>
    <t>ZAR-10298</t>
  </si>
  <si>
    <t>ZAR-10620</t>
  </si>
  <si>
    <t>ZAR-10600</t>
  </si>
  <si>
    <t>ZAR-10819</t>
  </si>
  <si>
    <t>ZAR-10808</t>
  </si>
  <si>
    <t>ZAR-10425</t>
  </si>
  <si>
    <t>ZAR-10760</t>
  </si>
  <si>
    <t>ZAR-10314</t>
  </si>
  <si>
    <t>ZAR-10186</t>
  </si>
  <si>
    <t>ZAR-10334</t>
  </si>
  <si>
    <t>ZAR-10090</t>
  </si>
  <si>
    <t>whatsapp</t>
  </si>
  <si>
    <t>ZAR-10065</t>
  </si>
  <si>
    <t>ZAR-10834</t>
  </si>
  <si>
    <t>ZAR-10578</t>
  </si>
  <si>
    <t>ZAR-10217</t>
  </si>
  <si>
    <t>ZAR-10606</t>
  </si>
  <si>
    <t>ZAR-10550</t>
  </si>
  <si>
    <t>ZAR-10292</t>
  </si>
  <si>
    <t>ZAR-10790</t>
  </si>
  <si>
    <t>ZAR-10891</t>
  </si>
  <si>
    <t>ZAR-10969</t>
  </si>
  <si>
    <t>ZAR-10946</t>
  </si>
  <si>
    <t>ZAR-10829</t>
  </si>
  <si>
    <t>ZAR-10809</t>
  </si>
  <si>
    <t>ZAR-10696</t>
  </si>
  <si>
    <t>ZAR-10995</t>
  </si>
  <si>
    <t>ZAR-10311</t>
  </si>
  <si>
    <t>ZAR-10088</t>
  </si>
  <si>
    <t>cash</t>
  </si>
  <si>
    <t>ZAR-10741</t>
  </si>
  <si>
    <t>ZAR-10518</t>
  </si>
  <si>
    <t>ZAR-10312</t>
  </si>
  <si>
    <t>ZAR-10538</t>
  </si>
  <si>
    <t>ZAR-10138</t>
  </si>
  <si>
    <t>ZAR-10875</t>
  </si>
  <si>
    <t>ZAR-10467</t>
  </si>
  <si>
    <t>ZAR-10904</t>
  </si>
  <si>
    <t>ZAR-10263</t>
  </si>
  <si>
    <t>ZAR-10488</t>
  </si>
  <si>
    <t>ZAR-10170</t>
  </si>
  <si>
    <t>ZAR-10832</t>
  </si>
  <si>
    <t>ZAR-10449</t>
  </si>
  <si>
    <t>ZAR-10141</t>
  </si>
  <si>
    <t>ZAR-10742</t>
  </si>
  <si>
    <t>ZAR-10666</t>
  </si>
  <si>
    <t>ZAR-10857</t>
  </si>
  <si>
    <t>upi</t>
  </si>
  <si>
    <t>ZAR-10442</t>
  </si>
  <si>
    <t>ZAR-10871</t>
  </si>
  <si>
    <t>ZAR-10533</t>
  </si>
  <si>
    <t>ZAR-10057</t>
  </si>
  <si>
    <t>ZAR-10122</t>
  </si>
  <si>
    <t>ZAR-10530</t>
  </si>
  <si>
    <t>ZAR-10027</t>
  </si>
  <si>
    <t>ZAR-10074</t>
  </si>
  <si>
    <t>ZAR-10046</t>
  </si>
  <si>
    <t>ZAR-10251</t>
  </si>
  <si>
    <t>ZAR-10396</t>
  </si>
  <si>
    <t>ZAR-10916</t>
  </si>
  <si>
    <t>ZAR-10902</t>
  </si>
  <si>
    <t>ZAR-10748</t>
  </si>
  <si>
    <t>ZAR-10200</t>
  </si>
  <si>
    <t>ZAR-10818</t>
  </si>
  <si>
    <t>ZAR-10357</t>
  </si>
  <si>
    <t>ZAR-10325</t>
  </si>
  <si>
    <t>ZAR-10878</t>
  </si>
  <si>
    <t>ZAR-10745</t>
  </si>
  <si>
    <t>ZAR-10237</t>
  </si>
  <si>
    <t>ZAR-10580</t>
  </si>
  <si>
    <t>ZAR-10949</t>
  </si>
  <si>
    <t>ZAR-10943</t>
  </si>
  <si>
    <t>ZAR-10907</t>
  </si>
  <si>
    <t>ZAR-10301</t>
  </si>
  <si>
    <t>ZAR-10062</t>
  </si>
  <si>
    <t>ZAR-10329</t>
  </si>
  <si>
    <t>ZAR-10529</t>
  </si>
  <si>
    <t>ZAR-10601</t>
  </si>
  <si>
    <t>ZAR-10543</t>
  </si>
  <si>
    <t>ZAR-10651</t>
  </si>
  <si>
    <t>ZAR-10919</t>
  </si>
  <si>
    <t>ZAR-10598</t>
  </si>
  <si>
    <t>ZAR-10544</t>
  </si>
  <si>
    <t>ZAR-10964</t>
  </si>
  <si>
    <t>ZAR-10307</t>
  </si>
  <si>
    <t>ZAR-10320</t>
  </si>
  <si>
    <t>ZAR-10483</t>
  </si>
  <si>
    <t>ZAR-10495</t>
  </si>
  <si>
    <t>ZAR-10267</t>
  </si>
  <si>
    <t>ZAR-10112</t>
  </si>
  <si>
    <t>ZAR-10470</t>
  </si>
  <si>
    <t>ZAR-10739</t>
  </si>
  <si>
    <t>ZAR-10527</t>
  </si>
  <si>
    <t>cuttack</t>
  </si>
  <si>
    <t>ZAR-10258</t>
  </si>
  <si>
    <t>ZAR-10262</t>
  </si>
  <si>
    <t>ZAR-10546</t>
  </si>
  <si>
    <t>ZAR-10407</t>
  </si>
  <si>
    <t>ZAR-10430</t>
  </si>
  <si>
    <t>ZAR-10630</t>
  </si>
  <si>
    <t>ZAR-10503</t>
  </si>
  <si>
    <t>ZAR-10434</t>
  </si>
  <si>
    <t>ZAR-10734</t>
  </si>
  <si>
    <t>ZAR-10139</t>
  </si>
  <si>
    <t>ZAR-10359</t>
  </si>
  <si>
    <t>ZAR-10932</t>
  </si>
  <si>
    <t>ZAR-10223</t>
  </si>
  <si>
    <t>ZAR-10756</t>
  </si>
  <si>
    <t>ZAR-10596</t>
  </si>
  <si>
    <t>ZAR-10559</t>
  </si>
  <si>
    <t>ZAR-10365</t>
  </si>
  <si>
    <t>ZAR-10525</t>
  </si>
  <si>
    <t>ZAR-10210</t>
  </si>
  <si>
    <t>ZAR-10859</t>
  </si>
  <si>
    <t>ZAR-10336</t>
  </si>
  <si>
    <t>ZAR-10212</t>
  </si>
  <si>
    <t>ZAR-10352</t>
  </si>
  <si>
    <t>ZAR-10080</t>
  </si>
  <si>
    <t>ZAR-10031</t>
  </si>
  <si>
    <t>10300.0</t>
  </si>
  <si>
    <t>ZAR-10282</t>
  </si>
  <si>
    <t>ZAR-10509</t>
  </si>
  <si>
    <t>ZAR-10654</t>
  </si>
  <si>
    <t>ZAR-10950</t>
  </si>
  <si>
    <t>ZAR-10291</t>
  </si>
  <si>
    <t>ZAR-10167</t>
  </si>
  <si>
    <t>ZAR-10764</t>
  </si>
  <si>
    <t>ZAR-10499</t>
  </si>
  <si>
    <t>ZAR-10464</t>
  </si>
  <si>
    <t>ZAR-10067</t>
  </si>
  <si>
    <t>ZAR-10143</t>
  </si>
  <si>
    <t>ZAR-10277</t>
  </si>
  <si>
    <t>ZAR-10835</t>
  </si>
  <si>
    <t>ZAR-10584</t>
  </si>
  <si>
    <t>ZAR-10466</t>
  </si>
  <si>
    <t>ZAR-10670</t>
  </si>
  <si>
    <t>ZAR-10321</t>
  </si>
  <si>
    <t>ZAR-10718</t>
  </si>
  <si>
    <t>ZAR-10308</t>
  </si>
  <si>
    <t>ZAR-10309</t>
  </si>
  <si>
    <t>ZAR-10828</t>
  </si>
  <si>
    <t>ZAR-10335</t>
  </si>
  <si>
    <t>ZAR-10051</t>
  </si>
  <si>
    <t>ZAR-10733</t>
  </si>
  <si>
    <t>ZAR-10004</t>
  </si>
  <si>
    <t>ZAR-10788</t>
  </si>
  <si>
    <t>Upi</t>
  </si>
  <si>
    <t>ZAR-10354</t>
  </si>
  <si>
    <t>ZAR-10912</t>
  </si>
  <si>
    <t>ZAR-10540</t>
  </si>
  <si>
    <t>ZAR-10348</t>
  </si>
  <si>
    <t>ZAR-10895</t>
  </si>
  <si>
    <t>ZAR-10485</t>
  </si>
  <si>
    <t>ZAR-10662</t>
  </si>
  <si>
    <t>ZAR-10035</t>
  </si>
  <si>
    <t>4</t>
  </si>
  <si>
    <t>ZAR-10033</t>
  </si>
  <si>
    <t>ZAR-10233</t>
  </si>
  <si>
    <t>ZAR-10754</t>
  </si>
  <si>
    <t>ZAR-10194</t>
  </si>
  <si>
    <t>ZAR-10515</t>
  </si>
  <si>
    <t>ZAR-10005</t>
  </si>
  <si>
    <t>ZAR-10206</t>
  </si>
  <si>
    <t>ZAR-10435</t>
  </si>
  <si>
    <t>ZAR-10810</t>
  </si>
  <si>
    <t>ZAR-10988</t>
  </si>
  <si>
    <t>ZAR-10111</t>
  </si>
  <si>
    <t>ZAR-10944</t>
  </si>
  <si>
    <t>ZAR-10079</t>
  </si>
  <si>
    <t>ZAR-10086</t>
  </si>
  <si>
    <t>ZAR-10590</t>
  </si>
  <si>
    <t>ZAR-10084</t>
  </si>
  <si>
    <t>ZAR-10256</t>
  </si>
  <si>
    <t>ZAR-10926</t>
  </si>
  <si>
    <t>ZAR-10410</t>
  </si>
  <si>
    <t>ZAR-10655</t>
  </si>
  <si>
    <t>ZAR-10523</t>
  </si>
  <si>
    <t>ZAR-10922</t>
  </si>
  <si>
    <t>ZAR-10438</t>
  </si>
  <si>
    <t>ZAR-10007</t>
  </si>
  <si>
    <t>ZAR-10406</t>
  </si>
  <si>
    <t>ZAR-10469</t>
  </si>
  <si>
    <t>ZAR-10099</t>
  </si>
  <si>
    <t>ZAR-10561</t>
  </si>
  <si>
    <t>ZAR-10361</t>
  </si>
  <si>
    <t>ZAR-10876</t>
  </si>
  <si>
    <t>ZAR-10268</t>
  </si>
  <si>
    <t>ZAR-10679</t>
  </si>
  <si>
    <t>ZAR-10384</t>
  </si>
  <si>
    <t>ZAR-10695</t>
  </si>
  <si>
    <t>ZAR-10413</t>
  </si>
  <si>
    <t>ZAR-10889</t>
  </si>
  <si>
    <t>ZAR-10120</t>
  </si>
  <si>
    <t>ZAR-10432</t>
  </si>
  <si>
    <t>ZAR-10252</t>
  </si>
  <si>
    <t>ZAR-10344</t>
  </si>
  <si>
    <t>ZAR-10011</t>
  </si>
  <si>
    <t>ZAR-10198</t>
  </si>
  <si>
    <t>ZAR-10987</t>
  </si>
  <si>
    <t>20</t>
  </si>
  <si>
    <t>ZAR-10083</t>
  </si>
  <si>
    <t>ZAR-10915</t>
  </si>
  <si>
    <t>ZAR-10480</t>
  </si>
  <si>
    <t>ZAR-10698</t>
  </si>
  <si>
    <t>ZAR-10241</t>
  </si>
  <si>
    <t>ZAR-10294</t>
  </si>
  <si>
    <t>Insta</t>
  </si>
  <si>
    <t>ZAR-10213</t>
  </si>
  <si>
    <t>ZAR-10724</t>
  </si>
  <si>
    <t>ZAR-10363</t>
  </si>
  <si>
    <t>ZAR-10453</t>
  </si>
  <si>
    <t>ZAR-10229</t>
  </si>
  <si>
    <t>ZAR-10909</t>
  </si>
  <si>
    <t>ZAR-10364</t>
  </si>
  <si>
    <t>ZAR-10804</t>
  </si>
  <si>
    <t>ZAR-10659</t>
  </si>
  <si>
    <t>ZAR-10709</t>
  </si>
  <si>
    <t>ZAR-10646</t>
  </si>
  <si>
    <t>ZAR-10583</t>
  </si>
  <si>
    <t>ZAR-10779</t>
  </si>
  <si>
    <t>ZAR-10372</t>
  </si>
  <si>
    <t>ZAR-10009</t>
  </si>
  <si>
    <t>ZAR-10157</t>
  </si>
  <si>
    <t>ZAR-10545</t>
  </si>
  <si>
    <t>ZAR-10444</t>
  </si>
  <si>
    <t>ZAR-10824</t>
  </si>
  <si>
    <t>ZAR-10400</t>
  </si>
  <si>
    <t>ZAR-10785</t>
  </si>
  <si>
    <t>ZAR-10570</t>
  </si>
  <si>
    <t>ZAR-10593</t>
  </si>
  <si>
    <t>ZAR-10582</t>
  </si>
  <si>
    <t>ZAR-10942</t>
  </si>
  <si>
    <t>ZAR-10697</t>
  </si>
  <si>
    <t>ZAR-10870</t>
  </si>
  <si>
    <t>ZAR-10534</t>
  </si>
  <si>
    <t>ZAR-10587</t>
  </si>
  <si>
    <t>ZAR-10714</t>
  </si>
  <si>
    <t>ZAR-10452</t>
  </si>
  <si>
    <t>ZAR-10782</t>
  </si>
  <si>
    <t>ZAR-10230</t>
  </si>
  <si>
    <t>ZAR-10592</t>
  </si>
  <si>
    <t>ZAR-10825</t>
  </si>
  <si>
    <t>ZAR-10214</t>
  </si>
  <si>
    <t>ZAR-10081</t>
  </si>
  <si>
    <t>ZAR-10150</t>
  </si>
  <si>
    <t>ZAR-10304</t>
  </si>
  <si>
    <t>ZAR-10867</t>
  </si>
  <si>
    <t>ZAR-10330</t>
  </si>
  <si>
    <t>ZAR-10931</t>
  </si>
  <si>
    <t>ZAR-10346</t>
  </si>
  <si>
    <t>ZAR-10547</t>
  </si>
  <si>
    <t>ZAR-10508</t>
  </si>
  <si>
    <t>ZAR-10135</t>
  </si>
  <si>
    <t>ZAR-10554</t>
  </si>
  <si>
    <t>ZAR-10313</t>
  </si>
  <si>
    <t>ZAR-10792</t>
  </si>
  <si>
    <t>ZAR-10569</t>
  </si>
  <si>
    <t>ZAR-10002</t>
  </si>
  <si>
    <t>ZAR-10318</t>
  </si>
  <si>
    <t>ZAR-10713</t>
  </si>
  <si>
    <t>ZAR-10551</t>
  </si>
  <si>
    <t>ZAR-10619</t>
  </si>
  <si>
    <t>ZAR-10536</t>
  </si>
  <si>
    <t>ZAR-10481</t>
  </si>
  <si>
    <t>ZAR-10780</t>
  </si>
  <si>
    <t>ZAR-10174</t>
  </si>
  <si>
    <t>ZAR-10127</t>
  </si>
  <si>
    <t>ZAR-10426</t>
  </si>
  <si>
    <t>ZAR-10424</t>
  </si>
  <si>
    <t>ZAR-10556</t>
  </si>
  <si>
    <t>ZAR-10911</t>
  </si>
  <si>
    <t>ZAR-10092</t>
  </si>
  <si>
    <t>ZAR-10947</t>
  </si>
  <si>
    <t>ZAR-10183</t>
  </si>
  <si>
    <t>ZAR-10276</t>
  </si>
  <si>
    <t>ZAR-10903</t>
  </si>
  <si>
    <t>ZAR-10071</t>
  </si>
  <si>
    <t>ZAR-10293</t>
  </si>
  <si>
    <t>ZAR-10133</t>
  </si>
  <si>
    <t>ZAR-10302</t>
  </si>
  <si>
    <t>ZAR-10585</t>
  </si>
  <si>
    <t>ZAR-10328</t>
  </si>
  <si>
    <t>ZAR-10146</t>
  </si>
  <si>
    <t>ZAR-10427</t>
  </si>
  <si>
    <t>ZAR-10586</t>
  </si>
  <si>
    <t>ZAR-10137</t>
  </si>
  <si>
    <t>ZAR-10668</t>
  </si>
  <si>
    <t>ZAR-10166</t>
  </si>
  <si>
    <t>ZAR-10030</t>
  </si>
  <si>
    <t>ZAR-10938</t>
  </si>
  <si>
    <t>ZAR-10195</t>
  </si>
  <si>
    <t>ZAR-10999</t>
  </si>
  <si>
    <t>net banking</t>
  </si>
  <si>
    <t>ZAR-10752</t>
  </si>
  <si>
    <t>ZAR-10171</t>
  </si>
  <si>
    <t>ZAR-10492</t>
  </si>
  <si>
    <t>ZAR-10142</t>
  </si>
  <si>
    <t>ZAR-10175</t>
  </si>
  <si>
    <t>ZAR-10008</t>
  </si>
  <si>
    <t>ZAR-10852</t>
  </si>
  <si>
    <t>ZAR-10637</t>
  </si>
  <si>
    <t>ZAR-10075</t>
  </si>
  <si>
    <t>ZAR-10689</t>
  </si>
  <si>
    <t>ZAR-10985</t>
  </si>
  <si>
    <t>ZAR-10240</t>
  </si>
  <si>
    <t>ZAR-10147</t>
  </si>
  <si>
    <t>ZAR-10800</t>
  </si>
  <si>
    <t>ZAR-10236</t>
  </si>
  <si>
    <t>ZAR-10222</t>
  </si>
  <si>
    <t>ZAR-10479</t>
  </si>
  <si>
    <t>ZAR-10882</t>
  </si>
  <si>
    <t>ZAR-10134</t>
  </si>
  <si>
    <t>ZAR-11000</t>
  </si>
  <si>
    <t>ZAR-10845</t>
  </si>
  <si>
    <t>ZAR-10187</t>
  </si>
  <si>
    <t>ZAR-10043</t>
  </si>
  <si>
    <t>ZAR-11001</t>
  </si>
  <si>
    <t>ZAR-10110</t>
  </si>
  <si>
    <t>ZAR-10925</t>
  </si>
  <si>
    <t>ZAR-10058</t>
  </si>
  <si>
    <t>ZAR-10532</t>
  </si>
  <si>
    <t>ZAR-10874</t>
  </si>
  <si>
    <t>ZAR-10605</t>
  </si>
  <si>
    <t>ZAR-10868</t>
  </si>
  <si>
    <t>ZAR-10026</t>
  </si>
  <si>
    <t>ZAR-10652</t>
  </si>
  <si>
    <t>ZAR-10450</t>
  </si>
  <si>
    <t>ZAR-10535</t>
  </si>
  <si>
    <t>ZAR-10624</t>
  </si>
  <si>
    <t>ZAR-10755</t>
  </si>
  <si>
    <t>ZAR-10934</t>
  </si>
  <si>
    <t>ZAR-10340</t>
  </si>
  <si>
    <t>ZAR-10053</t>
  </si>
  <si>
    <t>ZAR-10669</t>
  </si>
  <si>
    <t>ZAR-10520</t>
  </si>
  <si>
    <t>ZAR-10928</t>
  </si>
  <si>
    <t>ZAR-10638</t>
  </si>
  <si>
    <t>10</t>
  </si>
  <si>
    <t>ZAR-10266</t>
  </si>
  <si>
    <t>ZAR-10541</t>
  </si>
  <si>
    <t>ZAR-10717</t>
  </si>
  <si>
    <t>ZAR-10961</t>
  </si>
  <si>
    <t>ZAR-10954</t>
  </si>
  <si>
    <t>ZAR-10881</t>
  </si>
  <si>
    <t>ZAR-10451</t>
  </si>
  <si>
    <t>ZAR-10020</t>
  </si>
  <si>
    <t xml:space="preserve"> ZAR-10722 </t>
  </si>
  <si>
    <t>ZAR-10487</t>
  </si>
  <si>
    <t>ZAR-10572</t>
  </si>
  <si>
    <t>ZAR-10066</t>
  </si>
  <si>
    <t>ZAR-10369</t>
  </si>
  <si>
    <t>ZAR-10085</t>
  </si>
  <si>
    <t>ZAR-10063</t>
  </si>
  <si>
    <t>ZAR-10441</t>
  </si>
  <si>
    <t>ZAR-10274</t>
  </si>
  <si>
    <t>ZAR-10287</t>
  </si>
  <si>
    <t>ZAR-10362</t>
  </si>
  <si>
    <t>ZAR-10356</t>
  </si>
  <si>
    <t xml:space="preserve"> ZAR-10996 </t>
  </si>
  <si>
    <t>ZAR-10280</t>
  </si>
  <si>
    <t>ZAR-10014</t>
  </si>
  <si>
    <t>ZAR-10184</t>
  </si>
  <si>
    <t>ZAR-10370</t>
  </si>
  <si>
    <t>ZAR-10496</t>
  </si>
  <si>
    <t>ZAR-10803</t>
  </si>
  <si>
    <t>ZAR-10225</t>
  </si>
  <si>
    <t>ZAR-10577</t>
  </si>
  <si>
    <t>ZAR-10705</t>
  </si>
  <si>
    <t>ZAR-10589</t>
  </si>
  <si>
    <t>ZAR-10549</t>
  </si>
  <si>
    <t>ZAR-10677</t>
  </si>
  <si>
    <t>ZAR-10758</t>
  </si>
  <si>
    <t>ZAR-10178</t>
  </si>
  <si>
    <t xml:space="preserve"> ZAR-10671 </t>
  </si>
  <si>
    <t>ZAR-10633</t>
  </si>
  <si>
    <t>ZAR-10591</t>
  </si>
  <si>
    <t>ZAR-10524</t>
  </si>
  <si>
    <t>ZAR-10395</t>
  </si>
  <si>
    <t>ZAR-10165</t>
  </si>
  <si>
    <t>ZAR-10250</t>
  </si>
  <si>
    <t>ZAR-10640</t>
  </si>
  <si>
    <t>ZAR-10893</t>
  </si>
  <si>
    <t>ZAR-10675</t>
  </si>
  <si>
    <t>ZAR-10377</t>
  </si>
  <si>
    <t>ZAR-10414</t>
  </si>
  <si>
    <t>ZAR-10076</t>
  </si>
  <si>
    <t>ZAR-10115</t>
  </si>
  <si>
    <t>ZAR-10574</t>
  </si>
  <si>
    <t>ZAR-10645</t>
  </si>
  <si>
    <t>ZAR-10392</t>
  </si>
  <si>
    <t>ZAR-10106</t>
  </si>
  <si>
    <t>ZAR-10116</t>
  </si>
  <si>
    <t>ZAR-10419</t>
  </si>
  <si>
    <t>ZAR-10715</t>
  </si>
  <si>
    <t>ZAR-10459</t>
  </si>
  <si>
    <t>ZAR-10411</t>
  </si>
  <si>
    <t>ZAR-10094</t>
  </si>
  <si>
    <t>ZAR-10980</t>
  </si>
  <si>
    <t>ZAR-10091</t>
  </si>
  <si>
    <t>ZAR-10338</t>
  </si>
  <si>
    <t>ZAR-10998</t>
  </si>
  <si>
    <t>ZAR-10929</t>
  </si>
  <si>
    <t>ZAR-10941</t>
  </si>
  <si>
    <t>ZAR-10853</t>
  </si>
  <si>
    <t>ZAR-10599</t>
  </si>
  <si>
    <t>ZAR-10617</t>
  </si>
  <si>
    <t>ZAR-10096</t>
  </si>
  <si>
    <t>ZAR-10013</t>
  </si>
  <si>
    <t>ZAR-10398</t>
  </si>
  <si>
    <t>ZAR-10537</t>
  </si>
  <si>
    <t>ZAR-10045</t>
  </si>
  <si>
    <t>ZAR-10044</t>
  </si>
  <si>
    <t>ZAR-10331</t>
  </si>
  <si>
    <t>ZAR-10169</t>
  </si>
  <si>
    <t>ZAR-10501</t>
  </si>
  <si>
    <t>ZAR-10884</t>
  </si>
  <si>
    <t>21050.0</t>
  </si>
  <si>
    <t>ZAR-10603</t>
  </si>
  <si>
    <t>ZAR-10763</t>
  </si>
  <si>
    <t>ZAR-10102</t>
  </si>
  <si>
    <t>ZAR-10428</t>
  </si>
  <si>
    <t>Bhubaneshwar</t>
  </si>
  <si>
    <t>ZAR-10180</t>
  </si>
  <si>
    <t>ZAR-10446</t>
  </si>
  <si>
    <t>ZAR-10418</t>
  </si>
  <si>
    <t>ZAR-10839</t>
  </si>
  <si>
    <t>ZAR-10890</t>
  </si>
  <si>
    <t>ZAR-10664</t>
  </si>
  <si>
    <t>ZAR-10179</t>
  </si>
  <si>
    <t>ZAR-10397</t>
  </si>
  <si>
    <t>ZAR-10682</t>
  </si>
  <si>
    <t>ZAR-10801</t>
  </si>
  <si>
    <t>ZAR-10970</t>
  </si>
  <si>
    <t>ZAR-10690</t>
  </si>
  <si>
    <t>ZAR-10385</t>
  </si>
  <si>
    <t>ZAR-10966</t>
  </si>
  <si>
    <t>ZAR-10618</t>
  </si>
  <si>
    <t>ZAR-10259</t>
  </si>
  <si>
    <t>ZAR-10337</t>
  </si>
  <si>
    <t>ZAR-10017</t>
  </si>
  <si>
    <t>ZAR-10635</t>
  </si>
  <si>
    <t>ZAR-10326</t>
  </si>
  <si>
    <t>ZAR-10892</t>
  </si>
  <si>
    <t>ZAR-10224</t>
  </si>
  <si>
    <t>ZAR-10181</t>
  </si>
  <si>
    <t>ZAR-10993</t>
  </si>
  <si>
    <t>ZAR-10024</t>
  </si>
  <si>
    <t>ZAR-10358</t>
  </si>
  <si>
    <t>ZAR-10672</t>
  </si>
  <si>
    <t>ZAR-10869</t>
  </si>
  <si>
    <t>ZAR-10342</t>
  </si>
  <si>
    <t>ZAR-10433</t>
  </si>
  <si>
    <t>ZAR-10955</t>
  </si>
  <si>
    <t>ZAR-10860</t>
  </si>
  <si>
    <t>ZAR-10205</t>
  </si>
  <si>
    <t>ZAR-10636</t>
  </si>
  <si>
    <t>ZAR-10095</t>
  </si>
  <si>
    <t>ZAR-10971</t>
  </si>
  <si>
    <t>ZAR-10070</t>
  </si>
  <si>
    <t>ZAR-10628</t>
  </si>
  <si>
    <t>ZAR-10286</t>
  </si>
  <si>
    <t>ZAR-10812</t>
  </si>
  <si>
    <t>ZAR-10436</t>
  </si>
  <si>
    <t>ZAR-10155</t>
  </si>
  <si>
    <t>ZAR-10077</t>
  </si>
  <si>
    <t>ZAR-10973</t>
  </si>
  <si>
    <t>ZAR-10448</t>
  </si>
  <si>
    <t>ZAR-10190</t>
  </si>
  <si>
    <t>ZAR-10273</t>
  </si>
  <si>
    <t>ZAR-10238</t>
  </si>
  <si>
    <t>ZAR-10489</t>
  </si>
  <si>
    <t>ZAR-10119</t>
  </si>
  <si>
    <t>ZAR-10826</t>
  </si>
  <si>
    <t>ZAR-10514</t>
  </si>
  <si>
    <t>ZAR-10802</t>
  </si>
  <si>
    <t>ZAR-10597</t>
  </si>
  <si>
    <t>ZAR-10128</t>
  </si>
  <si>
    <t>ZAR-10118</t>
  </si>
  <si>
    <t>ZAR-10475</t>
  </si>
  <si>
    <t>ZAR-10699</t>
  </si>
  <si>
    <t>ZAR-10059</t>
  </si>
  <si>
    <t xml:space="preserve"> ZAR-10680 </t>
  </si>
  <si>
    <t>ZAR-10920</t>
  </si>
  <si>
    <t>ZAR-10371</t>
  </si>
  <si>
    <t>ZAR-10270</t>
  </si>
  <si>
    <t>ZAR-10048</t>
  </si>
  <si>
    <t>ZAR-10351</t>
  </si>
  <si>
    <t>ZAR-10197</t>
  </si>
  <si>
    <t>ZAR-10948</t>
  </si>
  <si>
    <t>ZAR-10743</t>
  </si>
  <si>
    <t>ZAR-10265</t>
  </si>
  <si>
    <t>ZAR-10445</t>
  </si>
  <si>
    <t>ZAR-10681</t>
  </si>
  <si>
    <t>ZAR-10306</t>
  </si>
  <si>
    <t>ZAR-10343</t>
  </si>
  <si>
    <t>ZAR-10604</t>
  </si>
  <si>
    <t>ZAR-10976</t>
  </si>
  <si>
    <t>ZAR-10151</t>
  </si>
  <si>
    <t>ZAR-10126</t>
  </si>
  <si>
    <t>ZAR-10894</t>
  </si>
  <si>
    <t>ZAR-10830</t>
  </si>
  <si>
    <t>ZAR-10052</t>
  </si>
  <si>
    <t>ZAR-10355</t>
  </si>
  <si>
    <t>ZAR-10935</t>
  </si>
  <si>
    <t>ZAR-10144</t>
  </si>
  <si>
    <t>ZAR-10472</t>
  </si>
  <si>
    <t>ZAR-10401</t>
  </si>
  <si>
    <t xml:space="preserve"> ZAR-10631 </t>
  </si>
  <si>
    <t>ZAR-10322</t>
  </si>
  <si>
    <t>ZAR-10021</t>
  </si>
  <si>
    <t>ZAR-10908</t>
  </si>
  <si>
    <t>ZAR-10805</t>
  </si>
  <si>
    <t>ZAR-10816</t>
  </si>
  <si>
    <t>ZAR-10409</t>
  </si>
  <si>
    <t>ZAR-10539</t>
  </si>
  <si>
    <t>ZAR-10040</t>
  </si>
  <si>
    <t>ZAR-10177</t>
  </si>
  <si>
    <t>ZAR-10247</t>
  </si>
  <si>
    <t>ZAR-10836</t>
  </si>
  <si>
    <t>ZAR-10847</t>
  </si>
  <si>
    <t>ZAR-10761</t>
  </si>
  <si>
    <t>ZAR-10866</t>
  </si>
  <si>
    <t>ZAR-10156</t>
  </si>
  <si>
    <t>ZAR-10289</t>
  </si>
  <si>
    <t>ZAR-10615</t>
  </si>
  <si>
    <t>ZAR-10571</t>
  </si>
  <si>
    <t>ZAR-10821</t>
  </si>
  <si>
    <t>ZAR-10019</t>
  </si>
  <si>
    <t>ZAR-10129</t>
  </si>
  <si>
    <t>ZAR-10324</t>
  </si>
  <si>
    <t>ZAR-10257</t>
  </si>
  <si>
    <t>ZAR-10989</t>
  </si>
  <si>
    <t>ZAR-10974</t>
  </si>
  <si>
    <t>ZAR-10192</t>
  </si>
  <si>
    <t>ZAR-10117</t>
  </si>
  <si>
    <t>ZAR-10622</t>
  </si>
  <si>
    <t>ZAR-10608</t>
  </si>
  <si>
    <t>ZAR-10182</t>
  </si>
  <si>
    <t>ZAR-10303</t>
  </si>
  <si>
    <t>ZAR-10766</t>
  </si>
  <si>
    <t>ZAR-10719</t>
  </si>
  <si>
    <t>ZAR-10730</t>
  </si>
  <si>
    <t>ZAR-10691</t>
  </si>
  <si>
    <t>ZAR-10667</t>
  </si>
  <si>
    <t>ZAR-10519</t>
  </si>
  <si>
    <t>ZAR-10994</t>
  </si>
  <si>
    <t>ZAR-10047</t>
  </si>
  <si>
    <t>ZAR-10917</t>
  </si>
  <si>
    <t>ZAR-10159</t>
  </si>
  <si>
    <t>ZAR-10751</t>
  </si>
  <si>
    <t>ZAR-10173</t>
  </si>
  <si>
    <t>ZAR-10018</t>
  </si>
  <si>
    <t>ZAR-10513</t>
  </si>
  <si>
    <t>ZAR-10050</t>
  </si>
  <si>
    <t>ZAR-10981</t>
  </si>
  <si>
    <t>ZAR-10848</t>
  </si>
  <si>
    <t>3250.0</t>
  </si>
  <si>
    <t>ZAR-10517</t>
  </si>
  <si>
    <t>ZAR-10831</t>
  </si>
  <si>
    <t>ZAR-10482</t>
  </si>
  <si>
    <t>ZAR-10285</t>
  </si>
  <si>
    <t>ZAR-10725</t>
  </si>
  <si>
    <t>ZAR-10686</t>
  </si>
  <si>
    <t>ZAR-10227</t>
  </si>
  <si>
    <t>ZAR-10028</t>
  </si>
  <si>
    <t>ZAR-10789</t>
  </si>
  <si>
    <t>ZAR-10439</t>
  </si>
  <si>
    <t>ZAR-10960</t>
  </si>
  <si>
    <t>ZAR-10366</t>
  </si>
  <si>
    <t>ZAR-10231</t>
  </si>
  <si>
    <t>ZAR-10039</t>
  </si>
  <si>
    <t>ZAR-10975</t>
  </si>
  <si>
    <t>ZAR-10376</t>
  </si>
  <si>
    <t>ZAR-10471</t>
  </si>
  <si>
    <t>ZAR-10977</t>
  </si>
  <si>
    <t>ZAR-10883</t>
  </si>
  <si>
    <t>ZAR-10710</t>
  </si>
  <si>
    <t>ZAR-10732</t>
  </si>
  <si>
    <t>ZAR-10196</t>
  </si>
  <si>
    <t>ZAR-10872</t>
  </si>
  <si>
    <t>ZAR-10505</t>
  </si>
  <si>
    <t>ZAR-10979</t>
  </si>
  <si>
    <t>ZAR-10838</t>
  </si>
  <si>
    <t>ZAR-10581</t>
  </si>
  <si>
    <t>ZAR-10978</t>
  </si>
  <si>
    <t>ZAR-10164</t>
  </si>
  <si>
    <t>ZAR-10708</t>
  </si>
  <si>
    <t>ZAR-10154</t>
  </si>
  <si>
    <t>ZAR-10687</t>
  </si>
  <si>
    <t>ZAR-10706</t>
  </si>
  <si>
    <t>ZAR-10762</t>
  </si>
  <si>
    <t>ZAR-10113</t>
  </si>
  <si>
    <t>ZAR-10228</t>
  </si>
  <si>
    <t>ZAR-10694</t>
  </si>
  <si>
    <t>ZAR-10105</t>
  </si>
  <si>
    <t>ZAR-10423</t>
  </si>
  <si>
    <t>ZAR-10421</t>
  </si>
  <si>
    <t>ZAR-10757</t>
  </si>
  <si>
    <t>ZAR-10588</t>
  </si>
  <si>
    <t>ZAR-10787</t>
  </si>
  <si>
    <t>ZAR-10674</t>
  </si>
  <si>
    <t>ZAR-10121</t>
  </si>
  <si>
    <t>ZAR-10055</t>
  </si>
  <si>
    <t>ZAR-10153</t>
  </si>
  <si>
    <t>ZAR-10405</t>
  </si>
  <si>
    <t>ZAR-10953</t>
  </si>
  <si>
    <t>ZAR-10209</t>
  </si>
  <si>
    <t>ZAR-10660</t>
  </si>
  <si>
    <t>ZAR-10851</t>
  </si>
  <si>
    <t>ZAR-10769</t>
  </si>
  <si>
    <t>ZAR-10010</t>
  </si>
  <si>
    <t>ZAR-10815</t>
  </si>
  <si>
    <t>ZAR-10038</t>
  </si>
  <si>
    <t>ZAR-10454</t>
  </si>
  <si>
    <t>ZAR-10653</t>
  </si>
  <si>
    <t>ZAR-10255</t>
  </si>
  <si>
    <t>ZAR-10305</t>
  </si>
  <si>
    <t>ZAR-10753</t>
  </si>
  <si>
    <t>ZAR-10573</t>
  </si>
  <si>
    <t>ZAR-10625</t>
  </si>
  <si>
    <t>ZAR-10716</t>
  </si>
  <si>
    <t>ZAR-10900</t>
  </si>
  <si>
    <t>ZAR-10264</t>
  </si>
  <si>
    <t>ZAR-10612</t>
  </si>
  <si>
    <t>ZAR-10299</t>
  </si>
  <si>
    <t>ZAR-10416</t>
  </si>
  <si>
    <t>ZAR-10152</t>
  </si>
  <si>
    <t>ZAR-10795</t>
  </si>
  <si>
    <t>ZAR-10642</t>
  </si>
  <si>
    <t>ZAR-10897</t>
  </si>
  <si>
    <t>ZAR-10552</t>
  </si>
  <si>
    <t>ZAR-10798</t>
  </si>
  <si>
    <t>ZAR-10490</t>
  </si>
  <si>
    <t>ZAR-10712</t>
  </si>
  <si>
    <t>ZAR-10149</t>
  </si>
  <si>
    <t>ZAR-10148</t>
  </si>
  <si>
    <t>ZAR-10849</t>
  </si>
  <si>
    <t>5</t>
  </si>
  <si>
    <t>ZAR-10939</t>
  </si>
  <si>
    <t>ZAR-10786</t>
  </si>
  <si>
    <t>ZAR-10661</t>
  </si>
  <si>
    <t>ZAR-10350</t>
  </si>
  <si>
    <t>ZAR-10465</t>
  </si>
  <si>
    <t>ZAR-10327</t>
  </si>
  <si>
    <t>ZAR-10188</t>
  </si>
  <si>
    <t>ZAR-10125</t>
  </si>
  <si>
    <t>ZAR-10861</t>
  </si>
  <si>
    <t>ZAR-10610</t>
  </si>
  <si>
    <t>ZAR-10145</t>
  </si>
  <si>
    <t>ZAR-10968</t>
  </si>
  <si>
    <t>ZAR-10199</t>
  </si>
  <si>
    <t>ZAR-10611</t>
  </si>
  <si>
    <t>ZAR-10281</t>
  </si>
  <si>
    <t>ZAR-10295</t>
  </si>
  <si>
    <t>ZAR-10402</t>
  </si>
  <si>
    <t>ZAR-10124</t>
  </si>
  <si>
    <t>ZAR-10185</t>
  </si>
  <si>
    <t>ZAR-10204</t>
  </si>
  <si>
    <t>ZAR-10440</t>
  </si>
  <si>
    <t>ZAR-10248</t>
  </si>
  <si>
    <t>ZAR-10417</t>
  </si>
  <si>
    <t>ZAR-10783</t>
  </si>
  <si>
    <t>ZAR-10772</t>
  </si>
  <si>
    <t>ZAR-10914</t>
  </si>
  <si>
    <t>ZAR-10775</t>
  </si>
  <si>
    <t>ZAR-10131</t>
  </si>
  <si>
    <t>ZAR-10639</t>
  </si>
  <si>
    <t>ZAR-10404</t>
  </si>
  <si>
    <t>ZAR-10791</t>
  </si>
  <si>
    <t>ZAR-10930</t>
  </si>
  <si>
    <t>ZAR-10737</t>
  </si>
  <si>
    <t>ZAR-10921</t>
  </si>
  <si>
    <t>ZAR-10221</t>
  </si>
  <si>
    <t>ZAR-10643</t>
  </si>
  <si>
    <t>ZAR-10923</t>
  </si>
  <si>
    <t>ZAR-10759</t>
  </si>
  <si>
    <t>ZAR-10885</t>
  </si>
  <si>
    <t>ZAR-10927</t>
  </si>
  <si>
    <t xml:space="preserve"> ZAR-10626 </t>
  </si>
  <si>
    <t>ZAR-10846</t>
  </si>
  <si>
    <t>ZAR-10767</t>
  </si>
  <si>
    <t>ZAR-10388</t>
  </si>
  <si>
    <t>ZAR-10982</t>
  </si>
  <si>
    <t>23700.0</t>
  </si>
  <si>
    <t>ZAR-10511</t>
  </si>
  <si>
    <t>ZAR-10269</t>
  </si>
  <si>
    <t>ZAR-10827</t>
  </si>
  <si>
    <t>ZAR-10443</t>
  </si>
  <si>
    <t>ZAR-10498</t>
  </si>
  <si>
    <t>ZAR-10114</t>
  </si>
  <si>
    <t>ZAR-10693</t>
  </si>
  <si>
    <t>ZAR-10234</t>
  </si>
  <si>
    <t>ZAR-10958</t>
  </si>
  <si>
    <t>ZAR-10609</t>
  </si>
  <si>
    <t>ZAR-10673</t>
  </si>
  <si>
    <t>ZAR-10375</t>
  </si>
  <si>
    <t>ZAR-10991</t>
  </si>
  <si>
    <t>8000.0</t>
  </si>
  <si>
    <t>ZAR-10850</t>
  </si>
  <si>
    <t>ZAR-10235</t>
  </si>
  <si>
    <t>ZAR-10678</t>
  </si>
  <si>
    <t>ZAR-10319</t>
  </si>
  <si>
    <t>ZAR-10650</t>
  </si>
  <si>
    <t>ZAR-10412</t>
  </si>
  <si>
    <t>ZAR-10906</t>
  </si>
  <si>
    <t>ZAR-10711</t>
  </si>
  <si>
    <t>ZAR-10360</t>
  </si>
  <si>
    <t>ZAR-10260</t>
  </si>
  <si>
    <t>ZAR-10746</t>
  </si>
  <si>
    <t>ZAR-10629</t>
  </si>
  <si>
    <t>ZAR-10634</t>
  </si>
  <si>
    <t>ZAR-10284</t>
  </si>
  <si>
    <t>ZAR-10378</t>
  </si>
  <si>
    <t>ZAR-10386</t>
  </si>
  <si>
    <t>ZAR-10226</t>
  </si>
  <si>
    <t>ZAR-10963</t>
  </si>
  <si>
    <t>ZAR-10822</t>
  </si>
  <si>
    <t>ZAR-10474</t>
  </si>
  <si>
    <t>ZAR-10349</t>
  </si>
  <si>
    <t>ZAR-10507</t>
  </si>
  <si>
    <t>ZAR-10641</t>
  </si>
  <si>
    <t>ZAR-10997</t>
  </si>
  <si>
    <t>ZAR-10799</t>
  </si>
  <si>
    <t>ZAR-10936</t>
  </si>
  <si>
    <t>ZAR-10913</t>
  </si>
  <si>
    <t>ZAR-10621</t>
  </si>
  <si>
    <t>2250.0</t>
  </si>
  <si>
    <t>ZAR-10863</t>
  </si>
  <si>
    <t>ZAR-10811</t>
  </si>
  <si>
    <t>ZAR-10647</t>
  </si>
  <si>
    <t>ZAR-10854</t>
  </si>
  <si>
    <t>ZAR-10558</t>
  </si>
  <si>
    <t>ZAR-10967</t>
  </si>
  <si>
    <t>ZAR-10579</t>
  </si>
  <si>
    <t>ZAR-10797</t>
  </si>
  <si>
    <t>ZAR-10087</t>
  </si>
  <si>
    <t>ZAR-10244</t>
  </si>
  <si>
    <t>ZAR-10700</t>
  </si>
  <si>
    <t>ZAR-10161</t>
  </si>
  <si>
    <t>ZAR-10526</t>
  </si>
  <si>
    <t>ZAR-10037</t>
  </si>
  <si>
    <t>ZAR-10542</t>
  </si>
  <si>
    <t>ZAR-10172</t>
  </si>
  <si>
    <t>ZAR-10656</t>
  </si>
  <si>
    <t>ZAR-10898</t>
  </si>
  <si>
    <t>ZAR-10865</t>
  </si>
  <si>
    <t>ZAR-10855</t>
  </si>
  <si>
    <t>ZAR-10952</t>
  </si>
  <si>
    <t>ZAR-10735</t>
  </si>
  <si>
    <t>ZAR-10097</t>
  </si>
  <si>
    <t>ZAR-10565</t>
  </si>
  <si>
    <t>ZAR-10242</t>
  </si>
  <si>
    <t>ZAR-10744</t>
  </si>
  <si>
    <t>ZAR-10576</t>
  </si>
  <si>
    <t>ZAR-10692</t>
  </si>
  <si>
    <t>ZAR-10462</t>
  </si>
  <si>
    <t>ZAR-10555</t>
  </si>
  <si>
    <t>ZAR-10886</t>
  </si>
  <si>
    <t>ZAR-10208</t>
  </si>
  <si>
    <t>ZAR-10394</t>
  </si>
  <si>
    <t>ZAR-10796</t>
  </si>
  <si>
    <t>ZAR-10399</t>
  </si>
  <si>
    <t>ZAR-10768</t>
  </si>
  <si>
    <t>ZAR-10856</t>
  </si>
  <si>
    <t>ZAR-10219</t>
  </si>
  <si>
    <t>ZAR-10006</t>
  </si>
  <si>
    <t>ZAR-10770</t>
  </si>
  <si>
    <t>ZAR-10644</t>
  </si>
  <si>
    <t>ZAR-10905</t>
  </si>
  <si>
    <t>ZAR-10614</t>
  </si>
  <si>
    <t xml:space="preserve"> ZAR-10740 </t>
  </si>
  <si>
    <t>ZAR-10548</t>
  </si>
  <si>
    <t>ZAR-10727</t>
  </si>
  <si>
    <t>ZAR-10685</t>
  </si>
  <si>
    <t>ZAR-10100</t>
  </si>
  <si>
    <t>ZAR-10806</t>
  </si>
  <si>
    <t>ZAR-10729</t>
  </si>
  <si>
    <t>ZAR-10575</t>
  </si>
  <si>
    <t>ZAR-10408</t>
  </si>
  <si>
    <t>ZAR-10504</t>
  </si>
  <si>
    <t>ZAR-10049</t>
  </si>
  <si>
    <t>ZAR-10034</t>
  </si>
  <si>
    <t>ZAR-10781</t>
  </si>
  <si>
    <t>ZAR-10841</t>
  </si>
  <si>
    <t>6600.0</t>
  </si>
  <si>
    <t>ZAR-10202</t>
  </si>
  <si>
    <t>ZAR-10136</t>
  </si>
  <si>
    <t>ZAR-10029</t>
  </si>
  <si>
    <t>ZAR-10888</t>
  </si>
  <si>
    <t>ZAR-10232</t>
  </si>
  <si>
    <t>ZAR-10491</t>
  </si>
  <si>
    <t>ZAR-10774</t>
  </si>
  <si>
    <t>ZAR-10380</t>
  </si>
  <si>
    <t>ZAR-10290</t>
  </si>
  <si>
    <t>ZAR-10420</t>
  </si>
  <si>
    <t>ZAR-10676</t>
  </si>
  <si>
    <t>ZAR-10393</t>
  </si>
  <si>
    <t>ZAR-10594</t>
  </si>
  <si>
    <t>ZAR-10500</t>
  </si>
  <si>
    <t>ZAR-10140</t>
  </si>
  <si>
    <t>ZAR-10064</t>
  </si>
  <si>
    <t>ZAR-10473</t>
  </si>
  <si>
    <t>ZAR-10649</t>
  </si>
  <si>
    <t>ZAR-10130</t>
  </si>
  <si>
    <t>ZAR-10986</t>
  </si>
  <si>
    <t>ZAR-10522</t>
  </si>
  <si>
    <t>ZAR-10840</t>
  </si>
  <si>
    <t>ZAR-10972</t>
  </si>
  <si>
    <t>ZAR-10814</t>
  </si>
  <si>
    <t>ZAR-10016</t>
  </si>
  <si>
    <t>ZAR-10158</t>
  </si>
  <si>
    <t>ZAR-10042</t>
  </si>
  <si>
    <t>ZAR-10494</t>
  </si>
  <si>
    <t>ZAR-10381</t>
  </si>
  <si>
    <t>ZAR-10189</t>
  </si>
  <si>
    <t>ZAR-10765</t>
  </si>
  <si>
    <t>ZAR-10218</t>
  </si>
  <si>
    <t>ZAR-10793</t>
  </si>
  <si>
    <t>ZAR-10054</t>
  </si>
  <si>
    <t>ZAR-10880</t>
  </si>
  <si>
    <t>ZAR-10339</t>
  </si>
  <si>
    <t>ZAR-10750</t>
  </si>
  <si>
    <t>ZAR-10721</t>
  </si>
  <si>
    <t>ZAR-10726</t>
  </si>
  <si>
    <t>ZAR-10297</t>
  </si>
  <si>
    <t>ZAR-10703</t>
  </si>
  <si>
    <t>ZAR-10253</t>
  </si>
  <si>
    <t>ZAR-10728</t>
  </si>
  <si>
    <t>ZAR-10463</t>
  </si>
  <si>
    <t>ZAR-10457</t>
  </si>
  <si>
    <t>ZAR-10817</t>
  </si>
  <si>
    <t>ZAR-10864</t>
  </si>
  <si>
    <t>ZAR-10271</t>
  </si>
  <si>
    <t>ZAR-10203</t>
  </si>
  <si>
    <t>ZAR-10163</t>
  </si>
  <si>
    <t>ZAR-10557</t>
  </si>
  <si>
    <t>ZAR-10731</t>
  </si>
  <si>
    <t>ZAR-10403</t>
  </si>
  <si>
    <t>ZAR-10704</t>
  </si>
  <si>
    <t>ZAR-10478</t>
  </si>
  <si>
    <t>ZAR-10823</t>
  </si>
  <si>
    <t>ZAR-10773</t>
  </si>
  <si>
    <t>ZAR-10107</t>
  </si>
  <si>
    <t>ZAR-10567</t>
  </si>
  <si>
    <t>ZAR-10391</t>
  </si>
  <si>
    <t>ZAR-10003</t>
  </si>
  <si>
    <t>ZAR-10945</t>
  </si>
  <si>
    <t>ZAR-10992</t>
  </si>
  <si>
    <t>ZAR-10563</t>
  </si>
  <si>
    <t>ZAR-10082</t>
  </si>
  <si>
    <t>ZAR-10207</t>
  </si>
  <si>
    <t>ZAR-10036</t>
  </si>
  <si>
    <t>ZAR-10777</t>
  </si>
  <si>
    <t>ZAR-10510</t>
  </si>
  <si>
    <t>ZAR-10429</t>
  </si>
  <si>
    <t>ZAR-10456</t>
  </si>
  <si>
    <t>3</t>
  </si>
  <si>
    <t>ZAR-10368</t>
  </si>
  <si>
    <t>ZAR-10093</t>
  </si>
  <si>
    <t>ZAR-10341</t>
  </si>
  <si>
    <t>ZAR-10899</t>
  </si>
  <si>
    <t>ZAR-10566</t>
  </si>
  <si>
    <t>ZAR-10347</t>
  </si>
  <si>
    <t>ZAR-10778</t>
  </si>
  <si>
    <t>ZAR-10243</t>
  </si>
  <si>
    <t>ZAR-10015</t>
  </si>
  <si>
    <t>ZAR-10317</t>
  </si>
  <si>
    <t>ZAR-10602</t>
  </si>
  <si>
    <t>ZAR-10389</t>
  </si>
  <si>
    <t>ZAR-10275</t>
  </si>
  <si>
    <t>ZAR-10168</t>
  </si>
  <si>
    <t>ZAR-10842</t>
  </si>
  <si>
    <t>ZAR-10648</t>
  </si>
  <si>
    <t>ZAR-10820</t>
  </si>
  <si>
    <t>ZAR-10486</t>
  </si>
  <si>
    <t>ZAR-10990</t>
  </si>
  <si>
    <t>ZAR-10506</t>
  </si>
  <si>
    <t>ZAR-10833</t>
  </si>
  <si>
    <t>ZAR-10245</t>
  </si>
  <si>
    <t>ZAR-10568</t>
  </si>
  <si>
    <t>ZAR-10877</t>
  </si>
  <si>
    <t>ZAR-10564</t>
  </si>
  <si>
    <t>ZAR-10962</t>
  </si>
  <si>
    <t>ZAR-10688</t>
  </si>
  <si>
    <t>ZAR-10959</t>
  </si>
  <si>
    <t>ZAR-10191</t>
  </si>
  <si>
    <t>ZAR-10784</t>
  </si>
  <si>
    <t>ZAR-10701</t>
  </si>
  <si>
    <t>ZAR-10477</t>
  </si>
  <si>
    <t>ZAR-10683</t>
  </si>
  <si>
    <t>ZAR-10512</t>
  </si>
  <si>
    <t>ZAR-10060</t>
  </si>
  <si>
    <t>ZAR-10476</t>
  </si>
  <si>
    <t>ZAR-10562</t>
  </si>
  <si>
    <t>ZAR-10858</t>
  </si>
  <si>
    <t>ZAR-10749</t>
  </si>
  <si>
    <t>ZAR-10254</t>
  </si>
  <si>
    <t>ZAR-10023</t>
  </si>
  <si>
    <t>ZAR-10315</t>
  </si>
  <si>
    <t>ZAR-10461</t>
  </si>
  <si>
    <t>ZAR-10162</t>
  </si>
  <si>
    <t>ZAR-10278</t>
  </si>
  <si>
    <t>ZAR-10957</t>
  </si>
  <si>
    <t>ZAR-10193</t>
  </si>
  <si>
    <t>ZAR-10387</t>
  </si>
  <si>
    <t>ZAR-10807</t>
  </si>
  <si>
    <t>ZAR-10415</t>
  </si>
  <si>
    <t>ZAR-10493</t>
  </si>
  <si>
    <t>ZAR-10345</t>
  </si>
  <si>
    <t>ZAR-10771</t>
  </si>
  <si>
    <t>ZAR-10310</t>
  </si>
  <si>
    <t>ZAR-10663</t>
  </si>
  <si>
    <t>ZAR-10132</t>
  </si>
  <si>
    <t>ZAR-10665</t>
  </si>
  <si>
    <t>ZAR-10873</t>
  </si>
  <si>
    <t>ZAR-10101</t>
  </si>
  <si>
    <t>ZAR-10374</t>
  </si>
  <si>
    <t>ZAR-10089</t>
  </si>
  <si>
    <t>ZAR-10460</t>
  </si>
  <si>
    <t>ZAR-10332</t>
  </si>
  <si>
    <t>ZAR-10216</t>
  </si>
  <si>
    <t>ZAR-10468</t>
  </si>
  <si>
    <t>ZAR-10123</t>
  </si>
  <si>
    <t>ZAR-10616</t>
  </si>
  <si>
    <t>ZAR-10022</t>
  </si>
  <si>
    <t>ZAR-10702</t>
  </si>
  <si>
    <t>ZAR-10073</t>
  </si>
  <si>
    <t>ZAR-10108</t>
  </si>
  <si>
    <t>ZAR-10272</t>
  </si>
  <si>
    <t>ZAR-10862</t>
  </si>
  <si>
    <t>ZAR-10437</t>
  </si>
  <si>
    <t>ZAR-10104</t>
  </si>
  <si>
    <t>Time</t>
  </si>
  <si>
    <t>Discount Match</t>
  </si>
  <si>
    <t>Discoutn Validity</t>
  </si>
  <si>
    <t>Losses</t>
  </si>
  <si>
    <t>Unknown</t>
  </si>
  <si>
    <t>Not Recorded</t>
  </si>
  <si>
    <t>Not Rated</t>
  </si>
  <si>
    <t>Total Net Sales</t>
  </si>
  <si>
    <t>Total Profit</t>
  </si>
  <si>
    <t>Total Orders</t>
  </si>
  <si>
    <t>Units sold</t>
  </si>
  <si>
    <t>Average Order Value</t>
  </si>
  <si>
    <t>Profit  margin (%)</t>
  </si>
  <si>
    <t>Row Labels</t>
  </si>
  <si>
    <t>(blank)</t>
  </si>
  <si>
    <t>Sum of Profit</t>
  </si>
  <si>
    <t>Sum of Net_Sales</t>
  </si>
  <si>
    <t>Count of Order_ID</t>
  </si>
  <si>
    <t>Net Sales</t>
  </si>
  <si>
    <t>Units Sold</t>
  </si>
  <si>
    <t>Count of Quantity</t>
  </si>
  <si>
    <t>Zaree Fashion Retail Store 2025</t>
  </si>
  <si>
    <t>Discount Amount</t>
  </si>
  <si>
    <t>Column Labels</t>
  </si>
  <si>
    <t>Discount Band</t>
  </si>
  <si>
    <t>0%</t>
  </si>
  <si>
    <t>1-10%</t>
  </si>
  <si>
    <t>11-20%</t>
  </si>
  <si>
    <t>21-30%</t>
  </si>
  <si>
    <t>30%+</t>
  </si>
  <si>
    <t>Time Period</t>
  </si>
  <si>
    <t>12 AM - 4 AM</t>
  </si>
  <si>
    <t>12 PM - 4 PM</t>
  </si>
  <si>
    <t>4 AM - 8 AM</t>
  </si>
  <si>
    <t>4 PM - 8 PM</t>
  </si>
  <si>
    <t>8 AM - 12 PM</t>
  </si>
  <si>
    <t>8 PM - 12 AM</t>
  </si>
  <si>
    <t>Sales Hour</t>
  </si>
  <si>
    <t>(Multiple Items)</t>
  </si>
  <si>
    <t>Loss Amount</t>
  </si>
  <si>
    <t>Total Loss Amount</t>
  </si>
  <si>
    <t>Total Quantity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</si>
</sst>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F800]dddd\,\ mmmm\ dd\,\ yyyy"/>
    <numFmt numFmtId="166" formatCode="&quot;₹&quot;\ #,##0"/>
  </numFmts>
  <fonts count="6" x14ac:knownFonts="1">
    <font>
      <sz val="11"/>
      <color theme="1"/>
      <name val="Calibri"/>
      <family val="2"/>
      <scheme val="minor"/>
    </font>
    <font>
      <b/>
      <sz val="11"/>
      <color theme="0"/>
      <name val="Calibri"/>
      <family val="2"/>
    </font>
    <font>
      <sz val="8"/>
      <name val="Calibri"/>
      <family val="2"/>
      <scheme val="minor"/>
    </font>
    <font>
      <b/>
      <sz val="48"/>
      <color theme="0"/>
      <name val="Calibri"/>
      <family val="2"/>
      <scheme val="minor"/>
    </font>
    <font>
      <b/>
      <sz val="22"/>
      <color theme="1"/>
      <name val="Calibri"/>
      <family val="2"/>
      <scheme val="minor"/>
    </font>
    <font>
      <sz val="22"/>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166" fontId="1" fillId="0" borderId="1" xfId="0" applyNumberFormat="1" applyFont="1" applyBorder="1" applyAlignment="1">
      <alignment horizontal="center" vertical="top"/>
    </xf>
    <xf numFmtId="166" fontId="0" fillId="0" borderId="0" xfId="0" applyNumberFormat="1"/>
    <xf numFmtId="0" fontId="0" fillId="4" borderId="0" xfId="0" applyFill="1"/>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Border="1" applyAlignment="1">
      <alignment horizontal="center" vertical="center"/>
    </xf>
    <xf numFmtId="0" fontId="4" fillId="3" borderId="0" xfId="0" applyFont="1" applyFill="1" applyAlignment="1">
      <alignment horizontal="center"/>
    </xf>
    <xf numFmtId="0" fontId="5" fillId="4" borderId="0" xfId="0" applyFont="1" applyFill="1"/>
    <xf numFmtId="0" fontId="5" fillId="4" borderId="0" xfId="0" applyFont="1" applyFill="1" applyAlignment="1">
      <alignment horizontal="center" vertical="center"/>
    </xf>
    <xf numFmtId="0" fontId="5" fillId="3" borderId="0" xfId="0" applyFont="1" applyFill="1" applyAlignment="1">
      <alignment horizontal="center" vertical="center"/>
    </xf>
    <xf numFmtId="0" fontId="4" fillId="3" borderId="0" xfId="0" applyFont="1" applyFill="1" applyAlignment="1">
      <alignment horizontal="center" vertical="center"/>
    </xf>
    <xf numFmtId="166" fontId="4" fillId="5" borderId="0" xfId="0" applyNumberFormat="1" applyFont="1" applyFill="1" applyAlignment="1">
      <alignment horizontal="center" vertical="center"/>
    </xf>
    <xf numFmtId="0" fontId="4" fillId="5" borderId="0" xfId="0" applyFont="1" applyFill="1" applyAlignment="1">
      <alignment horizontal="center" vertical="center"/>
    </xf>
    <xf numFmtId="1" fontId="4" fillId="5" borderId="0" xfId="0" applyNumberFormat="1" applyFont="1" applyFill="1" applyAlignment="1">
      <alignment horizontal="center" vertical="center"/>
    </xf>
    <xf numFmtId="0" fontId="4" fillId="3" borderId="0" xfId="0" applyFont="1" applyFill="1" applyAlignment="1">
      <alignment horizontal="center" vertical="center"/>
    </xf>
  </cellXfs>
  <cellStyles count="1">
    <cellStyle name="Normal" xfId="0" builtinId="0"/>
  </cellStyles>
  <dxfs count="25">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0" formatCode="General"/>
    </dxf>
    <dxf>
      <numFmt numFmtId="0" formatCode="General"/>
    </dxf>
    <dxf>
      <numFmt numFmtId="166" formatCode="&quot;₹&quot;\ #,##0"/>
    </dxf>
    <dxf>
      <numFmt numFmtId="166" formatCode="&quot;₹&quot;\ #,##0"/>
    </dxf>
    <dxf>
      <numFmt numFmtId="164" formatCode="[$-F400]h:mm:ss\ AM/PM"/>
    </dxf>
    <dxf>
      <numFmt numFmtId="165" formatCode="[$-F800]dddd\,\ mmmm\ dd\,\ yyyy"/>
    </dxf>
    <dxf>
      <numFmt numFmtId="165" formatCode="[$-F800]dddd\,\ mmmm\ dd\,\ yyyy"/>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Copy.xlsx]Sales by Category!PivotTable1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Profit</c:v>
                </c:pt>
              </c:strCache>
            </c:strRef>
          </c:tx>
          <c:spPr>
            <a:solidFill>
              <a:schemeClr val="tx2"/>
            </a:solidFill>
            <a:ln>
              <a:noFill/>
            </a:ln>
            <a:effectLst/>
          </c:spPr>
          <c:invertIfNegative val="0"/>
          <c:cat>
            <c:strRef>
              <c:f>'Sales by Category'!$A$4:$A$23</c:f>
              <c:strCache>
                <c:ptCount val="20"/>
                <c:pt idx="0">
                  <c:v>Blouse</c:v>
                </c:pt>
                <c:pt idx="1">
                  <c:v>Bridal Lehenga</c:v>
                </c:pt>
                <c:pt idx="2">
                  <c:v>Dhoti Set</c:v>
                </c:pt>
                <c:pt idx="3">
                  <c:v>Dupatta</c:v>
                </c:pt>
                <c:pt idx="4">
                  <c:v>Gown</c:v>
                </c:pt>
                <c:pt idx="5">
                  <c:v>Indo-Western</c:v>
                </c:pt>
                <c:pt idx="6">
                  <c:v>Kids Gown</c:v>
                </c:pt>
                <c:pt idx="7">
                  <c:v>Kids Kurta</c:v>
                </c:pt>
                <c:pt idx="8">
                  <c:v>Kids Lehenga</c:v>
                </c:pt>
                <c:pt idx="9">
                  <c:v>Kids Saree</c:v>
                </c:pt>
                <c:pt idx="10">
                  <c:v>Kids Sherwani</c:v>
                </c:pt>
                <c:pt idx="11">
                  <c:v>Kurta Pajama</c:v>
                </c:pt>
                <c:pt idx="12">
                  <c:v>Kurti</c:v>
                </c:pt>
                <c:pt idx="13">
                  <c:v>Lehenga</c:v>
                </c:pt>
                <c:pt idx="14">
                  <c:v>Nehru Jacket</c:v>
                </c:pt>
                <c:pt idx="15">
                  <c:v>Salwar Suit</c:v>
                </c:pt>
                <c:pt idx="16">
                  <c:v>Saree</c:v>
                </c:pt>
                <c:pt idx="17">
                  <c:v>Sherwani</c:v>
                </c:pt>
                <c:pt idx="18">
                  <c:v>Shirt</c:v>
                </c:pt>
                <c:pt idx="19">
                  <c:v>(blank)</c:v>
                </c:pt>
              </c:strCache>
            </c:strRef>
          </c:cat>
          <c:val>
            <c:numRef>
              <c:f>'Sales by Category'!$B$4:$B$23</c:f>
              <c:numCache>
                <c:formatCode>"₹"\ #,##0</c:formatCode>
                <c:ptCount val="20"/>
                <c:pt idx="0">
                  <c:v>124490.69999999998</c:v>
                </c:pt>
                <c:pt idx="1">
                  <c:v>1821832.5999999999</c:v>
                </c:pt>
                <c:pt idx="2">
                  <c:v>62409.63</c:v>
                </c:pt>
                <c:pt idx="3">
                  <c:v>72888.28</c:v>
                </c:pt>
                <c:pt idx="4">
                  <c:v>306560.18000000011</c:v>
                </c:pt>
                <c:pt idx="5">
                  <c:v>172807.02000000002</c:v>
                </c:pt>
                <c:pt idx="6">
                  <c:v>38501.009999999995</c:v>
                </c:pt>
                <c:pt idx="7">
                  <c:v>34452.519999999982</c:v>
                </c:pt>
                <c:pt idx="8">
                  <c:v>38602.04</c:v>
                </c:pt>
                <c:pt idx="9">
                  <c:v>22932.33</c:v>
                </c:pt>
                <c:pt idx="10">
                  <c:v>43569.23</c:v>
                </c:pt>
                <c:pt idx="11">
                  <c:v>71412.44</c:v>
                </c:pt>
                <c:pt idx="12">
                  <c:v>63840.369999999995</c:v>
                </c:pt>
                <c:pt idx="13">
                  <c:v>852715.85</c:v>
                </c:pt>
                <c:pt idx="14">
                  <c:v>58839.79</c:v>
                </c:pt>
                <c:pt idx="15">
                  <c:v>119856.56000000001</c:v>
                </c:pt>
                <c:pt idx="16">
                  <c:v>526743.46000000008</c:v>
                </c:pt>
                <c:pt idx="17">
                  <c:v>332226.3600000001</c:v>
                </c:pt>
                <c:pt idx="18">
                  <c:v>40300.450000000004</c:v>
                </c:pt>
              </c:numCache>
            </c:numRef>
          </c:val>
          <c:extLst>
            <c:ext xmlns:c16="http://schemas.microsoft.com/office/drawing/2014/chart" uri="{C3380CC4-5D6E-409C-BE32-E72D297353CC}">
              <c16:uniqueId val="{00000000-8372-4A90-8BA2-1D16A9CDF10F}"/>
            </c:ext>
          </c:extLst>
        </c:ser>
        <c:ser>
          <c:idx val="1"/>
          <c:order val="1"/>
          <c:tx>
            <c:strRef>
              <c:f>'Sales by Category'!$C$3</c:f>
              <c:strCache>
                <c:ptCount val="1"/>
                <c:pt idx="0">
                  <c:v>Net Sales</c:v>
                </c:pt>
              </c:strCache>
            </c:strRef>
          </c:tx>
          <c:spPr>
            <a:solidFill>
              <a:schemeClr val="tx2">
                <a:lumMod val="60000"/>
                <a:lumOff val="40000"/>
              </a:schemeClr>
            </a:solidFill>
            <a:ln>
              <a:noFill/>
            </a:ln>
            <a:effectLst/>
          </c:spPr>
          <c:invertIfNegative val="0"/>
          <c:cat>
            <c:strRef>
              <c:f>'Sales by Category'!$A$4:$A$23</c:f>
              <c:strCache>
                <c:ptCount val="20"/>
                <c:pt idx="0">
                  <c:v>Blouse</c:v>
                </c:pt>
                <c:pt idx="1">
                  <c:v>Bridal Lehenga</c:v>
                </c:pt>
                <c:pt idx="2">
                  <c:v>Dhoti Set</c:v>
                </c:pt>
                <c:pt idx="3">
                  <c:v>Dupatta</c:v>
                </c:pt>
                <c:pt idx="4">
                  <c:v>Gown</c:v>
                </c:pt>
                <c:pt idx="5">
                  <c:v>Indo-Western</c:v>
                </c:pt>
                <c:pt idx="6">
                  <c:v>Kids Gown</c:v>
                </c:pt>
                <c:pt idx="7">
                  <c:v>Kids Kurta</c:v>
                </c:pt>
                <c:pt idx="8">
                  <c:v>Kids Lehenga</c:v>
                </c:pt>
                <c:pt idx="9">
                  <c:v>Kids Saree</c:v>
                </c:pt>
                <c:pt idx="10">
                  <c:v>Kids Sherwani</c:v>
                </c:pt>
                <c:pt idx="11">
                  <c:v>Kurta Pajama</c:v>
                </c:pt>
                <c:pt idx="12">
                  <c:v>Kurti</c:v>
                </c:pt>
                <c:pt idx="13">
                  <c:v>Lehenga</c:v>
                </c:pt>
                <c:pt idx="14">
                  <c:v>Nehru Jacket</c:v>
                </c:pt>
                <c:pt idx="15">
                  <c:v>Salwar Suit</c:v>
                </c:pt>
                <c:pt idx="16">
                  <c:v>Saree</c:v>
                </c:pt>
                <c:pt idx="17">
                  <c:v>Sherwani</c:v>
                </c:pt>
                <c:pt idx="18">
                  <c:v>Shirt</c:v>
                </c:pt>
                <c:pt idx="19">
                  <c:v>(blank)</c:v>
                </c:pt>
              </c:strCache>
            </c:strRef>
          </c:cat>
          <c:val>
            <c:numRef>
              <c:f>'Sales by Category'!$C$4:$C$23</c:f>
              <c:numCache>
                <c:formatCode>"₹"\ #,##0</c:formatCode>
                <c:ptCount val="20"/>
                <c:pt idx="0">
                  <c:v>449410</c:v>
                </c:pt>
                <c:pt idx="1">
                  <c:v>6742667.5</c:v>
                </c:pt>
                <c:pt idx="2">
                  <c:v>235832.5</c:v>
                </c:pt>
                <c:pt idx="3">
                  <c:v>282107.5</c:v>
                </c:pt>
                <c:pt idx="4">
                  <c:v>1129902.5</c:v>
                </c:pt>
                <c:pt idx="5">
                  <c:v>672747.5</c:v>
                </c:pt>
                <c:pt idx="6">
                  <c:v>143855</c:v>
                </c:pt>
                <c:pt idx="7">
                  <c:v>116995</c:v>
                </c:pt>
                <c:pt idx="8">
                  <c:v>235250</c:v>
                </c:pt>
                <c:pt idx="9">
                  <c:v>93300</c:v>
                </c:pt>
                <c:pt idx="10">
                  <c:v>175927.5</c:v>
                </c:pt>
                <c:pt idx="11">
                  <c:v>239012.5</c:v>
                </c:pt>
                <c:pt idx="12">
                  <c:v>252990</c:v>
                </c:pt>
                <c:pt idx="13">
                  <c:v>3042712.5</c:v>
                </c:pt>
                <c:pt idx="14">
                  <c:v>226405</c:v>
                </c:pt>
                <c:pt idx="15">
                  <c:v>477285</c:v>
                </c:pt>
                <c:pt idx="16">
                  <c:v>2005997.5</c:v>
                </c:pt>
                <c:pt idx="17">
                  <c:v>1230755</c:v>
                </c:pt>
                <c:pt idx="18">
                  <c:v>161962.5</c:v>
                </c:pt>
              </c:numCache>
            </c:numRef>
          </c:val>
          <c:extLst>
            <c:ext xmlns:c16="http://schemas.microsoft.com/office/drawing/2014/chart" uri="{C3380CC4-5D6E-409C-BE32-E72D297353CC}">
              <c16:uniqueId val="{00000001-8372-4A90-8BA2-1D16A9CDF10F}"/>
            </c:ext>
          </c:extLst>
        </c:ser>
        <c:dLbls>
          <c:showLegendKey val="0"/>
          <c:showVal val="0"/>
          <c:showCatName val="0"/>
          <c:showSerName val="0"/>
          <c:showPercent val="0"/>
          <c:showBubbleSize val="0"/>
        </c:dLbls>
        <c:gapWidth val="50"/>
        <c:overlap val="50"/>
        <c:axId val="947140992"/>
        <c:axId val="1804082128"/>
      </c:barChart>
      <c:lineChart>
        <c:grouping val="standard"/>
        <c:varyColors val="0"/>
        <c:ser>
          <c:idx val="2"/>
          <c:order val="2"/>
          <c:tx>
            <c:strRef>
              <c:f>'Sales by Category'!$D$3</c:f>
              <c:strCache>
                <c:ptCount val="1"/>
                <c:pt idx="0">
                  <c:v>Total Orders</c:v>
                </c:pt>
              </c:strCache>
            </c:strRef>
          </c:tx>
          <c:spPr>
            <a:ln w="28575" cap="rnd">
              <a:solidFill>
                <a:schemeClr val="accent3"/>
              </a:solidFill>
              <a:round/>
            </a:ln>
            <a:effectLst/>
          </c:spPr>
          <c:marker>
            <c:symbol val="none"/>
          </c:marker>
          <c:cat>
            <c:strRef>
              <c:f>'Sales by Category'!$A$4:$A$23</c:f>
              <c:strCache>
                <c:ptCount val="20"/>
                <c:pt idx="0">
                  <c:v>Blouse</c:v>
                </c:pt>
                <c:pt idx="1">
                  <c:v>Bridal Lehenga</c:v>
                </c:pt>
                <c:pt idx="2">
                  <c:v>Dhoti Set</c:v>
                </c:pt>
                <c:pt idx="3">
                  <c:v>Dupatta</c:v>
                </c:pt>
                <c:pt idx="4">
                  <c:v>Gown</c:v>
                </c:pt>
                <c:pt idx="5">
                  <c:v>Indo-Western</c:v>
                </c:pt>
                <c:pt idx="6">
                  <c:v>Kids Gown</c:v>
                </c:pt>
                <c:pt idx="7">
                  <c:v>Kids Kurta</c:v>
                </c:pt>
                <c:pt idx="8">
                  <c:v>Kids Lehenga</c:v>
                </c:pt>
                <c:pt idx="9">
                  <c:v>Kids Saree</c:v>
                </c:pt>
                <c:pt idx="10">
                  <c:v>Kids Sherwani</c:v>
                </c:pt>
                <c:pt idx="11">
                  <c:v>Kurta Pajama</c:v>
                </c:pt>
                <c:pt idx="12">
                  <c:v>Kurti</c:v>
                </c:pt>
                <c:pt idx="13">
                  <c:v>Lehenga</c:v>
                </c:pt>
                <c:pt idx="14">
                  <c:v>Nehru Jacket</c:v>
                </c:pt>
                <c:pt idx="15">
                  <c:v>Salwar Suit</c:v>
                </c:pt>
                <c:pt idx="16">
                  <c:v>Saree</c:v>
                </c:pt>
                <c:pt idx="17">
                  <c:v>Sherwani</c:v>
                </c:pt>
                <c:pt idx="18">
                  <c:v>Shirt</c:v>
                </c:pt>
                <c:pt idx="19">
                  <c:v>(blank)</c:v>
                </c:pt>
              </c:strCache>
            </c:strRef>
          </c:cat>
          <c:val>
            <c:numRef>
              <c:f>'Sales by Category'!$D$4:$D$23</c:f>
              <c:numCache>
                <c:formatCode>General</c:formatCode>
                <c:ptCount val="20"/>
                <c:pt idx="0">
                  <c:v>82</c:v>
                </c:pt>
                <c:pt idx="1">
                  <c:v>78</c:v>
                </c:pt>
                <c:pt idx="2">
                  <c:v>36</c:v>
                </c:pt>
                <c:pt idx="3">
                  <c:v>70</c:v>
                </c:pt>
                <c:pt idx="4">
                  <c:v>79</c:v>
                </c:pt>
                <c:pt idx="5">
                  <c:v>42</c:v>
                </c:pt>
                <c:pt idx="6">
                  <c:v>29</c:v>
                </c:pt>
                <c:pt idx="7">
                  <c:v>32</c:v>
                </c:pt>
                <c:pt idx="8">
                  <c:v>24</c:v>
                </c:pt>
                <c:pt idx="9">
                  <c:v>28</c:v>
                </c:pt>
                <c:pt idx="10">
                  <c:v>32</c:v>
                </c:pt>
                <c:pt idx="11">
                  <c:v>38</c:v>
                </c:pt>
                <c:pt idx="12">
                  <c:v>75</c:v>
                </c:pt>
                <c:pt idx="13">
                  <c:v>84</c:v>
                </c:pt>
                <c:pt idx="14">
                  <c:v>39</c:v>
                </c:pt>
                <c:pt idx="15">
                  <c:v>75</c:v>
                </c:pt>
                <c:pt idx="16">
                  <c:v>79</c:v>
                </c:pt>
                <c:pt idx="17">
                  <c:v>33</c:v>
                </c:pt>
                <c:pt idx="18">
                  <c:v>45</c:v>
                </c:pt>
              </c:numCache>
            </c:numRef>
          </c:val>
          <c:smooth val="0"/>
          <c:extLst>
            <c:ext xmlns:c16="http://schemas.microsoft.com/office/drawing/2014/chart" uri="{C3380CC4-5D6E-409C-BE32-E72D297353CC}">
              <c16:uniqueId val="{00000002-8372-4A90-8BA2-1D16A9CDF10F}"/>
            </c:ext>
          </c:extLst>
        </c:ser>
        <c:dLbls>
          <c:showLegendKey val="0"/>
          <c:showVal val="0"/>
          <c:showCatName val="0"/>
          <c:showSerName val="0"/>
          <c:showPercent val="0"/>
          <c:showBubbleSize val="0"/>
        </c:dLbls>
        <c:marker val="1"/>
        <c:smooth val="0"/>
        <c:axId val="943685888"/>
        <c:axId val="1804025008"/>
      </c:lineChart>
      <c:catAx>
        <c:axId val="94714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082128"/>
        <c:crosses val="autoZero"/>
        <c:auto val="1"/>
        <c:lblAlgn val="ctr"/>
        <c:lblOffset val="100"/>
        <c:noMultiLvlLbl val="0"/>
      </c:catAx>
      <c:valAx>
        <c:axId val="1804082128"/>
        <c:scaling>
          <c:orientation val="minMax"/>
          <c:max val="1000000"/>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140992"/>
        <c:crosses val="autoZero"/>
        <c:crossBetween val="between"/>
        <c:minorUnit val="200000"/>
      </c:valAx>
      <c:valAx>
        <c:axId val="1804025008"/>
        <c:scaling>
          <c:orientation val="minMax"/>
        </c:scaling>
        <c:delete val="0"/>
        <c:axPos val="r"/>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685888"/>
        <c:crosses val="max"/>
        <c:crossBetween val="between"/>
        <c:majorUnit val="50"/>
      </c:valAx>
      <c:catAx>
        <c:axId val="943685888"/>
        <c:scaling>
          <c:orientation val="minMax"/>
        </c:scaling>
        <c:delete val="1"/>
        <c:axPos val="b"/>
        <c:numFmt formatCode="General" sourceLinked="1"/>
        <c:majorTickMark val="out"/>
        <c:minorTickMark val="none"/>
        <c:tickLblPos val="nextTo"/>
        <c:crossAx val="18040250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b"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Copy.xlsx]Top 5 performing Brands!PivotTable2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Brands by 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tx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tx2">
                <a:lumMod val="50000"/>
              </a:schemeClr>
            </a:solidFill>
            <a:round/>
          </a:ln>
          <a:effectLst/>
        </c:spPr>
        <c:marker>
          <c:symbol val="circle"/>
          <c:size val="5"/>
          <c:spPr>
            <a:solidFill>
              <a:schemeClr val="tx2">
                <a:lumMod val="50000"/>
              </a:schemeClr>
            </a:solidFill>
            <a:ln w="9525">
              <a:solidFill>
                <a:schemeClr val="tx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performing Brands'!$B$3</c:f>
              <c:strCache>
                <c:ptCount val="1"/>
                <c:pt idx="0">
                  <c:v>Profit</c:v>
                </c:pt>
              </c:strCache>
            </c:strRef>
          </c:tx>
          <c:spPr>
            <a:solidFill>
              <a:schemeClr val="bg1">
                <a:lumMod val="50000"/>
              </a:schemeClr>
            </a:solidFill>
            <a:ln>
              <a:noFill/>
            </a:ln>
            <a:effectLst/>
          </c:spPr>
          <c:invertIfNegative val="0"/>
          <c:cat>
            <c:strRef>
              <c:f>'Top 5 performing Brands'!$A$4:$A$8</c:f>
              <c:strCache>
                <c:ptCount val="5"/>
                <c:pt idx="0">
                  <c:v>Zaree Studio</c:v>
                </c:pt>
                <c:pt idx="1">
                  <c:v>Rangriti</c:v>
                </c:pt>
                <c:pt idx="2">
                  <c:v>Designer Collection</c:v>
                </c:pt>
                <c:pt idx="3">
                  <c:v>Manyavar</c:v>
                </c:pt>
                <c:pt idx="4">
                  <c:v>Biba</c:v>
                </c:pt>
              </c:strCache>
            </c:strRef>
          </c:cat>
          <c:val>
            <c:numRef>
              <c:f>'Top 5 performing Brands'!$B$4:$B$8</c:f>
              <c:numCache>
                <c:formatCode>"₹"\ #,##0</c:formatCode>
                <c:ptCount val="5"/>
                <c:pt idx="0">
                  <c:v>707237.17</c:v>
                </c:pt>
                <c:pt idx="1">
                  <c:v>698335.25000000012</c:v>
                </c:pt>
                <c:pt idx="2">
                  <c:v>641940.28999999969</c:v>
                </c:pt>
                <c:pt idx="3">
                  <c:v>611333.08999999962</c:v>
                </c:pt>
                <c:pt idx="4">
                  <c:v>595560.29999999993</c:v>
                </c:pt>
              </c:numCache>
            </c:numRef>
          </c:val>
          <c:extLst>
            <c:ext xmlns:c16="http://schemas.microsoft.com/office/drawing/2014/chart" uri="{C3380CC4-5D6E-409C-BE32-E72D297353CC}">
              <c16:uniqueId val="{00000002-C811-4643-B906-E1C45AF756CB}"/>
            </c:ext>
          </c:extLst>
        </c:ser>
        <c:dLbls>
          <c:showLegendKey val="0"/>
          <c:showVal val="0"/>
          <c:showCatName val="0"/>
          <c:showSerName val="0"/>
          <c:showPercent val="0"/>
          <c:showBubbleSize val="0"/>
        </c:dLbls>
        <c:gapWidth val="77"/>
        <c:axId val="961303632"/>
        <c:axId val="1804080208"/>
      </c:barChart>
      <c:lineChart>
        <c:grouping val="standard"/>
        <c:varyColors val="0"/>
        <c:ser>
          <c:idx val="1"/>
          <c:order val="1"/>
          <c:tx>
            <c:strRef>
              <c:f>'Top 5 performing Brands'!$C$3</c:f>
              <c:strCache>
                <c:ptCount val="1"/>
                <c:pt idx="0">
                  <c:v>Units Sold</c:v>
                </c:pt>
              </c:strCache>
            </c:strRef>
          </c:tx>
          <c:spPr>
            <a:ln w="28575" cap="rnd">
              <a:solidFill>
                <a:schemeClr val="tx2">
                  <a:lumMod val="50000"/>
                </a:schemeClr>
              </a:solidFill>
              <a:round/>
            </a:ln>
            <a:effectLst/>
          </c:spPr>
          <c:marker>
            <c:symbol val="circle"/>
            <c:size val="5"/>
            <c:spPr>
              <a:solidFill>
                <a:schemeClr val="tx2">
                  <a:lumMod val="50000"/>
                </a:schemeClr>
              </a:solidFill>
              <a:ln w="9525">
                <a:solidFill>
                  <a:schemeClr val="tx2">
                    <a:lumMod val="50000"/>
                  </a:schemeClr>
                </a:solidFill>
              </a:ln>
              <a:effectLst/>
            </c:spPr>
          </c:marker>
          <c:cat>
            <c:strRef>
              <c:f>'Top 5 performing Brands'!$A$4:$A$8</c:f>
              <c:strCache>
                <c:ptCount val="5"/>
                <c:pt idx="0">
                  <c:v>Zaree Studio</c:v>
                </c:pt>
                <c:pt idx="1">
                  <c:v>Rangriti</c:v>
                </c:pt>
                <c:pt idx="2">
                  <c:v>Designer Collection</c:v>
                </c:pt>
                <c:pt idx="3">
                  <c:v>Manyavar</c:v>
                </c:pt>
                <c:pt idx="4">
                  <c:v>Biba</c:v>
                </c:pt>
              </c:strCache>
            </c:strRef>
          </c:cat>
          <c:val>
            <c:numRef>
              <c:f>'Top 5 performing Brands'!$C$4:$C$8</c:f>
              <c:numCache>
                <c:formatCode>General</c:formatCode>
                <c:ptCount val="5"/>
                <c:pt idx="0">
                  <c:v>128</c:v>
                </c:pt>
                <c:pt idx="1">
                  <c:v>134</c:v>
                </c:pt>
                <c:pt idx="2">
                  <c:v>130</c:v>
                </c:pt>
                <c:pt idx="3">
                  <c:v>149</c:v>
                </c:pt>
                <c:pt idx="4">
                  <c:v>119</c:v>
                </c:pt>
              </c:numCache>
            </c:numRef>
          </c:val>
          <c:smooth val="0"/>
          <c:extLst>
            <c:ext xmlns:c16="http://schemas.microsoft.com/office/drawing/2014/chart" uri="{C3380CC4-5D6E-409C-BE32-E72D297353CC}">
              <c16:uniqueId val="{00000004-C811-4643-B906-E1C45AF756CB}"/>
            </c:ext>
          </c:extLst>
        </c:ser>
        <c:dLbls>
          <c:showLegendKey val="0"/>
          <c:showVal val="0"/>
          <c:showCatName val="0"/>
          <c:showSerName val="0"/>
          <c:showPercent val="0"/>
          <c:showBubbleSize val="0"/>
        </c:dLbls>
        <c:marker val="1"/>
        <c:smooth val="0"/>
        <c:axId val="961706688"/>
        <c:axId val="1804063408"/>
      </c:lineChart>
      <c:catAx>
        <c:axId val="96130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080208"/>
        <c:crosses val="autoZero"/>
        <c:auto val="1"/>
        <c:lblAlgn val="ctr"/>
        <c:lblOffset val="100"/>
        <c:noMultiLvlLbl val="0"/>
      </c:catAx>
      <c:valAx>
        <c:axId val="1804080208"/>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303632"/>
        <c:crosses val="autoZero"/>
        <c:crossBetween val="between"/>
        <c:majorUnit val="200000"/>
        <c:minorUnit val="2000"/>
      </c:valAx>
      <c:valAx>
        <c:axId val="18040634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706688"/>
        <c:crosses val="max"/>
        <c:crossBetween val="between"/>
      </c:valAx>
      <c:catAx>
        <c:axId val="961706688"/>
        <c:scaling>
          <c:orientation val="minMax"/>
        </c:scaling>
        <c:delete val="1"/>
        <c:axPos val="b"/>
        <c:numFmt formatCode="General" sourceLinked="1"/>
        <c:majorTickMark val="out"/>
        <c:minorTickMark val="none"/>
        <c:tickLblPos val="nextTo"/>
        <c:crossAx val="18040634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Copy.xlsx]Top 5 Selling products!PivotTable3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Selling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Selling products'!$B$3</c:f>
              <c:strCache>
                <c:ptCount val="1"/>
                <c:pt idx="0">
                  <c:v>Total</c:v>
                </c:pt>
              </c:strCache>
            </c:strRef>
          </c:tx>
          <c:spPr>
            <a:solidFill>
              <a:schemeClr val="tx2">
                <a:lumMod val="75000"/>
              </a:schemeClr>
            </a:solidFill>
            <a:ln>
              <a:noFill/>
            </a:ln>
            <a:effectLst/>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Selling products'!$A$4:$A$8</c:f>
              <c:strCache>
                <c:ptCount val="5"/>
                <c:pt idx="0">
                  <c:v>Zaree Studio</c:v>
                </c:pt>
                <c:pt idx="1">
                  <c:v>Rangriti</c:v>
                </c:pt>
                <c:pt idx="2">
                  <c:v>Manyavar</c:v>
                </c:pt>
                <c:pt idx="3">
                  <c:v>Designer Collection</c:v>
                </c:pt>
                <c:pt idx="4">
                  <c:v>Biba</c:v>
                </c:pt>
              </c:strCache>
            </c:strRef>
          </c:cat>
          <c:val>
            <c:numRef>
              <c:f>'Top 5 Selling products'!$B$4:$B$8</c:f>
              <c:numCache>
                <c:formatCode>"₹"\ #,##0</c:formatCode>
                <c:ptCount val="5"/>
                <c:pt idx="0">
                  <c:v>2616140</c:v>
                </c:pt>
                <c:pt idx="1">
                  <c:v>2452697.5</c:v>
                </c:pt>
                <c:pt idx="2">
                  <c:v>2442980</c:v>
                </c:pt>
                <c:pt idx="3">
                  <c:v>2394800</c:v>
                </c:pt>
                <c:pt idx="4">
                  <c:v>2335560</c:v>
                </c:pt>
              </c:numCache>
            </c:numRef>
          </c:val>
          <c:extLst>
            <c:ext xmlns:c16="http://schemas.microsoft.com/office/drawing/2014/chart" uri="{C3380CC4-5D6E-409C-BE32-E72D297353CC}">
              <c16:uniqueId val="{00000000-0346-4664-A702-51CCCD6C04E4}"/>
            </c:ext>
          </c:extLst>
        </c:ser>
        <c:dLbls>
          <c:dLblPos val="outEnd"/>
          <c:showLegendKey val="0"/>
          <c:showVal val="1"/>
          <c:showCatName val="0"/>
          <c:showSerName val="0"/>
          <c:showPercent val="0"/>
          <c:showBubbleSize val="0"/>
        </c:dLbls>
        <c:gapWidth val="112"/>
        <c:axId val="942651760"/>
        <c:axId val="1804013488"/>
      </c:barChart>
      <c:catAx>
        <c:axId val="94265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013488"/>
        <c:crosses val="autoZero"/>
        <c:auto val="1"/>
        <c:lblAlgn val="ctr"/>
        <c:lblOffset val="100"/>
        <c:noMultiLvlLbl val="0"/>
      </c:catAx>
      <c:valAx>
        <c:axId val="1804013488"/>
        <c:scaling>
          <c:orientation val="minMax"/>
        </c:scaling>
        <c:delete val="1"/>
        <c:axPos val="b"/>
        <c:numFmt formatCode="0.0,,\ &quot;M&quot;" sourceLinked="0"/>
        <c:majorTickMark val="none"/>
        <c:minorTickMark val="none"/>
        <c:tickLblPos val="nextTo"/>
        <c:crossAx val="942651760"/>
        <c:crosses val="autoZero"/>
        <c:crossBetween val="between"/>
        <c:majorUnit val="2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Copy.xlsx]Best Performing cities!PivotTable4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performing Cities by Sales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ln>
            <a:solidFill>
              <a:schemeClr val="bg1"/>
            </a:solidFill>
          </a:ln>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chemeClr val="accent1"/>
          </a:solidFill>
          <a:ln w="19050">
            <a:solidFill>
              <a:schemeClr val="bg1"/>
            </a:solidFill>
          </a:ln>
          <a:effectLst/>
        </c:spPr>
        <c:dLbl>
          <c:idx val="0"/>
          <c:layout>
            <c:manualLayout>
              <c:x val="-0.14712586399747621"/>
              <c:y val="-6.962453560022373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5"/>
        <c:spPr>
          <a:solidFill>
            <a:schemeClr val="accent2"/>
          </a:solidFill>
          <a:ln w="19050">
            <a:solidFill>
              <a:schemeClr val="bg1"/>
            </a:solidFill>
          </a:ln>
          <a:effectLst/>
        </c:spPr>
        <c:dLbl>
          <c:idx val="0"/>
          <c:layout>
            <c:manualLayout>
              <c:x val="-5.3427150109821978E-2"/>
              <c:y val="-8.8633808077817219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6"/>
        <c:spPr>
          <a:solidFill>
            <a:schemeClr val="accent3"/>
          </a:solidFill>
          <a:ln w="19050">
            <a:solidFill>
              <a:schemeClr val="bg1"/>
            </a:solidFill>
          </a:ln>
          <a:effectLst/>
        </c:spPr>
        <c:dLbl>
          <c:idx val="0"/>
          <c:layout>
            <c:manualLayout>
              <c:x val="8.8289442245748126E-2"/>
              <c:y val="-0.13822193565156934"/>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7"/>
        <c:spPr>
          <a:solidFill>
            <a:schemeClr val="accent4"/>
          </a:solidFill>
          <a:ln w="19050">
            <a:solidFill>
              <a:schemeClr val="bg1"/>
            </a:solidFill>
          </a:ln>
          <a:effectLst/>
        </c:spPr>
        <c:dLbl>
          <c:idx val="0"/>
          <c:layout>
            <c:manualLayout>
              <c:x val="8.5765524308771615E-2"/>
              <c:y val="-1.172156087098839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chemeClr val="accent5"/>
          </a:solidFill>
          <a:ln w="19050">
            <a:solidFill>
              <a:schemeClr val="bg1"/>
            </a:solidFill>
          </a:ln>
          <a:effectLst/>
        </c:spPr>
      </c:pivotFmt>
      <c:pivotFmt>
        <c:idx val="39"/>
        <c:spPr>
          <a:solidFill>
            <a:schemeClr val="accent6"/>
          </a:solidFill>
          <a:ln w="19050">
            <a:solidFill>
              <a:schemeClr val="bg1"/>
            </a:solidFill>
          </a:ln>
          <a:effectLst/>
        </c:spPr>
      </c:pivotFmt>
      <c:pivotFmt>
        <c:idx val="40"/>
        <c:spPr>
          <a:solidFill>
            <a:schemeClr val="accent1">
              <a:lumMod val="60000"/>
            </a:schemeClr>
          </a:solidFill>
          <a:ln w="19050">
            <a:solidFill>
              <a:schemeClr val="bg1"/>
            </a:solidFill>
          </a:ln>
          <a:effectLst/>
        </c:spPr>
      </c:pivotFmt>
      <c:pivotFmt>
        <c:idx val="41"/>
        <c:spPr>
          <a:solidFill>
            <a:schemeClr val="accent2">
              <a:lumMod val="60000"/>
            </a:schemeClr>
          </a:solidFill>
          <a:ln w="19050">
            <a:solidFill>
              <a:schemeClr val="bg1"/>
            </a:solidFill>
          </a:ln>
          <a:effectLst/>
        </c:spPr>
        <c:dLbl>
          <c:idx val="0"/>
          <c:layout>
            <c:manualLayout>
              <c:x val="-1.791557920096383E-2"/>
              <c:y val="-2.19664733193870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4279E93-1B59-4BDC-AB2E-93BF9BCDD37A}" type="CATEGORYNAME">
                  <a:rPr lang="en-US">
                    <a:solidFill>
                      <a:schemeClr val="tx1"/>
                    </a:solidFill>
                  </a:rPr>
                  <a:pPr>
                    <a:defRPr sz="900" b="0" i="0" u="none" strike="noStrike" kern="1200" baseline="0">
                      <a:solidFill>
                        <a:schemeClr val="bg1"/>
                      </a:solidFill>
                      <a:latin typeface="+mn-lt"/>
                      <a:ea typeface="+mn-ea"/>
                      <a:cs typeface="+mn-cs"/>
                    </a:defRPr>
                  </a:pPr>
                  <a:t>[CATEGORY NAME]</a:t>
                </a:fld>
                <a:r>
                  <a:rPr lang="en-US" baseline="0"/>
                  <a:t>
</a:t>
                </a:r>
                <a:fld id="{941F95D5-DB64-4A2D-B137-9984B559D7ED}" type="PERCENTAGE">
                  <a:rPr lang="en-US" baseline="0">
                    <a:solidFill>
                      <a:schemeClr val="tx1"/>
                    </a:solidFill>
                  </a:rPr>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2"/>
        <c:spPr>
          <a:solidFill>
            <a:schemeClr val="accent1"/>
          </a:solidFill>
          <a:ln w="19050">
            <a:solidFill>
              <a:schemeClr val="bg1"/>
            </a:solidFill>
          </a:ln>
          <a:effectLst/>
        </c:spPr>
        <c:dLbl>
          <c:idx val="0"/>
          <c:layout>
            <c:manualLayout>
              <c:x val="5.9210070948081985E-2"/>
              <c:y val="4.199688231018566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3"/>
        <c:marker>
          <c:symbol val="none"/>
        </c:marker>
        <c:dLbl>
          <c:idx val="0"/>
          <c:delete val="1"/>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2"/>
          </a:solidFill>
          <a:ln w="19050">
            <a:solidFill>
              <a:schemeClr val="lt1"/>
            </a:solidFill>
          </a:ln>
          <a:effectLst/>
        </c:spPr>
      </c:pivotFmt>
      <c:pivotFmt>
        <c:idx val="46"/>
        <c:spPr>
          <a:solidFill>
            <a:schemeClr val="accent3"/>
          </a:solidFill>
          <a:ln w="19050">
            <a:solidFill>
              <a:schemeClr val="lt1"/>
            </a:solidFill>
          </a:ln>
          <a:effectLst/>
        </c:spPr>
      </c:pivotFmt>
      <c:pivotFmt>
        <c:idx val="47"/>
        <c:spPr>
          <a:solidFill>
            <a:schemeClr val="accent4"/>
          </a:solidFill>
          <a:ln w="19050">
            <a:solidFill>
              <a:schemeClr val="lt1"/>
            </a:solidFill>
          </a:ln>
          <a:effectLst/>
        </c:spPr>
      </c:pivotFmt>
      <c:pivotFmt>
        <c:idx val="48"/>
        <c:spPr>
          <a:solidFill>
            <a:schemeClr val="accent5"/>
          </a:solidFill>
          <a:ln w="19050">
            <a:solidFill>
              <a:schemeClr val="lt1"/>
            </a:solidFill>
          </a:ln>
          <a:effectLst/>
        </c:spPr>
      </c:pivotFmt>
      <c:pivotFmt>
        <c:idx val="49"/>
        <c:spPr>
          <a:solidFill>
            <a:schemeClr val="accent6"/>
          </a:solidFill>
          <a:ln w="19050">
            <a:solidFill>
              <a:schemeClr val="lt1"/>
            </a:solidFill>
          </a:ln>
          <a:effectLst/>
        </c:spPr>
      </c:pivotFmt>
      <c:pivotFmt>
        <c:idx val="50"/>
        <c:spPr>
          <a:solidFill>
            <a:schemeClr val="accent1">
              <a:lumMod val="60000"/>
            </a:schemeClr>
          </a:solidFill>
          <a:ln w="19050">
            <a:solidFill>
              <a:schemeClr val="lt1"/>
            </a:solidFill>
          </a:ln>
          <a:effectLst/>
        </c:spPr>
      </c:pivotFmt>
      <c:pivotFmt>
        <c:idx val="51"/>
        <c:spPr>
          <a:solidFill>
            <a:schemeClr val="accent2">
              <a:lumMod val="60000"/>
            </a:schemeClr>
          </a:solidFill>
          <a:ln w="19050">
            <a:solidFill>
              <a:schemeClr val="lt1"/>
            </a:solidFill>
          </a:ln>
          <a:effectLst/>
        </c:spPr>
      </c:pivotFmt>
      <c:pivotFmt>
        <c:idx val="52"/>
        <c:spPr>
          <a:solidFill>
            <a:schemeClr val="accent1"/>
          </a:solidFill>
          <a:ln w="19050">
            <a:solidFill>
              <a:schemeClr val="lt1"/>
            </a:solidFill>
          </a:ln>
          <a:effectLst/>
        </c:spPr>
      </c:pivotFmt>
      <c:pivotFmt>
        <c:idx val="53"/>
        <c:marker>
          <c:symbol val="none"/>
        </c:marker>
        <c:dLbl>
          <c:idx val="0"/>
          <c:delete val="1"/>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2"/>
          </a:solidFill>
          <a:ln w="19050">
            <a:solidFill>
              <a:schemeClr val="lt1"/>
            </a:solidFill>
          </a:ln>
          <a:effectLst/>
        </c:spPr>
      </c:pivotFmt>
      <c:pivotFmt>
        <c:idx val="56"/>
        <c:spPr>
          <a:solidFill>
            <a:schemeClr val="accent3"/>
          </a:solidFill>
          <a:ln w="19050">
            <a:solidFill>
              <a:schemeClr val="lt1"/>
            </a:solidFill>
          </a:ln>
          <a:effectLst/>
        </c:spPr>
      </c:pivotFmt>
      <c:pivotFmt>
        <c:idx val="57"/>
        <c:spPr>
          <a:solidFill>
            <a:schemeClr val="accent4"/>
          </a:solidFill>
          <a:ln w="19050">
            <a:solidFill>
              <a:schemeClr val="lt1"/>
            </a:solidFill>
          </a:ln>
          <a:effectLst/>
        </c:spPr>
      </c:pivotFmt>
      <c:pivotFmt>
        <c:idx val="58"/>
        <c:spPr>
          <a:solidFill>
            <a:schemeClr val="accent5"/>
          </a:solidFill>
          <a:ln w="19050">
            <a:solidFill>
              <a:schemeClr val="lt1"/>
            </a:solidFill>
          </a:ln>
          <a:effectLst/>
        </c:spPr>
      </c:pivotFmt>
      <c:pivotFmt>
        <c:idx val="59"/>
        <c:spPr>
          <a:solidFill>
            <a:schemeClr val="accent6"/>
          </a:solidFill>
          <a:ln w="19050">
            <a:solidFill>
              <a:schemeClr val="lt1"/>
            </a:solidFill>
          </a:ln>
          <a:effectLst/>
        </c:spPr>
      </c:pivotFmt>
      <c:pivotFmt>
        <c:idx val="60"/>
        <c:spPr>
          <a:solidFill>
            <a:schemeClr val="accent1">
              <a:lumMod val="60000"/>
            </a:schemeClr>
          </a:solidFill>
          <a:ln w="19050">
            <a:solidFill>
              <a:schemeClr val="lt1"/>
            </a:solidFill>
          </a:ln>
          <a:effectLst/>
        </c:spPr>
      </c:pivotFmt>
      <c:pivotFmt>
        <c:idx val="61"/>
        <c:spPr>
          <a:solidFill>
            <a:schemeClr val="accent2">
              <a:lumMod val="60000"/>
            </a:schemeClr>
          </a:solidFill>
          <a:ln w="19050">
            <a:solidFill>
              <a:schemeClr val="lt1"/>
            </a:solidFill>
          </a:ln>
          <a:effectLst/>
        </c:spPr>
      </c:pivotFmt>
      <c:pivotFmt>
        <c:idx val="62"/>
        <c:spPr>
          <a:solidFill>
            <a:schemeClr val="accent1"/>
          </a:solidFill>
          <a:ln w="19050">
            <a:solidFill>
              <a:schemeClr val="lt1"/>
            </a:solidFill>
          </a:ln>
          <a:effectLst/>
        </c:spPr>
      </c:pivotFmt>
    </c:pivotFmts>
    <c:plotArea>
      <c:layout/>
      <c:pieChart>
        <c:varyColors val="1"/>
        <c:ser>
          <c:idx val="0"/>
          <c:order val="0"/>
          <c:tx>
            <c:strRef>
              <c:f>'Best Performing cities'!$B$3</c:f>
              <c:strCache>
                <c:ptCount val="1"/>
                <c:pt idx="0">
                  <c:v>Count of Quantity</c:v>
                </c:pt>
              </c:strCache>
            </c:strRef>
          </c:tx>
          <c:spPr>
            <a:ln>
              <a:solidFill>
                <a:schemeClr val="bg1"/>
              </a:solidFill>
            </a:ln>
          </c:spPr>
          <c:dPt>
            <c:idx val="0"/>
            <c:bubble3D val="0"/>
            <c:explosion val="10"/>
            <c:spPr>
              <a:solidFill>
                <a:schemeClr val="accent1"/>
              </a:solidFill>
              <a:ln w="19050">
                <a:solidFill>
                  <a:schemeClr val="bg1"/>
                </a:solidFill>
              </a:ln>
              <a:effectLst/>
            </c:spPr>
            <c:extLst>
              <c:ext xmlns:c16="http://schemas.microsoft.com/office/drawing/2014/chart" uri="{C3380CC4-5D6E-409C-BE32-E72D297353CC}">
                <c16:uniqueId val="{00000001-2F7A-49AF-A539-137BD64029C5}"/>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2F7A-49AF-A539-137BD64029C5}"/>
              </c:ext>
            </c:extLst>
          </c:dPt>
          <c:dPt>
            <c:idx val="2"/>
            <c:bubble3D val="0"/>
            <c:spPr>
              <a:solidFill>
                <a:schemeClr val="accent3"/>
              </a:solidFill>
              <a:ln w="19050">
                <a:solidFill>
                  <a:schemeClr val="bg1"/>
                </a:solidFill>
              </a:ln>
              <a:effectLst/>
            </c:spPr>
            <c:extLst>
              <c:ext xmlns:c16="http://schemas.microsoft.com/office/drawing/2014/chart" uri="{C3380CC4-5D6E-409C-BE32-E72D297353CC}">
                <c16:uniqueId val="{00000005-2F7A-49AF-A539-137BD64029C5}"/>
              </c:ext>
            </c:extLst>
          </c:dPt>
          <c:dPt>
            <c:idx val="3"/>
            <c:bubble3D val="0"/>
            <c:spPr>
              <a:solidFill>
                <a:schemeClr val="accent4"/>
              </a:solidFill>
              <a:ln w="19050">
                <a:solidFill>
                  <a:schemeClr val="bg1"/>
                </a:solidFill>
              </a:ln>
              <a:effectLst/>
            </c:spPr>
            <c:extLst>
              <c:ext xmlns:c16="http://schemas.microsoft.com/office/drawing/2014/chart" uri="{C3380CC4-5D6E-409C-BE32-E72D297353CC}">
                <c16:uniqueId val="{00000007-2F7A-49AF-A539-137BD64029C5}"/>
              </c:ext>
            </c:extLst>
          </c:dPt>
          <c:dPt>
            <c:idx val="4"/>
            <c:bubble3D val="0"/>
            <c:spPr>
              <a:solidFill>
                <a:schemeClr val="accent5"/>
              </a:solidFill>
              <a:ln w="19050">
                <a:solidFill>
                  <a:schemeClr val="bg1"/>
                </a:solidFill>
              </a:ln>
              <a:effectLst/>
            </c:spPr>
            <c:extLst>
              <c:ext xmlns:c16="http://schemas.microsoft.com/office/drawing/2014/chart" uri="{C3380CC4-5D6E-409C-BE32-E72D297353CC}">
                <c16:uniqueId val="{00000009-2F7A-49AF-A539-137BD64029C5}"/>
              </c:ext>
            </c:extLst>
          </c:dPt>
          <c:dPt>
            <c:idx val="5"/>
            <c:bubble3D val="0"/>
            <c:spPr>
              <a:solidFill>
                <a:schemeClr val="accent6"/>
              </a:solidFill>
              <a:ln w="19050">
                <a:solidFill>
                  <a:schemeClr val="bg1"/>
                </a:solidFill>
              </a:ln>
              <a:effectLst/>
            </c:spPr>
            <c:extLst>
              <c:ext xmlns:c16="http://schemas.microsoft.com/office/drawing/2014/chart" uri="{C3380CC4-5D6E-409C-BE32-E72D297353CC}">
                <c16:uniqueId val="{0000000B-2F7A-49AF-A539-137BD64029C5}"/>
              </c:ext>
            </c:extLst>
          </c:dPt>
          <c:dPt>
            <c:idx val="6"/>
            <c:bubble3D val="0"/>
            <c:spPr>
              <a:solidFill>
                <a:schemeClr val="accent1">
                  <a:lumMod val="60000"/>
                </a:schemeClr>
              </a:solidFill>
              <a:ln w="19050">
                <a:solidFill>
                  <a:schemeClr val="bg1"/>
                </a:solidFill>
              </a:ln>
              <a:effectLst/>
            </c:spPr>
            <c:extLst>
              <c:ext xmlns:c16="http://schemas.microsoft.com/office/drawing/2014/chart" uri="{C3380CC4-5D6E-409C-BE32-E72D297353CC}">
                <c16:uniqueId val="{0000000D-2F7A-49AF-A539-137BD64029C5}"/>
              </c:ext>
            </c:extLst>
          </c:dPt>
          <c:dPt>
            <c:idx val="7"/>
            <c:bubble3D val="0"/>
            <c:spPr>
              <a:solidFill>
                <a:schemeClr val="accent2">
                  <a:lumMod val="60000"/>
                </a:schemeClr>
              </a:solidFill>
              <a:ln w="19050">
                <a:solidFill>
                  <a:schemeClr val="bg1"/>
                </a:solidFill>
              </a:ln>
              <a:effectLst/>
            </c:spPr>
            <c:extLst>
              <c:ext xmlns:c16="http://schemas.microsoft.com/office/drawing/2014/chart" uri="{C3380CC4-5D6E-409C-BE32-E72D297353CC}">
                <c16:uniqueId val="{0000000F-2F7A-49AF-A539-137BD64029C5}"/>
              </c:ext>
            </c:extLst>
          </c:dPt>
          <c:dPt>
            <c:idx val="8"/>
            <c:bubble3D val="0"/>
            <c:extLst>
              <c:ext xmlns:c16="http://schemas.microsoft.com/office/drawing/2014/chart" uri="{C3380CC4-5D6E-409C-BE32-E72D297353CC}">
                <c16:uniqueId val="{00000011-2F7A-49AF-A539-137BD64029C5}"/>
              </c:ext>
            </c:extLst>
          </c:dPt>
          <c:dLbls>
            <c:dLbl>
              <c:idx val="0"/>
              <c:layout>
                <c:manualLayout>
                  <c:x val="-0.14712586399747621"/>
                  <c:y val="-6.96245356002237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7A-49AF-A539-137BD64029C5}"/>
                </c:ext>
              </c:extLst>
            </c:dLbl>
            <c:dLbl>
              <c:idx val="1"/>
              <c:layout>
                <c:manualLayout>
                  <c:x val="-5.3427150109821978E-2"/>
                  <c:y val="-8.86338080778172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7A-49AF-A539-137BD64029C5}"/>
                </c:ext>
              </c:extLst>
            </c:dLbl>
            <c:dLbl>
              <c:idx val="2"/>
              <c:layout>
                <c:manualLayout>
                  <c:x val="8.8289442245748126E-2"/>
                  <c:y val="-0.1382219356515693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7A-49AF-A539-137BD64029C5}"/>
                </c:ext>
              </c:extLst>
            </c:dLbl>
            <c:dLbl>
              <c:idx val="3"/>
              <c:layout>
                <c:manualLayout>
                  <c:x val="8.5765524308771615E-2"/>
                  <c:y val="-1.17215608709883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F7A-49AF-A539-137BD64029C5}"/>
                </c:ext>
              </c:extLst>
            </c:dLbl>
            <c:dLbl>
              <c:idx val="7"/>
              <c:layout>
                <c:manualLayout>
                  <c:x val="-1.791557920096383E-2"/>
                  <c:y val="-2.19664733193870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4279E93-1B59-4BDC-AB2E-93BF9BCDD37A}" type="CATEGORYNAME">
                      <a:rPr lang="en-US">
                        <a:solidFill>
                          <a:schemeClr val="tx1"/>
                        </a:solidFill>
                      </a:rPr>
                      <a:pPr>
                        <a:defRPr sz="900" b="0" i="0" u="none" strike="noStrike" kern="1200" baseline="0">
                          <a:solidFill>
                            <a:schemeClr val="bg1"/>
                          </a:solidFill>
                          <a:latin typeface="+mn-lt"/>
                          <a:ea typeface="+mn-ea"/>
                          <a:cs typeface="+mn-cs"/>
                        </a:defRPr>
                      </a:pPr>
                      <a:t>[CATEGORY NAME]</a:t>
                    </a:fld>
                    <a:r>
                      <a:rPr lang="en-US" baseline="0"/>
                      <a:t>
</a:t>
                    </a:r>
                    <a:fld id="{941F95D5-DB64-4A2D-B137-9984B559D7ED}" type="PERCENTAGE">
                      <a:rPr lang="en-US" baseline="0">
                        <a:solidFill>
                          <a:schemeClr val="tx1"/>
                        </a:solidFill>
                      </a:rPr>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2F7A-49AF-A539-137BD64029C5}"/>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'Best Performing cities'!$A$4:$A$12</c:f>
              <c:strCache>
                <c:ptCount val="9"/>
                <c:pt idx="0">
                  <c:v>Bhubaneshwar</c:v>
                </c:pt>
                <c:pt idx="1">
                  <c:v>Sambalpur</c:v>
                </c:pt>
                <c:pt idx="2">
                  <c:v>Berhampur</c:v>
                </c:pt>
                <c:pt idx="3">
                  <c:v>Puri</c:v>
                </c:pt>
                <c:pt idx="4">
                  <c:v>Rourkela</c:v>
                </c:pt>
                <c:pt idx="5">
                  <c:v>Balasore</c:v>
                </c:pt>
                <c:pt idx="6">
                  <c:v>Cuttack</c:v>
                </c:pt>
                <c:pt idx="7">
                  <c:v>Sambalpur </c:v>
                </c:pt>
                <c:pt idx="8">
                  <c:v>(blank)</c:v>
                </c:pt>
              </c:strCache>
            </c:strRef>
          </c:cat>
          <c:val>
            <c:numRef>
              <c:f>'Best Performing cities'!$B$4:$B$12</c:f>
              <c:numCache>
                <c:formatCode>General</c:formatCode>
                <c:ptCount val="9"/>
                <c:pt idx="0">
                  <c:v>163</c:v>
                </c:pt>
                <c:pt idx="1">
                  <c:v>149</c:v>
                </c:pt>
                <c:pt idx="2">
                  <c:v>131</c:v>
                </c:pt>
                <c:pt idx="3">
                  <c:v>140</c:v>
                </c:pt>
                <c:pt idx="4">
                  <c:v>143</c:v>
                </c:pt>
                <c:pt idx="5">
                  <c:v>135</c:v>
                </c:pt>
                <c:pt idx="6">
                  <c:v>128</c:v>
                </c:pt>
                <c:pt idx="7">
                  <c:v>11</c:v>
                </c:pt>
              </c:numCache>
            </c:numRef>
          </c:val>
          <c:extLst>
            <c:ext xmlns:c16="http://schemas.microsoft.com/office/drawing/2014/chart" uri="{C3380CC4-5D6E-409C-BE32-E72D297353CC}">
              <c16:uniqueId val="{00000012-2F7A-49AF-A539-137BD64029C5}"/>
            </c:ext>
          </c:extLst>
        </c:ser>
        <c:ser>
          <c:idx val="1"/>
          <c:order val="1"/>
          <c:tx>
            <c:strRef>
              <c:f>'Best Performing cities'!$C$3</c:f>
              <c:strCache>
                <c:ptCount val="1"/>
                <c:pt idx="0">
                  <c:v>Sum of Net_Sales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4-2F7A-49AF-A539-137BD64029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6-2F7A-49AF-A539-137BD64029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8-2F7A-49AF-A539-137BD64029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A-2F7A-49AF-A539-137BD64029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C-2F7A-49AF-A539-137BD64029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E-2F7A-49AF-A539-137BD64029C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0-2F7A-49AF-A539-137BD64029C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2-2F7A-49AF-A539-137BD64029C5}"/>
              </c:ext>
            </c:extLst>
          </c:dPt>
          <c:dPt>
            <c:idx val="8"/>
            <c:bubble3D val="0"/>
            <c:extLst>
              <c:ext xmlns:c16="http://schemas.microsoft.com/office/drawing/2014/chart" uri="{C3380CC4-5D6E-409C-BE32-E72D297353CC}">
                <c16:uniqueId val="{00000024-2F7A-49AF-A539-137BD64029C5}"/>
              </c:ext>
            </c:extLst>
          </c:dPt>
          <c:cat>
            <c:strRef>
              <c:f>'Best Performing cities'!$A$4:$A$12</c:f>
              <c:strCache>
                <c:ptCount val="9"/>
                <c:pt idx="0">
                  <c:v>Bhubaneshwar</c:v>
                </c:pt>
                <c:pt idx="1">
                  <c:v>Sambalpur</c:v>
                </c:pt>
                <c:pt idx="2">
                  <c:v>Berhampur</c:v>
                </c:pt>
                <c:pt idx="3">
                  <c:v>Puri</c:v>
                </c:pt>
                <c:pt idx="4">
                  <c:v>Rourkela</c:v>
                </c:pt>
                <c:pt idx="5">
                  <c:v>Balasore</c:v>
                </c:pt>
                <c:pt idx="6">
                  <c:v>Cuttack</c:v>
                </c:pt>
                <c:pt idx="7">
                  <c:v>Sambalpur </c:v>
                </c:pt>
                <c:pt idx="8">
                  <c:v>(blank)</c:v>
                </c:pt>
              </c:strCache>
            </c:strRef>
          </c:cat>
          <c:val>
            <c:numRef>
              <c:f>'Best Performing cities'!$C$4:$C$12</c:f>
              <c:numCache>
                <c:formatCode>"₹"\ #,##0</c:formatCode>
                <c:ptCount val="9"/>
                <c:pt idx="0">
                  <c:v>3195380</c:v>
                </c:pt>
                <c:pt idx="1">
                  <c:v>2881082.5</c:v>
                </c:pt>
                <c:pt idx="2">
                  <c:v>2879527.5</c:v>
                </c:pt>
                <c:pt idx="3">
                  <c:v>2499340</c:v>
                </c:pt>
                <c:pt idx="4">
                  <c:v>2167305</c:v>
                </c:pt>
                <c:pt idx="5">
                  <c:v>2113322.5</c:v>
                </c:pt>
                <c:pt idx="6">
                  <c:v>2083735</c:v>
                </c:pt>
                <c:pt idx="7">
                  <c:v>95422.5</c:v>
                </c:pt>
              </c:numCache>
            </c:numRef>
          </c:val>
          <c:extLst>
            <c:ext xmlns:c16="http://schemas.microsoft.com/office/drawing/2014/chart" uri="{C3380CC4-5D6E-409C-BE32-E72D297353CC}">
              <c16:uniqueId val="{00000025-2F7A-49AF-A539-137BD64029C5}"/>
            </c:ext>
          </c:extLst>
        </c:ser>
        <c:ser>
          <c:idx val="2"/>
          <c:order val="2"/>
          <c:tx>
            <c:strRef>
              <c:f>'Best Performing cities'!$D$3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2F7A-49AF-A539-137BD64029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9-2F7A-49AF-A539-137BD64029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B-2F7A-49AF-A539-137BD64029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D-2F7A-49AF-A539-137BD64029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F-2F7A-49AF-A539-137BD64029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1-2F7A-49AF-A539-137BD64029C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3-2F7A-49AF-A539-137BD64029C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5-2F7A-49AF-A539-137BD64029C5}"/>
              </c:ext>
            </c:extLst>
          </c:dPt>
          <c:dPt>
            <c:idx val="8"/>
            <c:bubble3D val="0"/>
            <c:extLst>
              <c:ext xmlns:c16="http://schemas.microsoft.com/office/drawing/2014/chart" uri="{C3380CC4-5D6E-409C-BE32-E72D297353CC}">
                <c16:uniqueId val="{00000037-2F7A-49AF-A539-137BD64029C5}"/>
              </c:ext>
            </c:extLst>
          </c:dPt>
          <c:cat>
            <c:strRef>
              <c:f>'Best Performing cities'!$A$4:$A$12</c:f>
              <c:strCache>
                <c:ptCount val="9"/>
                <c:pt idx="0">
                  <c:v>Bhubaneshwar</c:v>
                </c:pt>
                <c:pt idx="1">
                  <c:v>Sambalpur</c:v>
                </c:pt>
                <c:pt idx="2">
                  <c:v>Berhampur</c:v>
                </c:pt>
                <c:pt idx="3">
                  <c:v>Puri</c:v>
                </c:pt>
                <c:pt idx="4">
                  <c:v>Rourkela</c:v>
                </c:pt>
                <c:pt idx="5">
                  <c:v>Balasore</c:v>
                </c:pt>
                <c:pt idx="6">
                  <c:v>Cuttack</c:v>
                </c:pt>
                <c:pt idx="7">
                  <c:v>Sambalpur </c:v>
                </c:pt>
                <c:pt idx="8">
                  <c:v>(blank)</c:v>
                </c:pt>
              </c:strCache>
            </c:strRef>
          </c:cat>
          <c:val>
            <c:numRef>
              <c:f>'Best Performing cities'!$D$4:$D$12</c:f>
              <c:numCache>
                <c:formatCode>"₹"\ #,##0</c:formatCode>
                <c:ptCount val="9"/>
                <c:pt idx="0">
                  <c:v>880560.08000000031</c:v>
                </c:pt>
                <c:pt idx="1">
                  <c:v>765498.25999999966</c:v>
                </c:pt>
                <c:pt idx="2">
                  <c:v>776155.04999999993</c:v>
                </c:pt>
                <c:pt idx="3">
                  <c:v>655477.4</c:v>
                </c:pt>
                <c:pt idx="4">
                  <c:v>561506.55000000028</c:v>
                </c:pt>
                <c:pt idx="5">
                  <c:v>549682.21</c:v>
                </c:pt>
                <c:pt idx="6">
                  <c:v>590092.10999999975</c:v>
                </c:pt>
                <c:pt idx="7">
                  <c:v>26009.16</c:v>
                </c:pt>
              </c:numCache>
            </c:numRef>
          </c:val>
          <c:extLst>
            <c:ext xmlns:c16="http://schemas.microsoft.com/office/drawing/2014/chart" uri="{C3380CC4-5D6E-409C-BE32-E72D297353CC}">
              <c16:uniqueId val="{00000038-2F7A-49AF-A539-137BD64029C5}"/>
            </c:ext>
          </c:extLst>
        </c:ser>
        <c:dLbls>
          <c:showLegendKey val="0"/>
          <c:showVal val="0"/>
          <c:showCatName val="0"/>
          <c:showSerName val="0"/>
          <c:showPercent val="0"/>
          <c:showBubbleSize val="0"/>
          <c:showLeaderLines val="0"/>
        </c:dLbls>
        <c:firstSliceAng val="8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Copy.xlsx]Ocassion driving sales!PivotTable5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Ocassion Driving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1502832667484"/>
          <c:y val="7.7211570695479501E-2"/>
          <c:w val="0.80088292748954837"/>
          <c:h val="0.61844755957503772"/>
        </c:manualLayout>
      </c:layout>
      <c:barChart>
        <c:barDir val="col"/>
        <c:grouping val="clustered"/>
        <c:varyColors val="0"/>
        <c:ser>
          <c:idx val="1"/>
          <c:order val="1"/>
          <c:tx>
            <c:strRef>
              <c:f>'Ocassion driving sales'!$C$3</c:f>
              <c:strCache>
                <c:ptCount val="1"/>
                <c:pt idx="0">
                  <c:v>Sum of Net_Sales</c:v>
                </c:pt>
              </c:strCache>
            </c:strRef>
          </c:tx>
          <c:spPr>
            <a:solidFill>
              <a:schemeClr val="tx2"/>
            </a:solidFill>
            <a:ln>
              <a:noFill/>
            </a:ln>
            <a:effectLst/>
          </c:spPr>
          <c:invertIfNegative val="0"/>
          <c:cat>
            <c:strRef>
              <c:f>'Ocassion driving sales'!$A$4:$A$12</c:f>
              <c:strCache>
                <c:ptCount val="9"/>
                <c:pt idx="0">
                  <c:v>Festive</c:v>
                </c:pt>
                <c:pt idx="1">
                  <c:v>Casual</c:v>
                </c:pt>
                <c:pt idx="2">
                  <c:v>Reception</c:v>
                </c:pt>
                <c:pt idx="3">
                  <c:v>Wedding</c:v>
                </c:pt>
                <c:pt idx="4">
                  <c:v>Puja</c:v>
                </c:pt>
                <c:pt idx="5">
                  <c:v>Family Function</c:v>
                </c:pt>
                <c:pt idx="6">
                  <c:v>Office</c:v>
                </c:pt>
                <c:pt idx="7">
                  <c:v>Wedding Guest</c:v>
                </c:pt>
                <c:pt idx="8">
                  <c:v>Engagement</c:v>
                </c:pt>
              </c:strCache>
            </c:strRef>
          </c:cat>
          <c:val>
            <c:numRef>
              <c:f>'Ocassion driving sales'!$C$4:$C$12</c:f>
              <c:numCache>
                <c:formatCode>"₹"\ #,##0</c:formatCode>
                <c:ptCount val="9"/>
                <c:pt idx="0">
                  <c:v>3929987.5</c:v>
                </c:pt>
                <c:pt idx="1">
                  <c:v>1605865</c:v>
                </c:pt>
                <c:pt idx="2">
                  <c:v>3677457.5</c:v>
                </c:pt>
                <c:pt idx="3">
                  <c:v>3187417.5</c:v>
                </c:pt>
                <c:pt idx="4">
                  <c:v>789137.5</c:v>
                </c:pt>
                <c:pt idx="5">
                  <c:v>557492.5</c:v>
                </c:pt>
                <c:pt idx="6">
                  <c:v>927477.5</c:v>
                </c:pt>
                <c:pt idx="7">
                  <c:v>737570</c:v>
                </c:pt>
                <c:pt idx="8">
                  <c:v>2502710</c:v>
                </c:pt>
              </c:numCache>
            </c:numRef>
          </c:val>
          <c:extLst>
            <c:ext xmlns:c16="http://schemas.microsoft.com/office/drawing/2014/chart" uri="{C3380CC4-5D6E-409C-BE32-E72D297353CC}">
              <c16:uniqueId val="{00000001-A1E9-4CCA-8FC0-26EC8A02B489}"/>
            </c:ext>
          </c:extLst>
        </c:ser>
        <c:ser>
          <c:idx val="2"/>
          <c:order val="2"/>
          <c:tx>
            <c:strRef>
              <c:f>'Ocassion driving sales'!$D$3</c:f>
              <c:strCache>
                <c:ptCount val="1"/>
                <c:pt idx="0">
                  <c:v>Sum of Profit</c:v>
                </c:pt>
              </c:strCache>
            </c:strRef>
          </c:tx>
          <c:spPr>
            <a:solidFill>
              <a:schemeClr val="accent1">
                <a:lumMod val="20000"/>
                <a:lumOff val="80000"/>
              </a:schemeClr>
            </a:solidFill>
            <a:ln>
              <a:noFill/>
            </a:ln>
            <a:effectLst/>
          </c:spPr>
          <c:invertIfNegative val="0"/>
          <c:cat>
            <c:strRef>
              <c:f>'Ocassion driving sales'!$A$4:$A$12</c:f>
              <c:strCache>
                <c:ptCount val="9"/>
                <c:pt idx="0">
                  <c:v>Festive</c:v>
                </c:pt>
                <c:pt idx="1">
                  <c:v>Casual</c:v>
                </c:pt>
                <c:pt idx="2">
                  <c:v>Reception</c:v>
                </c:pt>
                <c:pt idx="3">
                  <c:v>Wedding</c:v>
                </c:pt>
                <c:pt idx="4">
                  <c:v>Puja</c:v>
                </c:pt>
                <c:pt idx="5">
                  <c:v>Family Function</c:v>
                </c:pt>
                <c:pt idx="6">
                  <c:v>Office</c:v>
                </c:pt>
                <c:pt idx="7">
                  <c:v>Wedding Guest</c:v>
                </c:pt>
                <c:pt idx="8">
                  <c:v>Engagement</c:v>
                </c:pt>
              </c:strCache>
            </c:strRef>
          </c:cat>
          <c:val>
            <c:numRef>
              <c:f>'Ocassion driving sales'!$D$4:$D$12</c:f>
              <c:numCache>
                <c:formatCode>"₹"\ #,##0</c:formatCode>
                <c:ptCount val="9"/>
                <c:pt idx="0">
                  <c:v>1083417.8200000005</c:v>
                </c:pt>
                <c:pt idx="1">
                  <c:v>407903.3699999997</c:v>
                </c:pt>
                <c:pt idx="2">
                  <c:v>980551.0500000004</c:v>
                </c:pt>
                <c:pt idx="3">
                  <c:v>864889.91999999958</c:v>
                </c:pt>
                <c:pt idx="4">
                  <c:v>217392.69</c:v>
                </c:pt>
                <c:pt idx="5">
                  <c:v>142651.83000000002</c:v>
                </c:pt>
                <c:pt idx="6">
                  <c:v>270546.19</c:v>
                </c:pt>
                <c:pt idx="7">
                  <c:v>180340.36000000002</c:v>
                </c:pt>
                <c:pt idx="8">
                  <c:v>657287.58999999985</c:v>
                </c:pt>
              </c:numCache>
            </c:numRef>
          </c:val>
          <c:extLst>
            <c:ext xmlns:c16="http://schemas.microsoft.com/office/drawing/2014/chart" uri="{C3380CC4-5D6E-409C-BE32-E72D297353CC}">
              <c16:uniqueId val="{00000002-A1E9-4CCA-8FC0-26EC8A02B489}"/>
            </c:ext>
          </c:extLst>
        </c:ser>
        <c:dLbls>
          <c:showLegendKey val="0"/>
          <c:showVal val="0"/>
          <c:showCatName val="0"/>
          <c:showSerName val="0"/>
          <c:showPercent val="0"/>
          <c:showBubbleSize val="0"/>
        </c:dLbls>
        <c:gapWidth val="219"/>
        <c:overlap val="-27"/>
        <c:axId val="1010870464"/>
        <c:axId val="1804029328"/>
      </c:barChart>
      <c:lineChart>
        <c:grouping val="standard"/>
        <c:varyColors val="0"/>
        <c:ser>
          <c:idx val="0"/>
          <c:order val="0"/>
          <c:tx>
            <c:strRef>
              <c:f>'Ocassion driving sales'!$B$3</c:f>
              <c:strCache>
                <c:ptCount val="1"/>
                <c:pt idx="0">
                  <c:v>Count of Order_ID</c:v>
                </c:pt>
              </c:strCache>
            </c:strRef>
          </c:tx>
          <c:spPr>
            <a:ln w="28575" cap="rnd">
              <a:solidFill>
                <a:schemeClr val="accent1"/>
              </a:solidFill>
              <a:round/>
            </a:ln>
            <a:effectLst/>
          </c:spPr>
          <c:marker>
            <c:symbol val="none"/>
          </c:marker>
          <c:cat>
            <c:strRef>
              <c:f>'Ocassion driving sales'!$A$4:$A$12</c:f>
              <c:strCache>
                <c:ptCount val="9"/>
                <c:pt idx="0">
                  <c:v>Festive</c:v>
                </c:pt>
                <c:pt idx="1">
                  <c:v>Casual</c:v>
                </c:pt>
                <c:pt idx="2">
                  <c:v>Reception</c:v>
                </c:pt>
                <c:pt idx="3">
                  <c:v>Wedding</c:v>
                </c:pt>
                <c:pt idx="4">
                  <c:v>Puja</c:v>
                </c:pt>
                <c:pt idx="5">
                  <c:v>Family Function</c:v>
                </c:pt>
                <c:pt idx="6">
                  <c:v>Office</c:v>
                </c:pt>
                <c:pt idx="7">
                  <c:v>Wedding Guest</c:v>
                </c:pt>
                <c:pt idx="8">
                  <c:v>Engagement</c:v>
                </c:pt>
              </c:strCache>
            </c:strRef>
          </c:cat>
          <c:val>
            <c:numRef>
              <c:f>'Ocassion driving sales'!$B$4:$B$12</c:f>
              <c:numCache>
                <c:formatCode>General</c:formatCode>
                <c:ptCount val="9"/>
                <c:pt idx="0">
                  <c:v>203</c:v>
                </c:pt>
                <c:pt idx="1">
                  <c:v>184</c:v>
                </c:pt>
                <c:pt idx="2">
                  <c:v>139</c:v>
                </c:pt>
                <c:pt idx="3">
                  <c:v>124</c:v>
                </c:pt>
                <c:pt idx="4">
                  <c:v>82</c:v>
                </c:pt>
                <c:pt idx="5">
                  <c:v>82</c:v>
                </c:pt>
                <c:pt idx="6">
                  <c:v>72</c:v>
                </c:pt>
                <c:pt idx="7">
                  <c:v>68</c:v>
                </c:pt>
                <c:pt idx="8">
                  <c:v>46</c:v>
                </c:pt>
              </c:numCache>
            </c:numRef>
          </c:val>
          <c:smooth val="0"/>
          <c:extLst>
            <c:ext xmlns:c16="http://schemas.microsoft.com/office/drawing/2014/chart" uri="{C3380CC4-5D6E-409C-BE32-E72D297353CC}">
              <c16:uniqueId val="{00000000-A1E9-4CCA-8FC0-26EC8A02B489}"/>
            </c:ext>
          </c:extLst>
        </c:ser>
        <c:dLbls>
          <c:showLegendKey val="0"/>
          <c:showVal val="0"/>
          <c:showCatName val="0"/>
          <c:showSerName val="0"/>
          <c:showPercent val="0"/>
          <c:showBubbleSize val="0"/>
        </c:dLbls>
        <c:marker val="1"/>
        <c:smooth val="0"/>
        <c:axId val="1014923728"/>
        <c:axId val="1804116688"/>
      </c:lineChart>
      <c:catAx>
        <c:axId val="101087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029328"/>
        <c:crosses val="autoZero"/>
        <c:auto val="1"/>
        <c:lblAlgn val="ctr"/>
        <c:lblOffset val="100"/>
        <c:noMultiLvlLbl val="0"/>
      </c:catAx>
      <c:valAx>
        <c:axId val="1804029328"/>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870464"/>
        <c:crosses val="autoZero"/>
        <c:crossBetween val="between"/>
        <c:majorUnit val="1000000"/>
        <c:minorUnit val="200000"/>
      </c:valAx>
      <c:valAx>
        <c:axId val="18041166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923728"/>
        <c:crosses val="max"/>
        <c:crossBetween val="between"/>
      </c:valAx>
      <c:catAx>
        <c:axId val="1014923728"/>
        <c:scaling>
          <c:orientation val="minMax"/>
        </c:scaling>
        <c:delete val="1"/>
        <c:axPos val="b"/>
        <c:numFmt formatCode="General" sourceLinked="1"/>
        <c:majorTickMark val="out"/>
        <c:minorTickMark val="none"/>
        <c:tickLblPos val="nextTo"/>
        <c:crossAx val="18041166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Copy.xlsx]Profit generating Channel!PivotTable6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a:t>Most Profit Generating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dLbl>
          <c:idx val="0"/>
          <c:layout>
            <c:manualLayout>
              <c:x val="-2.5053386399167519E-2"/>
              <c:y val="6.022330993001767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tx2"/>
          </a:solidFill>
          <a:ln>
            <a:noFill/>
          </a:ln>
          <a:effectLst/>
        </c:spPr>
      </c:pivotFmt>
      <c:pivotFmt>
        <c:idx val="15"/>
        <c:spPr>
          <a:solidFill>
            <a:schemeClr val="tx2"/>
          </a:solidFill>
          <a:ln>
            <a:noFill/>
          </a:ln>
          <a:effectLst/>
        </c:spPr>
      </c:pivotFmt>
      <c:pivotFmt>
        <c:idx val="16"/>
        <c:spPr>
          <a:solidFill>
            <a:schemeClr val="tx2"/>
          </a:solidFill>
          <a:ln>
            <a:noFill/>
          </a:ln>
          <a:effectLst/>
        </c:spPr>
      </c:pivotFmt>
      <c:pivotFmt>
        <c:idx val="17"/>
        <c:spPr>
          <a:solidFill>
            <a:schemeClr val="tx2"/>
          </a:solidFill>
          <a:ln>
            <a:noFill/>
          </a:ln>
          <a:effectLst/>
        </c:spPr>
      </c:pivotFmt>
      <c:pivotFmt>
        <c:idx val="18"/>
        <c:spPr>
          <a:solidFill>
            <a:schemeClr val="tx2"/>
          </a:solidFill>
          <a:ln>
            <a:noFill/>
          </a:ln>
          <a:effectLst/>
        </c:spPr>
      </c:pivotFmt>
      <c:pivotFmt>
        <c:idx val="19"/>
        <c:spPr>
          <a:solidFill>
            <a:schemeClr val="tx2"/>
          </a:solidFill>
          <a:ln>
            <a:noFill/>
          </a:ln>
          <a:effectLst/>
        </c:spPr>
      </c:pivotFmt>
      <c:pivotFmt>
        <c:idx val="20"/>
        <c:spPr>
          <a:solidFill>
            <a:schemeClr val="tx2"/>
          </a:solidFill>
          <a:ln>
            <a:noFill/>
          </a:ln>
          <a:effectLst/>
        </c:spPr>
      </c:pivotFmt>
      <c:pivotFmt>
        <c:idx val="21"/>
        <c:spPr>
          <a:solidFill>
            <a:schemeClr val="tx2"/>
          </a:solidFill>
          <a:ln>
            <a:noFill/>
          </a:ln>
          <a:effectLst/>
        </c:spPr>
      </c:pivotFmt>
    </c:pivotFmts>
    <c:plotArea>
      <c:layout>
        <c:manualLayout>
          <c:layoutTarget val="inner"/>
          <c:xMode val="edge"/>
          <c:yMode val="edge"/>
          <c:x val="0.1840928188121099"/>
          <c:y val="0.23904262487624367"/>
          <c:w val="0.73384939094363089"/>
          <c:h val="0.52745225735291346"/>
        </c:manualLayout>
      </c:layout>
      <c:pieChart>
        <c:varyColors val="1"/>
        <c:ser>
          <c:idx val="0"/>
          <c:order val="0"/>
          <c:tx>
            <c:strRef>
              <c:f>'Profit generating Channel'!$B$3</c:f>
              <c:strCache>
                <c:ptCount val="1"/>
                <c:pt idx="0">
                  <c:v>Total Orders</c:v>
                </c:pt>
              </c:strCache>
            </c:strRef>
          </c:tx>
          <c:dPt>
            <c:idx val="0"/>
            <c:bubble3D val="0"/>
            <c:spPr>
              <a:solidFill>
                <a:schemeClr val="accent1"/>
              </a:solidFill>
              <a:ln>
                <a:noFill/>
              </a:ln>
              <a:effectLst/>
            </c:spPr>
            <c:extLst>
              <c:ext xmlns:c16="http://schemas.microsoft.com/office/drawing/2014/chart" uri="{C3380CC4-5D6E-409C-BE32-E72D297353CC}">
                <c16:uniqueId val="{00000003-0954-47C1-B5FF-05F8E16C34E6}"/>
              </c:ext>
            </c:extLst>
          </c:dPt>
          <c:dPt>
            <c:idx val="1"/>
            <c:bubble3D val="0"/>
            <c:spPr>
              <a:solidFill>
                <a:schemeClr val="accent2"/>
              </a:solidFill>
              <a:ln>
                <a:noFill/>
              </a:ln>
              <a:effectLst/>
            </c:spPr>
            <c:extLst>
              <c:ext xmlns:c16="http://schemas.microsoft.com/office/drawing/2014/chart" uri="{C3380CC4-5D6E-409C-BE32-E72D297353CC}">
                <c16:uniqueId val="{00000004-0954-47C1-B5FF-05F8E16C34E6}"/>
              </c:ext>
            </c:extLst>
          </c:dPt>
          <c:dPt>
            <c:idx val="2"/>
            <c:bubble3D val="0"/>
            <c:spPr>
              <a:solidFill>
                <a:schemeClr val="accent3"/>
              </a:solidFill>
              <a:ln>
                <a:noFill/>
              </a:ln>
              <a:effectLst/>
            </c:spPr>
            <c:extLst>
              <c:ext xmlns:c16="http://schemas.microsoft.com/office/drawing/2014/chart" uri="{C3380CC4-5D6E-409C-BE32-E72D297353CC}">
                <c16:uniqueId val="{00000006-0954-47C1-B5FF-05F8E16C34E6}"/>
              </c:ext>
            </c:extLst>
          </c:dPt>
          <c:dPt>
            <c:idx val="3"/>
            <c:bubble3D val="0"/>
            <c:spPr>
              <a:solidFill>
                <a:schemeClr val="accent4"/>
              </a:solidFill>
              <a:ln>
                <a:noFill/>
              </a:ln>
              <a:effectLst/>
            </c:spPr>
            <c:extLst>
              <c:ext xmlns:c16="http://schemas.microsoft.com/office/drawing/2014/chart" uri="{C3380CC4-5D6E-409C-BE32-E72D297353CC}">
                <c16:uniqueId val="{00000002-0954-47C1-B5FF-05F8E16C34E6}"/>
              </c:ext>
            </c:extLst>
          </c:dPt>
          <c:dPt>
            <c:idx val="4"/>
            <c:bubble3D val="0"/>
            <c:spPr>
              <a:solidFill>
                <a:schemeClr val="accent5"/>
              </a:solidFill>
              <a:ln>
                <a:noFill/>
              </a:ln>
              <a:effectLst/>
            </c:spPr>
            <c:extLst>
              <c:ext xmlns:c16="http://schemas.microsoft.com/office/drawing/2014/chart" uri="{C3380CC4-5D6E-409C-BE32-E72D297353CC}">
                <c16:uniqueId val="{00000007-0954-47C1-B5FF-05F8E16C34E6}"/>
              </c:ext>
            </c:extLst>
          </c:dPt>
          <c:dPt>
            <c:idx val="5"/>
            <c:bubble3D val="0"/>
            <c:spPr>
              <a:solidFill>
                <a:schemeClr val="accent6"/>
              </a:solidFill>
              <a:ln>
                <a:noFill/>
              </a:ln>
              <a:effectLst/>
            </c:spPr>
            <c:extLst>
              <c:ext xmlns:c16="http://schemas.microsoft.com/office/drawing/2014/chart" uri="{C3380CC4-5D6E-409C-BE32-E72D297353CC}">
                <c16:uniqueId val="{00000008-0954-47C1-B5FF-05F8E16C34E6}"/>
              </c:ext>
            </c:extLst>
          </c:dPt>
          <c:dPt>
            <c:idx val="6"/>
            <c:bubble3D val="0"/>
            <c:explosion val="14"/>
            <c:spPr>
              <a:solidFill>
                <a:schemeClr val="accent1">
                  <a:lumMod val="60000"/>
                </a:schemeClr>
              </a:solidFill>
              <a:ln>
                <a:noFill/>
              </a:ln>
              <a:effectLst/>
            </c:spPr>
            <c:extLst>
              <c:ext xmlns:c16="http://schemas.microsoft.com/office/drawing/2014/chart" uri="{C3380CC4-5D6E-409C-BE32-E72D297353CC}">
                <c16:uniqueId val="{00000009-0954-47C1-B5FF-05F8E16C34E6}"/>
              </c:ext>
            </c:extLst>
          </c:dPt>
          <c:dPt>
            <c:idx val="7"/>
            <c:bubble3D val="0"/>
            <c:explosion val="5"/>
            <c:spPr>
              <a:solidFill>
                <a:schemeClr val="accent2">
                  <a:lumMod val="60000"/>
                </a:schemeClr>
              </a:solidFill>
              <a:ln>
                <a:noFill/>
              </a:ln>
              <a:effectLst/>
            </c:spPr>
            <c:extLst>
              <c:ext xmlns:c16="http://schemas.microsoft.com/office/drawing/2014/chart" uri="{C3380CC4-5D6E-409C-BE32-E72D297353CC}">
                <c16:uniqueId val="{00000005-0954-47C1-B5FF-05F8E16C34E6}"/>
              </c:ext>
            </c:extLst>
          </c:dPt>
          <c:dLbls>
            <c:dLbl>
              <c:idx val="1"/>
              <c:layout>
                <c:manualLayout>
                  <c:x val="-2.5053386399167519E-2"/>
                  <c:y val="6.02233099300176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54-47C1-B5FF-05F8E16C34E6}"/>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generating Channel'!$A$4:$A$11</c:f>
              <c:strCache>
                <c:ptCount val="8"/>
                <c:pt idx="0">
                  <c:v>IG</c:v>
                </c:pt>
                <c:pt idx="1">
                  <c:v>Insta</c:v>
                </c:pt>
                <c:pt idx="2">
                  <c:v>Walk-in</c:v>
                </c:pt>
                <c:pt idx="3">
                  <c:v>Phone</c:v>
                </c:pt>
                <c:pt idx="4">
                  <c:v>WhatsApp</c:v>
                </c:pt>
                <c:pt idx="5">
                  <c:v>Website</c:v>
                </c:pt>
                <c:pt idx="6">
                  <c:v>Instagram</c:v>
                </c:pt>
                <c:pt idx="7">
                  <c:v>Store</c:v>
                </c:pt>
              </c:strCache>
            </c:strRef>
          </c:cat>
          <c:val>
            <c:numRef>
              <c:f>'Profit generating Channel'!$B$4:$B$11</c:f>
              <c:numCache>
                <c:formatCode>General</c:formatCode>
                <c:ptCount val="8"/>
                <c:pt idx="0">
                  <c:v>5</c:v>
                </c:pt>
                <c:pt idx="1">
                  <c:v>5</c:v>
                </c:pt>
                <c:pt idx="2">
                  <c:v>28</c:v>
                </c:pt>
                <c:pt idx="3">
                  <c:v>89</c:v>
                </c:pt>
                <c:pt idx="4">
                  <c:v>86</c:v>
                </c:pt>
                <c:pt idx="5">
                  <c:v>115</c:v>
                </c:pt>
                <c:pt idx="6">
                  <c:v>158</c:v>
                </c:pt>
                <c:pt idx="7">
                  <c:v>514</c:v>
                </c:pt>
              </c:numCache>
            </c:numRef>
          </c:val>
          <c:extLst>
            <c:ext xmlns:c16="http://schemas.microsoft.com/office/drawing/2014/chart" uri="{C3380CC4-5D6E-409C-BE32-E72D297353CC}">
              <c16:uniqueId val="{00000000-0954-47C1-B5FF-05F8E16C34E6}"/>
            </c:ext>
          </c:extLst>
        </c:ser>
        <c:ser>
          <c:idx val="1"/>
          <c:order val="1"/>
          <c:tx>
            <c:strRef>
              <c:f>'Profit generating Channel'!$C$3</c:f>
              <c:strCache>
                <c:ptCount val="1"/>
                <c:pt idx="0">
                  <c:v>Total Profit</c:v>
                </c:pt>
              </c:strCache>
            </c:strRef>
          </c:tx>
          <c:spPr>
            <a:solidFill>
              <a:schemeClr val="tx2"/>
            </a:solidFill>
          </c:spPr>
          <c:dPt>
            <c:idx val="0"/>
            <c:bubble3D val="0"/>
            <c:spPr>
              <a:solidFill>
                <a:schemeClr val="tx2"/>
              </a:solidFill>
              <a:ln>
                <a:noFill/>
              </a:ln>
              <a:effectLst/>
            </c:spPr>
            <c:extLst>
              <c:ext xmlns:c16="http://schemas.microsoft.com/office/drawing/2014/chart" uri="{C3380CC4-5D6E-409C-BE32-E72D297353CC}">
                <c16:uniqueId val="{00000011-76C6-40D4-BF76-AFF81C0E9A6B}"/>
              </c:ext>
            </c:extLst>
          </c:dPt>
          <c:dPt>
            <c:idx val="1"/>
            <c:bubble3D val="0"/>
            <c:spPr>
              <a:solidFill>
                <a:schemeClr val="tx2"/>
              </a:solidFill>
              <a:ln>
                <a:noFill/>
              </a:ln>
              <a:effectLst/>
            </c:spPr>
            <c:extLst>
              <c:ext xmlns:c16="http://schemas.microsoft.com/office/drawing/2014/chart" uri="{C3380CC4-5D6E-409C-BE32-E72D297353CC}">
                <c16:uniqueId val="{00000013-76C6-40D4-BF76-AFF81C0E9A6B}"/>
              </c:ext>
            </c:extLst>
          </c:dPt>
          <c:dPt>
            <c:idx val="2"/>
            <c:bubble3D val="0"/>
            <c:spPr>
              <a:solidFill>
                <a:schemeClr val="tx2"/>
              </a:solidFill>
              <a:ln>
                <a:noFill/>
              </a:ln>
              <a:effectLst/>
            </c:spPr>
            <c:extLst>
              <c:ext xmlns:c16="http://schemas.microsoft.com/office/drawing/2014/chart" uri="{C3380CC4-5D6E-409C-BE32-E72D297353CC}">
                <c16:uniqueId val="{00000015-76C6-40D4-BF76-AFF81C0E9A6B}"/>
              </c:ext>
            </c:extLst>
          </c:dPt>
          <c:dPt>
            <c:idx val="3"/>
            <c:bubble3D val="0"/>
            <c:spPr>
              <a:solidFill>
                <a:schemeClr val="tx2"/>
              </a:solidFill>
              <a:ln>
                <a:noFill/>
              </a:ln>
              <a:effectLst/>
            </c:spPr>
            <c:extLst>
              <c:ext xmlns:c16="http://schemas.microsoft.com/office/drawing/2014/chart" uri="{C3380CC4-5D6E-409C-BE32-E72D297353CC}">
                <c16:uniqueId val="{00000017-76C6-40D4-BF76-AFF81C0E9A6B}"/>
              </c:ext>
            </c:extLst>
          </c:dPt>
          <c:dPt>
            <c:idx val="4"/>
            <c:bubble3D val="0"/>
            <c:spPr>
              <a:solidFill>
                <a:schemeClr val="tx2"/>
              </a:solidFill>
              <a:ln>
                <a:noFill/>
              </a:ln>
              <a:effectLst/>
            </c:spPr>
            <c:extLst>
              <c:ext xmlns:c16="http://schemas.microsoft.com/office/drawing/2014/chart" uri="{C3380CC4-5D6E-409C-BE32-E72D297353CC}">
                <c16:uniqueId val="{00000019-76C6-40D4-BF76-AFF81C0E9A6B}"/>
              </c:ext>
            </c:extLst>
          </c:dPt>
          <c:dPt>
            <c:idx val="5"/>
            <c:bubble3D val="0"/>
            <c:spPr>
              <a:solidFill>
                <a:schemeClr val="tx2"/>
              </a:solidFill>
              <a:ln>
                <a:noFill/>
              </a:ln>
              <a:effectLst/>
            </c:spPr>
            <c:extLst>
              <c:ext xmlns:c16="http://schemas.microsoft.com/office/drawing/2014/chart" uri="{C3380CC4-5D6E-409C-BE32-E72D297353CC}">
                <c16:uniqueId val="{0000001B-76C6-40D4-BF76-AFF81C0E9A6B}"/>
              </c:ext>
            </c:extLst>
          </c:dPt>
          <c:dPt>
            <c:idx val="6"/>
            <c:bubble3D val="0"/>
            <c:spPr>
              <a:solidFill>
                <a:schemeClr val="tx2"/>
              </a:solidFill>
              <a:ln>
                <a:noFill/>
              </a:ln>
              <a:effectLst/>
            </c:spPr>
            <c:extLst>
              <c:ext xmlns:c16="http://schemas.microsoft.com/office/drawing/2014/chart" uri="{C3380CC4-5D6E-409C-BE32-E72D297353CC}">
                <c16:uniqueId val="{0000001D-76C6-40D4-BF76-AFF81C0E9A6B}"/>
              </c:ext>
            </c:extLst>
          </c:dPt>
          <c:dPt>
            <c:idx val="7"/>
            <c:bubble3D val="0"/>
            <c:spPr>
              <a:solidFill>
                <a:schemeClr val="tx2"/>
              </a:solidFill>
              <a:ln>
                <a:noFill/>
              </a:ln>
              <a:effectLst/>
            </c:spPr>
            <c:extLst>
              <c:ext xmlns:c16="http://schemas.microsoft.com/office/drawing/2014/chart" uri="{C3380CC4-5D6E-409C-BE32-E72D297353CC}">
                <c16:uniqueId val="{0000001F-76C6-40D4-BF76-AFF81C0E9A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generating Channel'!$A$4:$A$11</c:f>
              <c:strCache>
                <c:ptCount val="8"/>
                <c:pt idx="0">
                  <c:v>IG</c:v>
                </c:pt>
                <c:pt idx="1">
                  <c:v>Insta</c:v>
                </c:pt>
                <c:pt idx="2">
                  <c:v>Walk-in</c:v>
                </c:pt>
                <c:pt idx="3">
                  <c:v>Phone</c:v>
                </c:pt>
                <c:pt idx="4">
                  <c:v>WhatsApp</c:v>
                </c:pt>
                <c:pt idx="5">
                  <c:v>Website</c:v>
                </c:pt>
                <c:pt idx="6">
                  <c:v>Instagram</c:v>
                </c:pt>
                <c:pt idx="7">
                  <c:v>Store</c:v>
                </c:pt>
              </c:strCache>
            </c:strRef>
          </c:cat>
          <c:val>
            <c:numRef>
              <c:f>'Profit generating Channel'!$C$4:$C$11</c:f>
              <c:numCache>
                <c:formatCode>"₹"\ #,##0</c:formatCode>
                <c:ptCount val="8"/>
                <c:pt idx="0">
                  <c:v>11296.68</c:v>
                </c:pt>
                <c:pt idx="1">
                  <c:v>39101.050000000003</c:v>
                </c:pt>
                <c:pt idx="2">
                  <c:v>158181.25999999998</c:v>
                </c:pt>
                <c:pt idx="3">
                  <c:v>323099.35000000003</c:v>
                </c:pt>
                <c:pt idx="4">
                  <c:v>448401.72</c:v>
                </c:pt>
                <c:pt idx="5">
                  <c:v>466892.74999999983</c:v>
                </c:pt>
                <c:pt idx="6">
                  <c:v>854948.60000000056</c:v>
                </c:pt>
                <c:pt idx="7">
                  <c:v>2503059.4100000006</c:v>
                </c:pt>
              </c:numCache>
            </c:numRef>
          </c:val>
          <c:extLst>
            <c:ext xmlns:c16="http://schemas.microsoft.com/office/drawing/2014/chart" uri="{C3380CC4-5D6E-409C-BE32-E72D297353CC}">
              <c16:uniqueId val="{00000001-0954-47C1-B5FF-05F8E16C34E6}"/>
            </c:ext>
          </c:extLst>
        </c:ser>
        <c:dLbls>
          <c:dLblPos val="outEnd"/>
          <c:showLegendKey val="0"/>
          <c:showVal val="1"/>
          <c:showCatName val="0"/>
          <c:showSerName val="0"/>
          <c:showPercent val="0"/>
          <c:showBubbleSize val="0"/>
          <c:showLeaderLines val="1"/>
        </c:dLbls>
        <c:firstSliceAng val="0"/>
      </c:pieChart>
      <c:spPr>
        <a:noFill/>
        <a:ln>
          <a:solidFill>
            <a:schemeClr val="bg1"/>
          </a:solidFill>
        </a:ln>
        <a:effectLst>
          <a:glow rad="127000">
            <a:schemeClr val="tx2"/>
          </a:glow>
        </a:effectLst>
      </c:spPr>
    </c:plotArea>
    <c:legend>
      <c:legendPos val="b"/>
      <c:layout>
        <c:manualLayout>
          <c:xMode val="edge"/>
          <c:yMode val="edge"/>
          <c:x val="0.12318065089079899"/>
          <c:y val="0.86507516962543007"/>
          <c:w val="0.79712976815701331"/>
          <c:h val="8.415875457026159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Copy.xlsx]Discount VS Sales!PivotTable7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 VS</a:t>
            </a:r>
            <a:r>
              <a:rPr lang="en-IN" baseline="0"/>
              <a:t> </a:t>
            </a:r>
            <a:r>
              <a:rPr lang="en-IN"/>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002725640277843E-2"/>
          <c:y val="0.18459150087665679"/>
          <c:w val="0.78816345771130591"/>
          <c:h val="0.56664134261929555"/>
        </c:manualLayout>
      </c:layout>
      <c:barChart>
        <c:barDir val="col"/>
        <c:grouping val="clustered"/>
        <c:varyColors val="0"/>
        <c:ser>
          <c:idx val="0"/>
          <c:order val="0"/>
          <c:tx>
            <c:strRef>
              <c:f>'Discount VS Sales'!$B$3</c:f>
              <c:strCache>
                <c:ptCount val="1"/>
                <c:pt idx="0">
                  <c:v>Net Sales</c:v>
                </c:pt>
              </c:strCache>
            </c:strRef>
          </c:tx>
          <c:spPr>
            <a:solidFill>
              <a:schemeClr val="accent1"/>
            </a:solidFill>
            <a:ln>
              <a:noFill/>
            </a:ln>
            <a:effectLst>
              <a:outerShdw blurRad="50800" dir="5400000" sx="1000" sy="1000" algn="ctr" rotWithShape="0">
                <a:srgbClr val="000000">
                  <a:alpha val="43137"/>
                </a:srgbClr>
              </a:outerShdw>
            </a:effectLst>
          </c:spPr>
          <c:invertIfNegative val="0"/>
          <c:cat>
            <c:strRef>
              <c:f>'Discount VS Sales'!$A$4:$A$8</c:f>
              <c:strCache>
                <c:ptCount val="5"/>
                <c:pt idx="0">
                  <c:v>0%</c:v>
                </c:pt>
                <c:pt idx="1">
                  <c:v>1-10%</c:v>
                </c:pt>
                <c:pt idx="2">
                  <c:v>11-20%</c:v>
                </c:pt>
                <c:pt idx="3">
                  <c:v>21-30%</c:v>
                </c:pt>
                <c:pt idx="4">
                  <c:v>30%+</c:v>
                </c:pt>
              </c:strCache>
            </c:strRef>
          </c:cat>
          <c:val>
            <c:numRef>
              <c:f>'Discount VS Sales'!$B$4:$B$8</c:f>
              <c:numCache>
                <c:formatCode>"₹"\ #,##0</c:formatCode>
                <c:ptCount val="5"/>
                <c:pt idx="0">
                  <c:v>1948450</c:v>
                </c:pt>
                <c:pt idx="1">
                  <c:v>7117897.5</c:v>
                </c:pt>
                <c:pt idx="2">
                  <c:v>4818480</c:v>
                </c:pt>
                <c:pt idx="3">
                  <c:v>3695440</c:v>
                </c:pt>
                <c:pt idx="4">
                  <c:v>293887.5</c:v>
                </c:pt>
              </c:numCache>
            </c:numRef>
          </c:val>
          <c:extLst>
            <c:ext xmlns:c16="http://schemas.microsoft.com/office/drawing/2014/chart" uri="{C3380CC4-5D6E-409C-BE32-E72D297353CC}">
              <c16:uniqueId val="{00000000-0000-4A78-9E7A-E54AD9D119C3}"/>
            </c:ext>
          </c:extLst>
        </c:ser>
        <c:ser>
          <c:idx val="1"/>
          <c:order val="1"/>
          <c:tx>
            <c:strRef>
              <c:f>'Discount VS Sales'!$C$3</c:f>
              <c:strCache>
                <c:ptCount val="1"/>
                <c:pt idx="0">
                  <c:v>Total Profit</c:v>
                </c:pt>
              </c:strCache>
            </c:strRef>
          </c:tx>
          <c:spPr>
            <a:solidFill>
              <a:schemeClr val="tx2">
                <a:lumMod val="50000"/>
              </a:schemeClr>
            </a:solidFill>
            <a:ln>
              <a:noFill/>
            </a:ln>
            <a:effectLst/>
          </c:spPr>
          <c:invertIfNegative val="0"/>
          <c:cat>
            <c:strRef>
              <c:f>'Discount VS Sales'!$A$4:$A$8</c:f>
              <c:strCache>
                <c:ptCount val="5"/>
                <c:pt idx="0">
                  <c:v>0%</c:v>
                </c:pt>
                <c:pt idx="1">
                  <c:v>1-10%</c:v>
                </c:pt>
                <c:pt idx="2">
                  <c:v>11-20%</c:v>
                </c:pt>
                <c:pt idx="3">
                  <c:v>21-30%</c:v>
                </c:pt>
                <c:pt idx="4">
                  <c:v>30%+</c:v>
                </c:pt>
              </c:strCache>
            </c:strRef>
          </c:cat>
          <c:val>
            <c:numRef>
              <c:f>'Discount VS Sales'!$C$4:$C$8</c:f>
              <c:numCache>
                <c:formatCode>"₹"\ #,##0</c:formatCode>
                <c:ptCount val="5"/>
                <c:pt idx="0">
                  <c:v>737681.99000000034</c:v>
                </c:pt>
                <c:pt idx="1">
                  <c:v>2224730.4599999995</c:v>
                </c:pt>
                <c:pt idx="2">
                  <c:v>1216466.5900000008</c:v>
                </c:pt>
                <c:pt idx="3">
                  <c:v>533977.78</c:v>
                </c:pt>
                <c:pt idx="4">
                  <c:v>80321.67</c:v>
                </c:pt>
              </c:numCache>
            </c:numRef>
          </c:val>
          <c:extLst>
            <c:ext xmlns:c16="http://schemas.microsoft.com/office/drawing/2014/chart" uri="{C3380CC4-5D6E-409C-BE32-E72D297353CC}">
              <c16:uniqueId val="{00000001-0000-4A78-9E7A-E54AD9D119C3}"/>
            </c:ext>
          </c:extLst>
        </c:ser>
        <c:dLbls>
          <c:showLegendKey val="0"/>
          <c:showVal val="0"/>
          <c:showCatName val="0"/>
          <c:showSerName val="0"/>
          <c:showPercent val="0"/>
          <c:showBubbleSize val="0"/>
        </c:dLbls>
        <c:gapWidth val="112"/>
        <c:axId val="942664288"/>
        <c:axId val="1804019248"/>
      </c:barChart>
      <c:lineChart>
        <c:grouping val="standard"/>
        <c:varyColors val="0"/>
        <c:ser>
          <c:idx val="2"/>
          <c:order val="2"/>
          <c:tx>
            <c:strRef>
              <c:f>'Discount VS Sales'!$D$3</c:f>
              <c:strCache>
                <c:ptCount val="1"/>
                <c:pt idx="0">
                  <c:v>Discount Amount</c:v>
                </c:pt>
              </c:strCache>
            </c:strRef>
          </c:tx>
          <c:spPr>
            <a:ln w="28575" cap="rnd">
              <a:solidFill>
                <a:schemeClr val="accent3"/>
              </a:solidFill>
              <a:round/>
            </a:ln>
            <a:effectLst/>
          </c:spPr>
          <c:marker>
            <c:symbol val="none"/>
          </c:marker>
          <c:cat>
            <c:strRef>
              <c:f>'Discount VS Sales'!$A$4:$A$8</c:f>
              <c:strCache>
                <c:ptCount val="5"/>
                <c:pt idx="0">
                  <c:v>0%</c:v>
                </c:pt>
                <c:pt idx="1">
                  <c:v>1-10%</c:v>
                </c:pt>
                <c:pt idx="2">
                  <c:v>11-20%</c:v>
                </c:pt>
                <c:pt idx="3">
                  <c:v>21-30%</c:v>
                </c:pt>
                <c:pt idx="4">
                  <c:v>30%+</c:v>
                </c:pt>
              </c:strCache>
            </c:strRef>
          </c:cat>
          <c:val>
            <c:numRef>
              <c:f>'Discount VS Sales'!$D$4:$D$8</c:f>
              <c:numCache>
                <c:formatCode>"₹"\ #,##0</c:formatCode>
                <c:ptCount val="5"/>
                <c:pt idx="0">
                  <c:v>0</c:v>
                </c:pt>
                <c:pt idx="1">
                  <c:v>601902.5</c:v>
                </c:pt>
                <c:pt idx="2">
                  <c:v>1012820</c:v>
                </c:pt>
                <c:pt idx="3">
                  <c:v>1350760</c:v>
                </c:pt>
                <c:pt idx="4">
                  <c:v>46662.5</c:v>
                </c:pt>
              </c:numCache>
            </c:numRef>
          </c:val>
          <c:smooth val="0"/>
          <c:extLst>
            <c:ext xmlns:c16="http://schemas.microsoft.com/office/drawing/2014/chart" uri="{C3380CC4-5D6E-409C-BE32-E72D297353CC}">
              <c16:uniqueId val="{00000004-0000-4A78-9E7A-E54AD9D119C3}"/>
            </c:ext>
          </c:extLst>
        </c:ser>
        <c:dLbls>
          <c:showLegendKey val="0"/>
          <c:showVal val="0"/>
          <c:showCatName val="0"/>
          <c:showSerName val="0"/>
          <c:showPercent val="0"/>
          <c:showBubbleSize val="0"/>
        </c:dLbls>
        <c:marker val="1"/>
        <c:smooth val="0"/>
        <c:axId val="1010917328"/>
        <c:axId val="1804037008"/>
      </c:lineChart>
      <c:catAx>
        <c:axId val="94266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019248"/>
        <c:crosses val="autoZero"/>
        <c:auto val="1"/>
        <c:lblAlgn val="ctr"/>
        <c:lblOffset val="100"/>
        <c:noMultiLvlLbl val="0"/>
      </c:catAx>
      <c:valAx>
        <c:axId val="1804019248"/>
        <c:scaling>
          <c:orientation val="minMax"/>
          <c:max val="4000000"/>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42664288"/>
        <c:crosses val="autoZero"/>
        <c:crossBetween val="between"/>
        <c:majorUnit val="1000000"/>
      </c:valAx>
      <c:valAx>
        <c:axId val="1804037008"/>
        <c:scaling>
          <c:orientation val="minMax"/>
          <c:max val="1000000"/>
        </c:scaling>
        <c:delete val="0"/>
        <c:axPos val="r"/>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10917328"/>
        <c:crosses val="max"/>
        <c:crossBetween val="between"/>
        <c:minorUnit val="205000"/>
      </c:valAx>
      <c:catAx>
        <c:axId val="1010917328"/>
        <c:scaling>
          <c:orientation val="minMax"/>
        </c:scaling>
        <c:delete val="1"/>
        <c:axPos val="b"/>
        <c:numFmt formatCode="General" sourceLinked="1"/>
        <c:majorTickMark val="out"/>
        <c:minorTickMark val="none"/>
        <c:tickLblPos val="nextTo"/>
        <c:crossAx val="18040370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Copy.xlsx]Month wise Sales!PivotTable8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34403848285147"/>
          <c:y val="0.17171296296296296"/>
          <c:w val="0.68473684986348538"/>
          <c:h val="0.61903579760863214"/>
        </c:manualLayout>
      </c:layout>
      <c:barChart>
        <c:barDir val="col"/>
        <c:grouping val="clustered"/>
        <c:varyColors val="0"/>
        <c:ser>
          <c:idx val="0"/>
          <c:order val="0"/>
          <c:tx>
            <c:strRef>
              <c:f>'Month wise Sales'!$B$3</c:f>
              <c:strCache>
                <c:ptCount val="1"/>
                <c:pt idx="0">
                  <c:v>Count of Quantity</c:v>
                </c:pt>
              </c:strCache>
            </c:strRef>
          </c:tx>
          <c:spPr>
            <a:solidFill>
              <a:schemeClr val="accent1"/>
            </a:solidFill>
            <a:ln>
              <a:noFill/>
            </a:ln>
            <a:effectLst/>
          </c:spPr>
          <c:invertIfNegative val="0"/>
          <c:cat>
            <c:strRef>
              <c:f>'Month wise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Sales'!$B$4:$B$15</c:f>
              <c:numCache>
                <c:formatCode>General</c:formatCode>
                <c:ptCount val="12"/>
                <c:pt idx="0">
                  <c:v>80</c:v>
                </c:pt>
                <c:pt idx="1">
                  <c:v>69</c:v>
                </c:pt>
                <c:pt idx="2">
                  <c:v>86</c:v>
                </c:pt>
                <c:pt idx="3">
                  <c:v>88</c:v>
                </c:pt>
                <c:pt idx="4">
                  <c:v>83</c:v>
                </c:pt>
                <c:pt idx="5">
                  <c:v>91</c:v>
                </c:pt>
                <c:pt idx="6">
                  <c:v>75</c:v>
                </c:pt>
                <c:pt idx="7">
                  <c:v>96</c:v>
                </c:pt>
                <c:pt idx="8">
                  <c:v>73</c:v>
                </c:pt>
                <c:pt idx="9">
                  <c:v>85</c:v>
                </c:pt>
                <c:pt idx="10">
                  <c:v>83</c:v>
                </c:pt>
                <c:pt idx="11">
                  <c:v>91</c:v>
                </c:pt>
              </c:numCache>
            </c:numRef>
          </c:val>
          <c:extLst>
            <c:ext xmlns:c16="http://schemas.microsoft.com/office/drawing/2014/chart" uri="{C3380CC4-5D6E-409C-BE32-E72D297353CC}">
              <c16:uniqueId val="{00000000-5C45-485D-98D3-C702375E0A80}"/>
            </c:ext>
          </c:extLst>
        </c:ser>
        <c:dLbls>
          <c:showLegendKey val="0"/>
          <c:showVal val="0"/>
          <c:showCatName val="0"/>
          <c:showSerName val="0"/>
          <c:showPercent val="0"/>
          <c:showBubbleSize val="0"/>
        </c:dLbls>
        <c:gapWidth val="150"/>
        <c:axId val="1009868880"/>
        <c:axId val="1804128208"/>
      </c:barChart>
      <c:lineChart>
        <c:grouping val="standard"/>
        <c:varyColors val="0"/>
        <c:ser>
          <c:idx val="1"/>
          <c:order val="1"/>
          <c:tx>
            <c:strRef>
              <c:f>'Month wise Sales'!$C$3</c:f>
              <c:strCache>
                <c:ptCount val="1"/>
                <c:pt idx="0">
                  <c:v>Sum of Net_Sales</c:v>
                </c:pt>
              </c:strCache>
            </c:strRef>
          </c:tx>
          <c:spPr>
            <a:ln w="28575" cap="rnd">
              <a:solidFill>
                <a:schemeClr val="accent2"/>
              </a:solidFill>
              <a:round/>
            </a:ln>
            <a:effectLst/>
          </c:spPr>
          <c:marker>
            <c:symbol val="none"/>
          </c:marker>
          <c:cat>
            <c:strRef>
              <c:f>'Month wise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 wise Sales'!$C$4:$C$15</c:f>
              <c:numCache>
                <c:formatCode>"₹"\ #,##0</c:formatCode>
                <c:ptCount val="12"/>
                <c:pt idx="0">
                  <c:v>1350697.5</c:v>
                </c:pt>
                <c:pt idx="1">
                  <c:v>983415</c:v>
                </c:pt>
                <c:pt idx="2">
                  <c:v>1724072.5</c:v>
                </c:pt>
                <c:pt idx="3">
                  <c:v>1293680</c:v>
                </c:pt>
                <c:pt idx="4">
                  <c:v>1675912.5</c:v>
                </c:pt>
                <c:pt idx="5">
                  <c:v>1628877.5</c:v>
                </c:pt>
                <c:pt idx="6">
                  <c:v>1188512.5</c:v>
                </c:pt>
                <c:pt idx="7">
                  <c:v>1345352.5</c:v>
                </c:pt>
                <c:pt idx="8">
                  <c:v>1598525</c:v>
                </c:pt>
                <c:pt idx="9">
                  <c:v>1636232.5</c:v>
                </c:pt>
                <c:pt idx="10">
                  <c:v>1467932.5</c:v>
                </c:pt>
                <c:pt idx="11">
                  <c:v>2021905</c:v>
                </c:pt>
              </c:numCache>
            </c:numRef>
          </c:val>
          <c:smooth val="0"/>
          <c:extLst>
            <c:ext xmlns:c16="http://schemas.microsoft.com/office/drawing/2014/chart" uri="{C3380CC4-5D6E-409C-BE32-E72D297353CC}">
              <c16:uniqueId val="{00000074-3002-460E-B01A-B6FAE09253F7}"/>
            </c:ext>
          </c:extLst>
        </c:ser>
        <c:dLbls>
          <c:showLegendKey val="0"/>
          <c:showVal val="0"/>
          <c:showCatName val="0"/>
          <c:showSerName val="0"/>
          <c:showPercent val="0"/>
          <c:showBubbleSize val="0"/>
        </c:dLbls>
        <c:marker val="1"/>
        <c:smooth val="0"/>
        <c:axId val="924681424"/>
        <c:axId val="881293136"/>
      </c:lineChart>
      <c:catAx>
        <c:axId val="10098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128208"/>
        <c:crosses val="autoZero"/>
        <c:auto val="1"/>
        <c:lblAlgn val="ctr"/>
        <c:lblOffset val="100"/>
        <c:noMultiLvlLbl val="0"/>
      </c:catAx>
      <c:valAx>
        <c:axId val="1804128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868880"/>
        <c:crosses val="autoZero"/>
        <c:crossBetween val="between"/>
      </c:valAx>
      <c:valAx>
        <c:axId val="881293136"/>
        <c:scaling>
          <c:orientation val="minMax"/>
        </c:scaling>
        <c:delete val="0"/>
        <c:axPos val="r"/>
        <c:numFmt formatCode="0.0,,\ &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681424"/>
        <c:crosses val="max"/>
        <c:crossBetween val="between"/>
      </c:valAx>
      <c:catAx>
        <c:axId val="924681424"/>
        <c:scaling>
          <c:orientation val="minMax"/>
        </c:scaling>
        <c:delete val="1"/>
        <c:axPos val="b"/>
        <c:numFmt formatCode="General" sourceLinked="1"/>
        <c:majorTickMark val="out"/>
        <c:minorTickMark val="none"/>
        <c:tickLblPos val="nextTo"/>
        <c:crossAx val="881293136"/>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Copy.xlsx]Month wise Sales!PivotTable9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solidFill>
              <a:schemeClr val="tx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39508386960649"/>
          <c:y val="0.17171296296296296"/>
          <c:w val="0.78552204160682293"/>
          <c:h val="0.5846521963754655"/>
        </c:manualLayout>
      </c:layout>
      <c:areaChart>
        <c:grouping val="standard"/>
        <c:varyColors val="0"/>
        <c:ser>
          <c:idx val="0"/>
          <c:order val="0"/>
          <c:tx>
            <c:strRef>
              <c:f>'Month wise Sales'!$C$18</c:f>
              <c:strCache>
                <c:ptCount val="1"/>
                <c:pt idx="0">
                  <c:v>Total</c:v>
                </c:pt>
              </c:strCache>
            </c:strRef>
          </c:tx>
          <c:spPr>
            <a:solidFill>
              <a:schemeClr val="accent1">
                <a:lumMod val="20000"/>
                <a:lumOff val="80000"/>
              </a:schemeClr>
            </a:solidFill>
            <a:ln>
              <a:solidFill>
                <a:schemeClr val="tx2"/>
              </a:solidFill>
            </a:ln>
            <a:effectLst/>
          </c:spPr>
          <c:cat>
            <c:strRef>
              <c:f>'Month wise Sales'!$B$19:$B$25</c:f>
              <c:strCache>
                <c:ptCount val="7"/>
                <c:pt idx="0">
                  <c:v>Sunday</c:v>
                </c:pt>
                <c:pt idx="1">
                  <c:v>Monday</c:v>
                </c:pt>
                <c:pt idx="2">
                  <c:v>Tuesday</c:v>
                </c:pt>
                <c:pt idx="3">
                  <c:v>Wednesday</c:v>
                </c:pt>
                <c:pt idx="4">
                  <c:v>Thursday</c:v>
                </c:pt>
                <c:pt idx="5">
                  <c:v>Friday</c:v>
                </c:pt>
                <c:pt idx="6">
                  <c:v>Saturday</c:v>
                </c:pt>
              </c:strCache>
            </c:strRef>
          </c:cat>
          <c:val>
            <c:numRef>
              <c:f>'Month wise Sales'!$C$19:$C$25</c:f>
              <c:numCache>
                <c:formatCode>"₹"\ #,##0</c:formatCode>
                <c:ptCount val="7"/>
                <c:pt idx="0">
                  <c:v>3284417.5</c:v>
                </c:pt>
                <c:pt idx="1">
                  <c:v>2173412.5</c:v>
                </c:pt>
                <c:pt idx="2">
                  <c:v>2720657.5</c:v>
                </c:pt>
                <c:pt idx="3">
                  <c:v>3251390</c:v>
                </c:pt>
                <c:pt idx="4">
                  <c:v>2528690</c:v>
                </c:pt>
                <c:pt idx="5">
                  <c:v>2283895</c:v>
                </c:pt>
                <c:pt idx="6">
                  <c:v>1672652.5</c:v>
                </c:pt>
              </c:numCache>
            </c:numRef>
          </c:val>
          <c:extLst>
            <c:ext xmlns:c16="http://schemas.microsoft.com/office/drawing/2014/chart" uri="{C3380CC4-5D6E-409C-BE32-E72D297353CC}">
              <c16:uniqueId val="{00000000-D8AC-46B4-B149-A76E72BC841B}"/>
            </c:ext>
          </c:extLst>
        </c:ser>
        <c:dLbls>
          <c:showLegendKey val="0"/>
          <c:showVal val="0"/>
          <c:showCatName val="0"/>
          <c:showSerName val="0"/>
          <c:showPercent val="0"/>
          <c:showBubbleSize val="0"/>
        </c:dLbls>
        <c:axId val="1009873520"/>
        <c:axId val="1804037968"/>
      </c:areaChart>
      <c:catAx>
        <c:axId val="100987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037968"/>
        <c:crosses val="autoZero"/>
        <c:auto val="1"/>
        <c:lblAlgn val="ctr"/>
        <c:lblOffset val="100"/>
        <c:noMultiLvlLbl val="0"/>
      </c:catAx>
      <c:valAx>
        <c:axId val="1804037968"/>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8735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Copy.xlsx]Peak hours!PivotTable10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Peak Selling</a:t>
            </a:r>
            <a:r>
              <a:rPr lang="en-IN" baseline="0"/>
              <a:t> Hours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3770539584988"/>
          <c:y val="0.1181267290164966"/>
          <c:w val="0.77953804963198048"/>
          <c:h val="0.60893971065033026"/>
        </c:manualLayout>
      </c:layout>
      <c:areaChart>
        <c:grouping val="stacked"/>
        <c:varyColors val="0"/>
        <c:ser>
          <c:idx val="0"/>
          <c:order val="0"/>
          <c:tx>
            <c:strRef>
              <c:f>'Peak hours'!$B$3:$B$4</c:f>
              <c:strCache>
                <c:ptCount val="1"/>
                <c:pt idx="0">
                  <c:v>Sunday</c:v>
                </c:pt>
              </c:strCache>
            </c:strRef>
          </c:tx>
          <c:spPr>
            <a:solidFill>
              <a:schemeClr val="accent1"/>
            </a:solidFill>
            <a:ln>
              <a:noFill/>
            </a:ln>
            <a:effectLst/>
          </c:spPr>
          <c:cat>
            <c:strRef>
              <c:f>'Peak hours'!$A$5:$A$10</c:f>
              <c:strCache>
                <c:ptCount val="6"/>
                <c:pt idx="0">
                  <c:v>12 AM - 4 AM</c:v>
                </c:pt>
                <c:pt idx="1">
                  <c:v>12 PM - 4 PM</c:v>
                </c:pt>
                <c:pt idx="2">
                  <c:v>4 AM - 8 AM</c:v>
                </c:pt>
                <c:pt idx="3">
                  <c:v>4 PM - 8 PM</c:v>
                </c:pt>
                <c:pt idx="4">
                  <c:v>8 AM - 12 PM</c:v>
                </c:pt>
                <c:pt idx="5">
                  <c:v>8 PM - 12 AM</c:v>
                </c:pt>
              </c:strCache>
            </c:strRef>
          </c:cat>
          <c:val>
            <c:numRef>
              <c:f>'Peak hours'!$B$5:$B$10</c:f>
              <c:numCache>
                <c:formatCode>"₹"\ #,##0</c:formatCode>
                <c:ptCount val="6"/>
                <c:pt idx="0">
                  <c:v>747597.5</c:v>
                </c:pt>
                <c:pt idx="1">
                  <c:v>410805</c:v>
                </c:pt>
                <c:pt idx="2">
                  <c:v>493687.5</c:v>
                </c:pt>
                <c:pt idx="3">
                  <c:v>489305</c:v>
                </c:pt>
                <c:pt idx="4">
                  <c:v>622117.5</c:v>
                </c:pt>
                <c:pt idx="5">
                  <c:v>520905</c:v>
                </c:pt>
              </c:numCache>
            </c:numRef>
          </c:val>
          <c:extLst>
            <c:ext xmlns:c16="http://schemas.microsoft.com/office/drawing/2014/chart" uri="{C3380CC4-5D6E-409C-BE32-E72D297353CC}">
              <c16:uniqueId val="{00000000-E868-402C-9483-CFC2E9734D16}"/>
            </c:ext>
          </c:extLst>
        </c:ser>
        <c:ser>
          <c:idx val="1"/>
          <c:order val="1"/>
          <c:tx>
            <c:strRef>
              <c:f>'Peak hours'!$C$3:$C$4</c:f>
              <c:strCache>
                <c:ptCount val="1"/>
                <c:pt idx="0">
                  <c:v>Monday</c:v>
                </c:pt>
              </c:strCache>
            </c:strRef>
          </c:tx>
          <c:spPr>
            <a:solidFill>
              <a:schemeClr val="accent2"/>
            </a:solidFill>
            <a:ln>
              <a:noFill/>
            </a:ln>
            <a:effectLst/>
          </c:spPr>
          <c:cat>
            <c:strRef>
              <c:f>'Peak hours'!$A$5:$A$10</c:f>
              <c:strCache>
                <c:ptCount val="6"/>
                <c:pt idx="0">
                  <c:v>12 AM - 4 AM</c:v>
                </c:pt>
                <c:pt idx="1">
                  <c:v>12 PM - 4 PM</c:v>
                </c:pt>
                <c:pt idx="2">
                  <c:v>4 AM - 8 AM</c:v>
                </c:pt>
                <c:pt idx="3">
                  <c:v>4 PM - 8 PM</c:v>
                </c:pt>
                <c:pt idx="4">
                  <c:v>8 AM - 12 PM</c:v>
                </c:pt>
                <c:pt idx="5">
                  <c:v>8 PM - 12 AM</c:v>
                </c:pt>
              </c:strCache>
            </c:strRef>
          </c:cat>
          <c:val>
            <c:numRef>
              <c:f>'Peak hours'!$C$5:$C$10</c:f>
              <c:numCache>
                <c:formatCode>"₹"\ #,##0</c:formatCode>
                <c:ptCount val="6"/>
                <c:pt idx="0">
                  <c:v>371155</c:v>
                </c:pt>
                <c:pt idx="1">
                  <c:v>326875</c:v>
                </c:pt>
                <c:pt idx="2">
                  <c:v>166425</c:v>
                </c:pt>
                <c:pt idx="3">
                  <c:v>595685</c:v>
                </c:pt>
                <c:pt idx="4">
                  <c:v>300092.5</c:v>
                </c:pt>
                <c:pt idx="5">
                  <c:v>413180</c:v>
                </c:pt>
              </c:numCache>
            </c:numRef>
          </c:val>
          <c:extLst>
            <c:ext xmlns:c16="http://schemas.microsoft.com/office/drawing/2014/chart" uri="{C3380CC4-5D6E-409C-BE32-E72D297353CC}">
              <c16:uniqueId val="{00000001-E868-402C-9483-CFC2E9734D16}"/>
            </c:ext>
          </c:extLst>
        </c:ser>
        <c:ser>
          <c:idx val="2"/>
          <c:order val="2"/>
          <c:tx>
            <c:strRef>
              <c:f>'Peak hours'!$D$3:$D$4</c:f>
              <c:strCache>
                <c:ptCount val="1"/>
                <c:pt idx="0">
                  <c:v>Tuesday</c:v>
                </c:pt>
              </c:strCache>
            </c:strRef>
          </c:tx>
          <c:spPr>
            <a:solidFill>
              <a:schemeClr val="accent3"/>
            </a:solidFill>
            <a:ln>
              <a:noFill/>
            </a:ln>
            <a:effectLst/>
          </c:spPr>
          <c:cat>
            <c:strRef>
              <c:f>'Peak hours'!$A$5:$A$10</c:f>
              <c:strCache>
                <c:ptCount val="6"/>
                <c:pt idx="0">
                  <c:v>12 AM - 4 AM</c:v>
                </c:pt>
                <c:pt idx="1">
                  <c:v>12 PM - 4 PM</c:v>
                </c:pt>
                <c:pt idx="2">
                  <c:v>4 AM - 8 AM</c:v>
                </c:pt>
                <c:pt idx="3">
                  <c:v>4 PM - 8 PM</c:v>
                </c:pt>
                <c:pt idx="4">
                  <c:v>8 AM - 12 PM</c:v>
                </c:pt>
                <c:pt idx="5">
                  <c:v>8 PM - 12 AM</c:v>
                </c:pt>
              </c:strCache>
            </c:strRef>
          </c:cat>
          <c:val>
            <c:numRef>
              <c:f>'Peak hours'!$D$5:$D$10</c:f>
              <c:numCache>
                <c:formatCode>"₹"\ #,##0</c:formatCode>
                <c:ptCount val="6"/>
                <c:pt idx="0">
                  <c:v>513545</c:v>
                </c:pt>
                <c:pt idx="1">
                  <c:v>690080</c:v>
                </c:pt>
                <c:pt idx="2">
                  <c:v>342207.5</c:v>
                </c:pt>
                <c:pt idx="3">
                  <c:v>278197.5</c:v>
                </c:pt>
                <c:pt idx="4">
                  <c:v>407230</c:v>
                </c:pt>
                <c:pt idx="5">
                  <c:v>489397.5</c:v>
                </c:pt>
              </c:numCache>
            </c:numRef>
          </c:val>
          <c:extLst>
            <c:ext xmlns:c16="http://schemas.microsoft.com/office/drawing/2014/chart" uri="{C3380CC4-5D6E-409C-BE32-E72D297353CC}">
              <c16:uniqueId val="{00000002-E868-402C-9483-CFC2E9734D16}"/>
            </c:ext>
          </c:extLst>
        </c:ser>
        <c:ser>
          <c:idx val="3"/>
          <c:order val="3"/>
          <c:tx>
            <c:strRef>
              <c:f>'Peak hours'!$E$3:$E$4</c:f>
              <c:strCache>
                <c:ptCount val="1"/>
                <c:pt idx="0">
                  <c:v>Wednesday</c:v>
                </c:pt>
              </c:strCache>
            </c:strRef>
          </c:tx>
          <c:spPr>
            <a:solidFill>
              <a:schemeClr val="accent4"/>
            </a:solidFill>
            <a:ln>
              <a:noFill/>
            </a:ln>
            <a:effectLst/>
          </c:spPr>
          <c:cat>
            <c:strRef>
              <c:f>'Peak hours'!$A$5:$A$10</c:f>
              <c:strCache>
                <c:ptCount val="6"/>
                <c:pt idx="0">
                  <c:v>12 AM - 4 AM</c:v>
                </c:pt>
                <c:pt idx="1">
                  <c:v>12 PM - 4 PM</c:v>
                </c:pt>
                <c:pt idx="2">
                  <c:v>4 AM - 8 AM</c:v>
                </c:pt>
                <c:pt idx="3">
                  <c:v>4 PM - 8 PM</c:v>
                </c:pt>
                <c:pt idx="4">
                  <c:v>8 AM - 12 PM</c:v>
                </c:pt>
                <c:pt idx="5">
                  <c:v>8 PM - 12 AM</c:v>
                </c:pt>
              </c:strCache>
            </c:strRef>
          </c:cat>
          <c:val>
            <c:numRef>
              <c:f>'Peak hours'!$E$5:$E$10</c:f>
              <c:numCache>
                <c:formatCode>"₹"\ #,##0</c:formatCode>
                <c:ptCount val="6"/>
                <c:pt idx="0">
                  <c:v>557797.5</c:v>
                </c:pt>
                <c:pt idx="1">
                  <c:v>1086957.5</c:v>
                </c:pt>
                <c:pt idx="2">
                  <c:v>553837.5</c:v>
                </c:pt>
                <c:pt idx="3">
                  <c:v>549387.5</c:v>
                </c:pt>
                <c:pt idx="4">
                  <c:v>345602.5</c:v>
                </c:pt>
                <c:pt idx="5">
                  <c:v>157807.5</c:v>
                </c:pt>
              </c:numCache>
            </c:numRef>
          </c:val>
          <c:extLst>
            <c:ext xmlns:c16="http://schemas.microsoft.com/office/drawing/2014/chart" uri="{C3380CC4-5D6E-409C-BE32-E72D297353CC}">
              <c16:uniqueId val="{00000003-E868-402C-9483-CFC2E9734D16}"/>
            </c:ext>
          </c:extLst>
        </c:ser>
        <c:ser>
          <c:idx val="4"/>
          <c:order val="4"/>
          <c:tx>
            <c:strRef>
              <c:f>'Peak hours'!$F$3:$F$4</c:f>
              <c:strCache>
                <c:ptCount val="1"/>
                <c:pt idx="0">
                  <c:v>Thursday</c:v>
                </c:pt>
              </c:strCache>
            </c:strRef>
          </c:tx>
          <c:spPr>
            <a:solidFill>
              <a:schemeClr val="accent5"/>
            </a:solidFill>
            <a:ln>
              <a:noFill/>
            </a:ln>
            <a:effectLst/>
          </c:spPr>
          <c:cat>
            <c:strRef>
              <c:f>'Peak hours'!$A$5:$A$10</c:f>
              <c:strCache>
                <c:ptCount val="6"/>
                <c:pt idx="0">
                  <c:v>12 AM - 4 AM</c:v>
                </c:pt>
                <c:pt idx="1">
                  <c:v>12 PM - 4 PM</c:v>
                </c:pt>
                <c:pt idx="2">
                  <c:v>4 AM - 8 AM</c:v>
                </c:pt>
                <c:pt idx="3">
                  <c:v>4 PM - 8 PM</c:v>
                </c:pt>
                <c:pt idx="4">
                  <c:v>8 AM - 12 PM</c:v>
                </c:pt>
                <c:pt idx="5">
                  <c:v>8 PM - 12 AM</c:v>
                </c:pt>
              </c:strCache>
            </c:strRef>
          </c:cat>
          <c:val>
            <c:numRef>
              <c:f>'Peak hours'!$F$5:$F$10</c:f>
              <c:numCache>
                <c:formatCode>"₹"\ #,##0</c:formatCode>
                <c:ptCount val="6"/>
                <c:pt idx="0">
                  <c:v>476540</c:v>
                </c:pt>
                <c:pt idx="1">
                  <c:v>541295</c:v>
                </c:pt>
                <c:pt idx="2">
                  <c:v>552715</c:v>
                </c:pt>
                <c:pt idx="3">
                  <c:v>383075</c:v>
                </c:pt>
                <c:pt idx="4">
                  <c:v>298012.5</c:v>
                </c:pt>
                <c:pt idx="5">
                  <c:v>277052.5</c:v>
                </c:pt>
              </c:numCache>
            </c:numRef>
          </c:val>
          <c:extLst>
            <c:ext xmlns:c16="http://schemas.microsoft.com/office/drawing/2014/chart" uri="{C3380CC4-5D6E-409C-BE32-E72D297353CC}">
              <c16:uniqueId val="{00000004-E868-402C-9483-CFC2E9734D16}"/>
            </c:ext>
          </c:extLst>
        </c:ser>
        <c:ser>
          <c:idx val="5"/>
          <c:order val="5"/>
          <c:tx>
            <c:strRef>
              <c:f>'Peak hours'!$G$3:$G$4</c:f>
              <c:strCache>
                <c:ptCount val="1"/>
                <c:pt idx="0">
                  <c:v>Friday</c:v>
                </c:pt>
              </c:strCache>
            </c:strRef>
          </c:tx>
          <c:spPr>
            <a:solidFill>
              <a:schemeClr val="accent6"/>
            </a:solidFill>
            <a:ln>
              <a:noFill/>
            </a:ln>
            <a:effectLst/>
          </c:spPr>
          <c:cat>
            <c:strRef>
              <c:f>'Peak hours'!$A$5:$A$10</c:f>
              <c:strCache>
                <c:ptCount val="6"/>
                <c:pt idx="0">
                  <c:v>12 AM - 4 AM</c:v>
                </c:pt>
                <c:pt idx="1">
                  <c:v>12 PM - 4 PM</c:v>
                </c:pt>
                <c:pt idx="2">
                  <c:v>4 AM - 8 AM</c:v>
                </c:pt>
                <c:pt idx="3">
                  <c:v>4 PM - 8 PM</c:v>
                </c:pt>
                <c:pt idx="4">
                  <c:v>8 AM - 12 PM</c:v>
                </c:pt>
                <c:pt idx="5">
                  <c:v>8 PM - 12 AM</c:v>
                </c:pt>
              </c:strCache>
            </c:strRef>
          </c:cat>
          <c:val>
            <c:numRef>
              <c:f>'Peak hours'!$G$5:$G$10</c:f>
              <c:numCache>
                <c:formatCode>"₹"\ #,##0</c:formatCode>
                <c:ptCount val="6"/>
                <c:pt idx="0">
                  <c:v>376847.5</c:v>
                </c:pt>
                <c:pt idx="1">
                  <c:v>513667.5</c:v>
                </c:pt>
                <c:pt idx="2">
                  <c:v>248450</c:v>
                </c:pt>
                <c:pt idx="3">
                  <c:v>546985</c:v>
                </c:pt>
                <c:pt idx="4">
                  <c:v>385767.5</c:v>
                </c:pt>
                <c:pt idx="5">
                  <c:v>212177.5</c:v>
                </c:pt>
              </c:numCache>
            </c:numRef>
          </c:val>
          <c:extLst>
            <c:ext xmlns:c16="http://schemas.microsoft.com/office/drawing/2014/chart" uri="{C3380CC4-5D6E-409C-BE32-E72D297353CC}">
              <c16:uniqueId val="{00000005-E868-402C-9483-CFC2E9734D16}"/>
            </c:ext>
          </c:extLst>
        </c:ser>
        <c:ser>
          <c:idx val="6"/>
          <c:order val="6"/>
          <c:tx>
            <c:strRef>
              <c:f>'Peak hours'!$H$3:$H$4</c:f>
              <c:strCache>
                <c:ptCount val="1"/>
                <c:pt idx="0">
                  <c:v>Saturday</c:v>
                </c:pt>
              </c:strCache>
            </c:strRef>
          </c:tx>
          <c:spPr>
            <a:solidFill>
              <a:schemeClr val="accent1">
                <a:lumMod val="60000"/>
              </a:schemeClr>
            </a:solidFill>
            <a:ln w="25400">
              <a:noFill/>
            </a:ln>
            <a:effectLst/>
          </c:spPr>
          <c:cat>
            <c:strRef>
              <c:f>'Peak hours'!$A$5:$A$10</c:f>
              <c:strCache>
                <c:ptCount val="6"/>
                <c:pt idx="0">
                  <c:v>12 AM - 4 AM</c:v>
                </c:pt>
                <c:pt idx="1">
                  <c:v>12 PM - 4 PM</c:v>
                </c:pt>
                <c:pt idx="2">
                  <c:v>4 AM - 8 AM</c:v>
                </c:pt>
                <c:pt idx="3">
                  <c:v>4 PM - 8 PM</c:v>
                </c:pt>
                <c:pt idx="4">
                  <c:v>8 AM - 12 PM</c:v>
                </c:pt>
                <c:pt idx="5">
                  <c:v>8 PM - 12 AM</c:v>
                </c:pt>
              </c:strCache>
            </c:strRef>
          </c:cat>
          <c:val>
            <c:numRef>
              <c:f>'Peak hours'!$H$5:$H$10</c:f>
              <c:numCache>
                <c:formatCode>"₹"\ #,##0</c:formatCode>
                <c:ptCount val="6"/>
                <c:pt idx="0">
                  <c:v>335455</c:v>
                </c:pt>
                <c:pt idx="1">
                  <c:v>164332.5</c:v>
                </c:pt>
                <c:pt idx="2">
                  <c:v>220222.5</c:v>
                </c:pt>
                <c:pt idx="3">
                  <c:v>377290</c:v>
                </c:pt>
                <c:pt idx="4">
                  <c:v>394222.5</c:v>
                </c:pt>
                <c:pt idx="5">
                  <c:v>181130</c:v>
                </c:pt>
              </c:numCache>
            </c:numRef>
          </c:val>
          <c:extLst>
            <c:ext xmlns:c16="http://schemas.microsoft.com/office/drawing/2014/chart" uri="{C3380CC4-5D6E-409C-BE32-E72D297353CC}">
              <c16:uniqueId val="{00000001-1C39-44B2-9F5E-9988231C5C7D}"/>
            </c:ext>
          </c:extLst>
        </c:ser>
        <c:dLbls>
          <c:showLegendKey val="0"/>
          <c:showVal val="0"/>
          <c:showCatName val="0"/>
          <c:showSerName val="0"/>
          <c:showPercent val="0"/>
          <c:showBubbleSize val="0"/>
        </c:dLbls>
        <c:axId val="1009790928"/>
        <c:axId val="1804099888"/>
      </c:areaChart>
      <c:catAx>
        <c:axId val="100979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b" anchorCtr="0"/>
          <a:lstStyle/>
          <a:p>
            <a:pPr>
              <a:defRPr sz="800" b="0" i="0" u="none" strike="noStrike" kern="1200" baseline="0">
                <a:solidFill>
                  <a:schemeClr val="tx1">
                    <a:lumMod val="65000"/>
                    <a:lumOff val="35000"/>
                  </a:schemeClr>
                </a:solidFill>
                <a:latin typeface="+mn-lt"/>
                <a:ea typeface="+mn-ea"/>
                <a:cs typeface="+mn-cs"/>
              </a:defRPr>
            </a:pPr>
            <a:endParaRPr lang="en-US"/>
          </a:p>
        </c:txPr>
        <c:crossAx val="1804099888"/>
        <c:crosses val="autoZero"/>
        <c:auto val="1"/>
        <c:lblAlgn val="ctr"/>
        <c:lblOffset val="100"/>
        <c:noMultiLvlLbl val="0"/>
      </c:catAx>
      <c:valAx>
        <c:axId val="1804099888"/>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790928"/>
        <c:crosses val="autoZero"/>
        <c:crossBetween val="midCat"/>
        <c:majorUnit val="1000000"/>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Copy.xlsx]Loss Transactions!PivotTable1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Loss Transactions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'Loss Transactions'!$B$4</c:f>
              <c:strCache>
                <c:ptCount val="1"/>
                <c:pt idx="0">
                  <c:v>Total Loss Amount</c:v>
                </c:pt>
              </c:strCache>
            </c:strRef>
          </c:tx>
          <c:spPr>
            <a:solidFill>
              <a:schemeClr val="accent1">
                <a:lumMod val="50000"/>
              </a:schemeClr>
            </a:solidFill>
            <a:ln>
              <a:noFill/>
            </a:ln>
            <a:effectLst/>
          </c:spPr>
          <c:invertIfNegative val="0"/>
          <c:cat>
            <c:strRef>
              <c:f>'Loss Transactions'!$A$5:$A$10</c:f>
              <c:strCache>
                <c:ptCount val="6"/>
                <c:pt idx="0">
                  <c:v>Gown</c:v>
                </c:pt>
                <c:pt idx="1">
                  <c:v>Indo-Western</c:v>
                </c:pt>
                <c:pt idx="2">
                  <c:v>Lehenga</c:v>
                </c:pt>
                <c:pt idx="3">
                  <c:v>Nehru Jacket</c:v>
                </c:pt>
                <c:pt idx="4">
                  <c:v>Sherwani</c:v>
                </c:pt>
                <c:pt idx="5">
                  <c:v>Shirt</c:v>
                </c:pt>
              </c:strCache>
            </c:strRef>
          </c:cat>
          <c:val>
            <c:numRef>
              <c:f>'Loss Transactions'!$B$5:$B$10</c:f>
              <c:numCache>
                <c:formatCode>General</c:formatCode>
                <c:ptCount val="6"/>
                <c:pt idx="0">
                  <c:v>2149.96</c:v>
                </c:pt>
                <c:pt idx="1">
                  <c:v>793.77</c:v>
                </c:pt>
                <c:pt idx="2">
                  <c:v>839.92000000000007</c:v>
                </c:pt>
                <c:pt idx="3">
                  <c:v>160.88</c:v>
                </c:pt>
                <c:pt idx="4">
                  <c:v>1573.66</c:v>
                </c:pt>
                <c:pt idx="5">
                  <c:v>226.02</c:v>
                </c:pt>
              </c:numCache>
            </c:numRef>
          </c:val>
          <c:extLst>
            <c:ext xmlns:c16="http://schemas.microsoft.com/office/drawing/2014/chart" uri="{C3380CC4-5D6E-409C-BE32-E72D297353CC}">
              <c16:uniqueId val="{0000000B-1401-4905-92A3-AE1464327432}"/>
            </c:ext>
          </c:extLst>
        </c:ser>
        <c:ser>
          <c:idx val="1"/>
          <c:order val="1"/>
          <c:tx>
            <c:strRef>
              <c:f>'Loss Transactions'!$C$4</c:f>
              <c:strCache>
                <c:ptCount val="1"/>
                <c:pt idx="0">
                  <c:v>Total Quantity Ordered</c:v>
                </c:pt>
              </c:strCache>
            </c:strRef>
          </c:tx>
          <c:spPr>
            <a:solidFill>
              <a:schemeClr val="accent2"/>
            </a:solidFill>
            <a:ln w="25400">
              <a:noFill/>
            </a:ln>
            <a:effectLst/>
          </c:spPr>
          <c:invertIfNegative val="0"/>
          <c:cat>
            <c:strRef>
              <c:f>'Loss Transactions'!$A$5:$A$10</c:f>
              <c:strCache>
                <c:ptCount val="6"/>
                <c:pt idx="0">
                  <c:v>Gown</c:v>
                </c:pt>
                <c:pt idx="1">
                  <c:v>Indo-Western</c:v>
                </c:pt>
                <c:pt idx="2">
                  <c:v>Lehenga</c:v>
                </c:pt>
                <c:pt idx="3">
                  <c:v>Nehru Jacket</c:v>
                </c:pt>
                <c:pt idx="4">
                  <c:v>Sherwani</c:v>
                </c:pt>
                <c:pt idx="5">
                  <c:v>Shirt</c:v>
                </c:pt>
              </c:strCache>
            </c:strRef>
          </c:cat>
          <c:val>
            <c:numRef>
              <c:f>'Loss Transactions'!$C$5:$C$10</c:f>
              <c:numCache>
                <c:formatCode>General</c:formatCode>
                <c:ptCount val="6"/>
                <c:pt idx="0">
                  <c:v>2</c:v>
                </c:pt>
                <c:pt idx="1">
                  <c:v>1</c:v>
                </c:pt>
                <c:pt idx="2">
                  <c:v>2</c:v>
                </c:pt>
                <c:pt idx="3">
                  <c:v>1</c:v>
                </c:pt>
                <c:pt idx="4">
                  <c:v>1</c:v>
                </c:pt>
                <c:pt idx="5">
                  <c:v>1</c:v>
                </c:pt>
              </c:numCache>
            </c:numRef>
          </c:val>
          <c:extLst>
            <c:ext xmlns:c16="http://schemas.microsoft.com/office/drawing/2014/chart" uri="{C3380CC4-5D6E-409C-BE32-E72D297353CC}">
              <c16:uniqueId val="{0000000C-1401-4905-92A3-AE1464327432}"/>
            </c:ext>
          </c:extLst>
        </c:ser>
        <c:dLbls>
          <c:showLegendKey val="0"/>
          <c:showVal val="0"/>
          <c:showCatName val="0"/>
          <c:showSerName val="0"/>
          <c:showPercent val="0"/>
          <c:showBubbleSize val="0"/>
        </c:dLbls>
        <c:gapWidth val="150"/>
        <c:overlap val="100"/>
        <c:axId val="1111821472"/>
        <c:axId val="881300816"/>
      </c:barChart>
      <c:catAx>
        <c:axId val="11118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00816"/>
        <c:crosses val="autoZero"/>
        <c:auto val="1"/>
        <c:lblAlgn val="ctr"/>
        <c:lblOffset val="100"/>
        <c:noMultiLvlLbl val="0"/>
      </c:catAx>
      <c:valAx>
        <c:axId val="881300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21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Copy.xlsx]Sales by customer Aquisition !PivotTable2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Customer Aquisition 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'Sales by customer Aquisition '!$C$4</c:f>
              <c:strCache>
                <c:ptCount val="1"/>
                <c:pt idx="0">
                  <c:v>Sum of Net_Sales</c:v>
                </c:pt>
              </c:strCache>
            </c:strRef>
          </c:tx>
          <c:spPr>
            <a:solidFill>
              <a:schemeClr val="tx2">
                <a:lumMod val="50000"/>
              </a:schemeClr>
            </a:solidFill>
            <a:ln>
              <a:noFill/>
            </a:ln>
            <a:effectLst/>
          </c:spPr>
          <c:invertIfNegative val="0"/>
          <c:cat>
            <c:strRef>
              <c:f>'Sales by customer Aquisition '!$A$5:$A$11</c:f>
              <c:strCache>
                <c:ptCount val="7"/>
                <c:pt idx="0">
                  <c:v>Google</c:v>
                </c:pt>
                <c:pt idx="1">
                  <c:v>Instagram</c:v>
                </c:pt>
                <c:pt idx="2">
                  <c:v>Not Recorded</c:v>
                </c:pt>
                <c:pt idx="3">
                  <c:v>Referral</c:v>
                </c:pt>
                <c:pt idx="4">
                  <c:v>Repeat Customer</c:v>
                </c:pt>
                <c:pt idx="5">
                  <c:v>Walk-in</c:v>
                </c:pt>
                <c:pt idx="6">
                  <c:v>WhatsApp</c:v>
                </c:pt>
              </c:strCache>
            </c:strRef>
          </c:cat>
          <c:val>
            <c:numRef>
              <c:f>'Sales by customer Aquisition '!$C$5:$C$11</c:f>
              <c:numCache>
                <c:formatCode>General</c:formatCode>
                <c:ptCount val="7"/>
                <c:pt idx="0">
                  <c:v>3200682.5</c:v>
                </c:pt>
                <c:pt idx="1">
                  <c:v>3167982.5</c:v>
                </c:pt>
                <c:pt idx="2">
                  <c:v>528715</c:v>
                </c:pt>
                <c:pt idx="3">
                  <c:v>2388570</c:v>
                </c:pt>
                <c:pt idx="4">
                  <c:v>2965232.5</c:v>
                </c:pt>
                <c:pt idx="5">
                  <c:v>2328382.5</c:v>
                </c:pt>
                <c:pt idx="6">
                  <c:v>3335550</c:v>
                </c:pt>
              </c:numCache>
            </c:numRef>
          </c:val>
          <c:extLst>
            <c:ext xmlns:c16="http://schemas.microsoft.com/office/drawing/2014/chart" uri="{C3380CC4-5D6E-409C-BE32-E72D297353CC}">
              <c16:uniqueId val="{00000000-FFC4-40FF-A20C-D9C32A482EA9}"/>
            </c:ext>
          </c:extLst>
        </c:ser>
        <c:dLbls>
          <c:showLegendKey val="0"/>
          <c:showVal val="0"/>
          <c:showCatName val="0"/>
          <c:showSerName val="0"/>
          <c:showPercent val="0"/>
          <c:showBubbleSize val="0"/>
        </c:dLbls>
        <c:gapWidth val="150"/>
        <c:overlap val="100"/>
        <c:axId val="1111785280"/>
        <c:axId val="881314256"/>
      </c:barChart>
      <c:lineChart>
        <c:grouping val="standard"/>
        <c:varyColors val="0"/>
        <c:ser>
          <c:idx val="0"/>
          <c:order val="0"/>
          <c:tx>
            <c:strRef>
              <c:f>'Sales by customer Aquisition '!$B$4</c:f>
              <c:strCache>
                <c:ptCount val="1"/>
                <c:pt idx="0">
                  <c:v>Count of Order_ID</c:v>
                </c:pt>
              </c:strCache>
            </c:strRef>
          </c:tx>
          <c:spPr>
            <a:ln w="28575" cap="rnd">
              <a:solidFill>
                <a:schemeClr val="accent1"/>
              </a:solidFill>
              <a:round/>
            </a:ln>
            <a:effectLst/>
          </c:spPr>
          <c:marker>
            <c:symbol val="none"/>
          </c:marker>
          <c:cat>
            <c:strRef>
              <c:f>'Sales by customer Aquisition '!$A$5:$A$11</c:f>
              <c:strCache>
                <c:ptCount val="7"/>
                <c:pt idx="0">
                  <c:v>Google</c:v>
                </c:pt>
                <c:pt idx="1">
                  <c:v>Instagram</c:v>
                </c:pt>
                <c:pt idx="2">
                  <c:v>Not Recorded</c:v>
                </c:pt>
                <c:pt idx="3">
                  <c:v>Referral</c:v>
                </c:pt>
                <c:pt idx="4">
                  <c:v>Repeat Customer</c:v>
                </c:pt>
                <c:pt idx="5">
                  <c:v>Walk-in</c:v>
                </c:pt>
                <c:pt idx="6">
                  <c:v>WhatsApp</c:v>
                </c:pt>
              </c:strCache>
            </c:strRef>
          </c:cat>
          <c:val>
            <c:numRef>
              <c:f>'Sales by customer Aquisition '!$B$5:$B$11</c:f>
              <c:numCache>
                <c:formatCode>General</c:formatCode>
                <c:ptCount val="7"/>
                <c:pt idx="0">
                  <c:v>184</c:v>
                </c:pt>
                <c:pt idx="1">
                  <c:v>160</c:v>
                </c:pt>
                <c:pt idx="2">
                  <c:v>25</c:v>
                </c:pt>
                <c:pt idx="3">
                  <c:v>150</c:v>
                </c:pt>
                <c:pt idx="4">
                  <c:v>161</c:v>
                </c:pt>
                <c:pt idx="5">
                  <c:v>129</c:v>
                </c:pt>
                <c:pt idx="6">
                  <c:v>191</c:v>
                </c:pt>
              </c:numCache>
            </c:numRef>
          </c:val>
          <c:smooth val="0"/>
          <c:extLst>
            <c:ext xmlns:c16="http://schemas.microsoft.com/office/drawing/2014/chart" uri="{C3380CC4-5D6E-409C-BE32-E72D297353CC}">
              <c16:uniqueId val="{00000001-FFC4-40FF-A20C-D9C32A482EA9}"/>
            </c:ext>
          </c:extLst>
        </c:ser>
        <c:dLbls>
          <c:showLegendKey val="0"/>
          <c:showVal val="0"/>
          <c:showCatName val="0"/>
          <c:showSerName val="0"/>
          <c:showPercent val="0"/>
          <c:showBubbleSize val="0"/>
        </c:dLbls>
        <c:marker val="1"/>
        <c:smooth val="0"/>
        <c:axId val="1111879008"/>
        <c:axId val="881408816"/>
      </c:lineChart>
      <c:catAx>
        <c:axId val="111178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14256"/>
        <c:crosses val="autoZero"/>
        <c:auto val="1"/>
        <c:lblAlgn val="ctr"/>
        <c:lblOffset val="100"/>
        <c:noMultiLvlLbl val="0"/>
      </c:catAx>
      <c:valAx>
        <c:axId val="881314256"/>
        <c:scaling>
          <c:orientation val="minMax"/>
        </c:scaling>
        <c:delete val="0"/>
        <c:axPos val="l"/>
        <c:majorGridlines>
          <c:spPr>
            <a:ln w="9525" cap="flat" cmpd="sng" algn="ctr">
              <a:solidFill>
                <a:schemeClr val="tx1">
                  <a:lumMod val="15000"/>
                  <a:lumOff val="85000"/>
                </a:schemeClr>
              </a:solidFill>
              <a:round/>
            </a:ln>
            <a:effectLst/>
          </c:spPr>
        </c:majorGridlines>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85280"/>
        <c:crosses val="autoZero"/>
        <c:crossBetween val="between"/>
      </c:valAx>
      <c:valAx>
        <c:axId val="881408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79008"/>
        <c:crosses val="max"/>
        <c:crossBetween val="between"/>
      </c:valAx>
      <c:catAx>
        <c:axId val="1111879008"/>
        <c:scaling>
          <c:orientation val="minMax"/>
        </c:scaling>
        <c:delete val="1"/>
        <c:axPos val="b"/>
        <c:numFmt formatCode="General" sourceLinked="1"/>
        <c:majorTickMark val="out"/>
        <c:minorTickMark val="none"/>
        <c:tickLblPos val="nextTo"/>
        <c:crossAx val="8814088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[Zaree_Fashion_Store_Dirty_Data_1000_Rows - Copy.xlsx]Gender  - City Wise!PivotTable3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 City Wise'!$B$3:$B$4</c:f>
              <c:strCache>
                <c:ptCount val="1"/>
                <c:pt idx="0">
                  <c:v>Kids</c:v>
                </c:pt>
              </c:strCache>
            </c:strRef>
          </c:tx>
          <c:spPr>
            <a:solidFill>
              <a:schemeClr val="accent1"/>
            </a:solidFill>
            <a:ln>
              <a:noFill/>
            </a:ln>
            <a:effectLst/>
          </c:spPr>
          <c:invertIfNegative val="0"/>
          <c:cat>
            <c:strRef>
              <c:f>'Gender  - City Wise'!$A$5:$A$13</c:f>
              <c:strCache>
                <c:ptCount val="9"/>
                <c:pt idx="0">
                  <c:v>Balasore</c:v>
                </c:pt>
                <c:pt idx="1">
                  <c:v>Berhampur</c:v>
                </c:pt>
                <c:pt idx="2">
                  <c:v>Bhubaneshwar</c:v>
                </c:pt>
                <c:pt idx="3">
                  <c:v>Cuttack</c:v>
                </c:pt>
                <c:pt idx="4">
                  <c:v>Puri</c:v>
                </c:pt>
                <c:pt idx="5">
                  <c:v>Rourkela</c:v>
                </c:pt>
                <c:pt idx="6">
                  <c:v>Sambalpur</c:v>
                </c:pt>
                <c:pt idx="7">
                  <c:v>Sambalpur </c:v>
                </c:pt>
                <c:pt idx="8">
                  <c:v>(blank)</c:v>
                </c:pt>
              </c:strCache>
            </c:strRef>
          </c:cat>
          <c:val>
            <c:numRef>
              <c:f>'Gender  - City Wise'!$B$5:$B$13</c:f>
              <c:numCache>
                <c:formatCode>General</c:formatCode>
                <c:ptCount val="9"/>
                <c:pt idx="0">
                  <c:v>26</c:v>
                </c:pt>
                <c:pt idx="1">
                  <c:v>19</c:v>
                </c:pt>
                <c:pt idx="2">
                  <c:v>16</c:v>
                </c:pt>
                <c:pt idx="3">
                  <c:v>23</c:v>
                </c:pt>
                <c:pt idx="4">
                  <c:v>18</c:v>
                </c:pt>
                <c:pt idx="5">
                  <c:v>23</c:v>
                </c:pt>
                <c:pt idx="6">
                  <c:v>19</c:v>
                </c:pt>
                <c:pt idx="7">
                  <c:v>1</c:v>
                </c:pt>
              </c:numCache>
            </c:numRef>
          </c:val>
          <c:extLst>
            <c:ext xmlns:c16="http://schemas.microsoft.com/office/drawing/2014/chart" uri="{C3380CC4-5D6E-409C-BE32-E72D297353CC}">
              <c16:uniqueId val="{00000000-D0FA-49C4-9FFE-548CD2590F70}"/>
            </c:ext>
          </c:extLst>
        </c:ser>
        <c:ser>
          <c:idx val="1"/>
          <c:order val="1"/>
          <c:tx>
            <c:strRef>
              <c:f>'Gender  - City Wise'!$C$3:$C$4</c:f>
              <c:strCache>
                <c:ptCount val="1"/>
                <c:pt idx="0">
                  <c:v>Men</c:v>
                </c:pt>
              </c:strCache>
            </c:strRef>
          </c:tx>
          <c:spPr>
            <a:solidFill>
              <a:schemeClr val="tx2">
                <a:lumMod val="75000"/>
              </a:schemeClr>
            </a:solidFill>
            <a:ln>
              <a:noFill/>
            </a:ln>
            <a:effectLst/>
          </c:spPr>
          <c:invertIfNegative val="0"/>
          <c:cat>
            <c:strRef>
              <c:f>'Gender  - City Wise'!$A$5:$A$13</c:f>
              <c:strCache>
                <c:ptCount val="9"/>
                <c:pt idx="0">
                  <c:v>Balasore</c:v>
                </c:pt>
                <c:pt idx="1">
                  <c:v>Berhampur</c:v>
                </c:pt>
                <c:pt idx="2">
                  <c:v>Bhubaneshwar</c:v>
                </c:pt>
                <c:pt idx="3">
                  <c:v>Cuttack</c:v>
                </c:pt>
                <c:pt idx="4">
                  <c:v>Puri</c:v>
                </c:pt>
                <c:pt idx="5">
                  <c:v>Rourkela</c:v>
                </c:pt>
                <c:pt idx="6">
                  <c:v>Sambalpur</c:v>
                </c:pt>
                <c:pt idx="7">
                  <c:v>Sambalpur </c:v>
                </c:pt>
                <c:pt idx="8">
                  <c:v>(blank)</c:v>
                </c:pt>
              </c:strCache>
            </c:strRef>
          </c:cat>
          <c:val>
            <c:numRef>
              <c:f>'Gender  - City Wise'!$C$5:$C$13</c:f>
              <c:numCache>
                <c:formatCode>General</c:formatCode>
                <c:ptCount val="9"/>
                <c:pt idx="0">
                  <c:v>28</c:v>
                </c:pt>
                <c:pt idx="1">
                  <c:v>22</c:v>
                </c:pt>
                <c:pt idx="2">
                  <c:v>35</c:v>
                </c:pt>
                <c:pt idx="3">
                  <c:v>38</c:v>
                </c:pt>
                <c:pt idx="4">
                  <c:v>30</c:v>
                </c:pt>
                <c:pt idx="5">
                  <c:v>38</c:v>
                </c:pt>
                <c:pt idx="6">
                  <c:v>39</c:v>
                </c:pt>
                <c:pt idx="7">
                  <c:v>3</c:v>
                </c:pt>
              </c:numCache>
            </c:numRef>
          </c:val>
          <c:extLst>
            <c:ext xmlns:c16="http://schemas.microsoft.com/office/drawing/2014/chart" uri="{C3380CC4-5D6E-409C-BE32-E72D297353CC}">
              <c16:uniqueId val="{00000013-D0FA-49C4-9FFE-548CD2590F70}"/>
            </c:ext>
          </c:extLst>
        </c:ser>
        <c:ser>
          <c:idx val="2"/>
          <c:order val="2"/>
          <c:tx>
            <c:strRef>
              <c:f>'Gender  - City Wise'!$D$3:$D$4</c:f>
              <c:strCache>
                <c:ptCount val="1"/>
                <c:pt idx="0">
                  <c:v>Women</c:v>
                </c:pt>
              </c:strCache>
            </c:strRef>
          </c:tx>
          <c:spPr>
            <a:solidFill>
              <a:schemeClr val="accent3"/>
            </a:solidFill>
            <a:ln>
              <a:noFill/>
            </a:ln>
            <a:effectLst/>
          </c:spPr>
          <c:invertIfNegative val="0"/>
          <c:cat>
            <c:strRef>
              <c:f>'Gender  - City Wise'!$A$5:$A$13</c:f>
              <c:strCache>
                <c:ptCount val="9"/>
                <c:pt idx="0">
                  <c:v>Balasore</c:v>
                </c:pt>
                <c:pt idx="1">
                  <c:v>Berhampur</c:v>
                </c:pt>
                <c:pt idx="2">
                  <c:v>Bhubaneshwar</c:v>
                </c:pt>
                <c:pt idx="3">
                  <c:v>Cuttack</c:v>
                </c:pt>
                <c:pt idx="4">
                  <c:v>Puri</c:v>
                </c:pt>
                <c:pt idx="5">
                  <c:v>Rourkela</c:v>
                </c:pt>
                <c:pt idx="6">
                  <c:v>Sambalpur</c:v>
                </c:pt>
                <c:pt idx="7">
                  <c:v>Sambalpur </c:v>
                </c:pt>
                <c:pt idx="8">
                  <c:v>(blank)</c:v>
                </c:pt>
              </c:strCache>
            </c:strRef>
          </c:cat>
          <c:val>
            <c:numRef>
              <c:f>'Gender  - City Wise'!$D$5:$D$13</c:f>
              <c:numCache>
                <c:formatCode>General</c:formatCode>
                <c:ptCount val="9"/>
                <c:pt idx="0">
                  <c:v>81</c:v>
                </c:pt>
                <c:pt idx="1">
                  <c:v>90</c:v>
                </c:pt>
                <c:pt idx="2">
                  <c:v>112</c:v>
                </c:pt>
                <c:pt idx="3">
                  <c:v>67</c:v>
                </c:pt>
                <c:pt idx="4">
                  <c:v>92</c:v>
                </c:pt>
                <c:pt idx="5">
                  <c:v>82</c:v>
                </c:pt>
                <c:pt idx="6">
                  <c:v>91</c:v>
                </c:pt>
                <c:pt idx="7">
                  <c:v>7</c:v>
                </c:pt>
              </c:numCache>
            </c:numRef>
          </c:val>
          <c:extLst>
            <c:ext xmlns:c16="http://schemas.microsoft.com/office/drawing/2014/chart" uri="{C3380CC4-5D6E-409C-BE32-E72D297353CC}">
              <c16:uniqueId val="{00000014-D0FA-49C4-9FFE-548CD2590F70}"/>
            </c:ext>
          </c:extLst>
        </c:ser>
        <c:ser>
          <c:idx val="3"/>
          <c:order val="3"/>
          <c:tx>
            <c:strRef>
              <c:f>'Gender  - City Wise'!$E$3:$E$4</c:f>
              <c:strCache>
                <c:ptCount val="1"/>
                <c:pt idx="0">
                  <c:v>(blank)</c:v>
                </c:pt>
              </c:strCache>
            </c:strRef>
          </c:tx>
          <c:spPr>
            <a:solidFill>
              <a:schemeClr val="accent4"/>
            </a:solidFill>
            <a:ln>
              <a:noFill/>
            </a:ln>
            <a:effectLst/>
          </c:spPr>
          <c:invertIfNegative val="0"/>
          <c:cat>
            <c:strRef>
              <c:f>'Gender  - City Wise'!$A$5:$A$13</c:f>
              <c:strCache>
                <c:ptCount val="9"/>
                <c:pt idx="0">
                  <c:v>Balasore</c:v>
                </c:pt>
                <c:pt idx="1">
                  <c:v>Berhampur</c:v>
                </c:pt>
                <c:pt idx="2">
                  <c:v>Bhubaneshwar</c:v>
                </c:pt>
                <c:pt idx="3">
                  <c:v>Cuttack</c:v>
                </c:pt>
                <c:pt idx="4">
                  <c:v>Puri</c:v>
                </c:pt>
                <c:pt idx="5">
                  <c:v>Rourkela</c:v>
                </c:pt>
                <c:pt idx="6">
                  <c:v>Sambalpur</c:v>
                </c:pt>
                <c:pt idx="7">
                  <c:v>Sambalpur </c:v>
                </c:pt>
                <c:pt idx="8">
                  <c:v>(blank)</c:v>
                </c:pt>
              </c:strCache>
            </c:strRef>
          </c:cat>
          <c:val>
            <c:numRef>
              <c:f>'Gender  - City Wise'!$E$5:$E$13</c:f>
              <c:numCache>
                <c:formatCode>General</c:formatCode>
                <c:ptCount val="9"/>
              </c:numCache>
            </c:numRef>
          </c:val>
          <c:extLst>
            <c:ext xmlns:c16="http://schemas.microsoft.com/office/drawing/2014/chart" uri="{C3380CC4-5D6E-409C-BE32-E72D297353CC}">
              <c16:uniqueId val="{00000015-D0FA-49C4-9FFE-548CD2590F70}"/>
            </c:ext>
          </c:extLst>
        </c:ser>
        <c:dLbls>
          <c:showLegendKey val="0"/>
          <c:showVal val="0"/>
          <c:showCatName val="0"/>
          <c:showSerName val="0"/>
          <c:showPercent val="0"/>
          <c:showBubbleSize val="0"/>
        </c:dLbls>
        <c:gapWidth val="182"/>
        <c:axId val="889049104"/>
        <c:axId val="881358416"/>
      </c:barChart>
      <c:catAx>
        <c:axId val="88904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58416"/>
        <c:crosses val="autoZero"/>
        <c:auto val="1"/>
        <c:lblAlgn val="ctr"/>
        <c:lblOffset val="100"/>
        <c:noMultiLvlLbl val="0"/>
      </c:catAx>
      <c:valAx>
        <c:axId val="881358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49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176253</xdr:colOff>
      <xdr:row>7</xdr:row>
      <xdr:rowOff>59503</xdr:rowOff>
    </xdr:from>
    <xdr:to>
      <xdr:col>12</xdr:col>
      <xdr:colOff>133684</xdr:colOff>
      <xdr:row>21</xdr:row>
      <xdr:rowOff>50132</xdr:rowOff>
    </xdr:to>
    <xdr:graphicFrame macro="">
      <xdr:nvGraphicFramePr>
        <xdr:cNvPr id="2" name="Chart 1">
          <a:extLst>
            <a:ext uri="{FF2B5EF4-FFF2-40B4-BE49-F238E27FC236}">
              <a16:creationId xmlns:a16="http://schemas.microsoft.com/office/drawing/2014/main" id="{014C209A-F8CD-4C0D-B204-93B21D825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254001</xdr:colOff>
      <xdr:row>7</xdr:row>
      <xdr:rowOff>55917</xdr:rowOff>
    </xdr:from>
    <xdr:to>
      <xdr:col>21</xdr:col>
      <xdr:colOff>482093</xdr:colOff>
      <xdr:row>21</xdr:row>
      <xdr:rowOff>49130</xdr:rowOff>
    </xdr:to>
    <xdr:graphicFrame macro="">
      <xdr:nvGraphicFramePr>
        <xdr:cNvPr id="3" name="Chart 2">
          <a:extLst>
            <a:ext uri="{FF2B5EF4-FFF2-40B4-BE49-F238E27FC236}">
              <a16:creationId xmlns:a16="http://schemas.microsoft.com/office/drawing/2014/main" id="{80B4170C-0C0D-443F-9F79-EC42E0CF6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44679</xdr:colOff>
      <xdr:row>7</xdr:row>
      <xdr:rowOff>31367</xdr:rowOff>
    </xdr:from>
    <xdr:to>
      <xdr:col>30</xdr:col>
      <xdr:colOff>374316</xdr:colOff>
      <xdr:row>20</xdr:row>
      <xdr:rowOff>176463</xdr:rowOff>
    </xdr:to>
    <xdr:graphicFrame macro="">
      <xdr:nvGraphicFramePr>
        <xdr:cNvPr id="4" name="Chart 3">
          <a:extLst>
            <a:ext uri="{FF2B5EF4-FFF2-40B4-BE49-F238E27FC236}">
              <a16:creationId xmlns:a16="http://schemas.microsoft.com/office/drawing/2014/main" id="{F04948B5-C7BB-4E1A-97CD-DED6346BE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116541</xdr:colOff>
      <xdr:row>22</xdr:row>
      <xdr:rowOff>48806</xdr:rowOff>
    </xdr:from>
    <xdr:to>
      <xdr:col>9</xdr:col>
      <xdr:colOff>110613</xdr:colOff>
      <xdr:row>42</xdr:row>
      <xdr:rowOff>35442</xdr:rowOff>
    </xdr:to>
    <xdr:graphicFrame macro="">
      <xdr:nvGraphicFramePr>
        <xdr:cNvPr id="5" name="Chart 4">
          <a:extLst>
            <a:ext uri="{FF2B5EF4-FFF2-40B4-BE49-F238E27FC236}">
              <a16:creationId xmlns:a16="http://schemas.microsoft.com/office/drawing/2014/main" id="{B18062CB-B4FF-4335-BB9D-CD10CC62C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272143</xdr:colOff>
      <xdr:row>22</xdr:row>
      <xdr:rowOff>34059</xdr:rowOff>
    </xdr:from>
    <xdr:to>
      <xdr:col>18</xdr:col>
      <xdr:colOff>451184</xdr:colOff>
      <xdr:row>42</xdr:row>
      <xdr:rowOff>35442</xdr:rowOff>
    </xdr:to>
    <xdr:graphicFrame macro="">
      <xdr:nvGraphicFramePr>
        <xdr:cNvPr id="6" name="Chart 5">
          <a:extLst>
            <a:ext uri="{FF2B5EF4-FFF2-40B4-BE49-F238E27FC236}">
              <a16:creationId xmlns:a16="http://schemas.microsoft.com/office/drawing/2014/main" id="{B66DF5D2-B7FF-4440-8DE4-0FB9218B9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299357</xdr:colOff>
      <xdr:row>43</xdr:row>
      <xdr:rowOff>86805</xdr:rowOff>
    </xdr:from>
    <xdr:to>
      <xdr:col>18</xdr:col>
      <xdr:colOff>378077</xdr:colOff>
      <xdr:row>58</xdr:row>
      <xdr:rowOff>119681</xdr:rowOff>
    </xdr:to>
    <xdr:graphicFrame macro="">
      <xdr:nvGraphicFramePr>
        <xdr:cNvPr id="7" name="Chart 6">
          <a:extLst>
            <a:ext uri="{FF2B5EF4-FFF2-40B4-BE49-F238E27FC236}">
              <a16:creationId xmlns:a16="http://schemas.microsoft.com/office/drawing/2014/main" id="{B6E34594-D3BC-4659-8E87-485F36629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14651</xdr:colOff>
      <xdr:row>22</xdr:row>
      <xdr:rowOff>80458</xdr:rowOff>
    </xdr:from>
    <xdr:to>
      <xdr:col>30</xdr:col>
      <xdr:colOff>390769</xdr:colOff>
      <xdr:row>42</xdr:row>
      <xdr:rowOff>117230</xdr:rowOff>
    </xdr:to>
    <xdr:graphicFrame macro="">
      <xdr:nvGraphicFramePr>
        <xdr:cNvPr id="8" name="Chart 7">
          <a:extLst>
            <a:ext uri="{FF2B5EF4-FFF2-40B4-BE49-F238E27FC236}">
              <a16:creationId xmlns:a16="http://schemas.microsoft.com/office/drawing/2014/main" id="{30A02552-7F1B-4D81-88D6-B24718239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181544</xdr:colOff>
      <xdr:row>43</xdr:row>
      <xdr:rowOff>61057</xdr:rowOff>
    </xdr:from>
    <xdr:to>
      <xdr:col>9</xdr:col>
      <xdr:colOff>19539</xdr:colOff>
      <xdr:row>58</xdr:row>
      <xdr:rowOff>101437</xdr:rowOff>
    </xdr:to>
    <xdr:graphicFrame macro="">
      <xdr:nvGraphicFramePr>
        <xdr:cNvPr id="9" name="Chart 8">
          <a:extLst>
            <a:ext uri="{FF2B5EF4-FFF2-40B4-BE49-F238E27FC236}">
              <a16:creationId xmlns:a16="http://schemas.microsoft.com/office/drawing/2014/main" id="{322E8807-62EA-4F46-A503-9A05FE89E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217597</xdr:colOff>
      <xdr:row>59</xdr:row>
      <xdr:rowOff>115953</xdr:rowOff>
    </xdr:from>
    <xdr:to>
      <xdr:col>8</xdr:col>
      <xdr:colOff>8194</xdr:colOff>
      <xdr:row>75</xdr:row>
      <xdr:rowOff>42334</xdr:rowOff>
    </xdr:to>
    <xdr:graphicFrame macro="">
      <xdr:nvGraphicFramePr>
        <xdr:cNvPr id="10" name="Chart 9">
          <a:extLst>
            <a:ext uri="{FF2B5EF4-FFF2-40B4-BE49-F238E27FC236}">
              <a16:creationId xmlns:a16="http://schemas.microsoft.com/office/drawing/2014/main" id="{5751F407-96CD-4638-AFA6-D4C72AAAE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1514</xdr:colOff>
      <xdr:row>59</xdr:row>
      <xdr:rowOff>79085</xdr:rowOff>
    </xdr:from>
    <xdr:to>
      <xdr:col>30</xdr:col>
      <xdr:colOff>359137</xdr:colOff>
      <xdr:row>74</xdr:row>
      <xdr:rowOff>119464</xdr:rowOff>
    </xdr:to>
    <xdr:graphicFrame macro="">
      <xdr:nvGraphicFramePr>
        <xdr:cNvPr id="11" name="Chart 10">
          <a:extLst>
            <a:ext uri="{FF2B5EF4-FFF2-40B4-BE49-F238E27FC236}">
              <a16:creationId xmlns:a16="http://schemas.microsoft.com/office/drawing/2014/main" id="{A79AB1A8-0997-4C4A-AF1F-FCCEAC032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12094</xdr:colOff>
      <xdr:row>43</xdr:row>
      <xdr:rowOff>106065</xdr:rowOff>
    </xdr:from>
    <xdr:to>
      <xdr:col>30</xdr:col>
      <xdr:colOff>390769</xdr:colOff>
      <xdr:row>58</xdr:row>
      <xdr:rowOff>127838</xdr:rowOff>
    </xdr:to>
    <xdr:graphicFrame macro="">
      <xdr:nvGraphicFramePr>
        <xdr:cNvPr id="12" name="Chart 11">
          <a:extLst>
            <a:ext uri="{FF2B5EF4-FFF2-40B4-BE49-F238E27FC236}">
              <a16:creationId xmlns:a16="http://schemas.microsoft.com/office/drawing/2014/main" id="{B29AD380-56AF-4D9E-943F-0DBFF8A74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239889</xdr:colOff>
      <xdr:row>59</xdr:row>
      <xdr:rowOff>126999</xdr:rowOff>
    </xdr:from>
    <xdr:to>
      <xdr:col>15</xdr:col>
      <xdr:colOff>98778</xdr:colOff>
      <xdr:row>75</xdr:row>
      <xdr:rowOff>28221</xdr:rowOff>
    </xdr:to>
    <xdr:graphicFrame macro="">
      <xdr:nvGraphicFramePr>
        <xdr:cNvPr id="13" name="Chart 12">
          <a:extLst>
            <a:ext uri="{FF2B5EF4-FFF2-40B4-BE49-F238E27FC236}">
              <a16:creationId xmlns:a16="http://schemas.microsoft.com/office/drawing/2014/main" id="{A0AA9E90-0C46-4C94-BEB9-6DE97CB03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239889</xdr:colOff>
      <xdr:row>59</xdr:row>
      <xdr:rowOff>134470</xdr:rowOff>
    </xdr:from>
    <xdr:to>
      <xdr:col>22</xdr:col>
      <xdr:colOff>493889</xdr:colOff>
      <xdr:row>74</xdr:row>
      <xdr:rowOff>146756</xdr:rowOff>
    </xdr:to>
    <xdr:graphicFrame macro="">
      <xdr:nvGraphicFramePr>
        <xdr:cNvPr id="14" name="Chart 13">
          <a:extLst>
            <a:ext uri="{FF2B5EF4-FFF2-40B4-BE49-F238E27FC236}">
              <a16:creationId xmlns:a16="http://schemas.microsoft.com/office/drawing/2014/main" id="{44957CA5-FDB4-4D99-8F39-920CDAAA6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245806</xdr:colOff>
      <xdr:row>79</xdr:row>
      <xdr:rowOff>130628</xdr:rowOff>
    </xdr:from>
    <xdr:to>
      <xdr:col>39</xdr:col>
      <xdr:colOff>294968</xdr:colOff>
      <xdr:row>95</xdr:row>
      <xdr:rowOff>61783</xdr:rowOff>
    </xdr:to>
    <xdr:sp macro="" textlink="">
      <xdr:nvSpPr>
        <xdr:cNvPr id="15" name="Rectangle: Rounded Corners 14">
          <a:extLst>
            <a:ext uri="{FF2B5EF4-FFF2-40B4-BE49-F238E27FC236}">
              <a16:creationId xmlns:a16="http://schemas.microsoft.com/office/drawing/2014/main" id="{9150C343-B089-9511-96E5-BE4E16C1D540}"/>
            </a:ext>
          </a:extLst>
        </xdr:cNvPr>
        <xdr:cNvSpPr/>
      </xdr:nvSpPr>
      <xdr:spPr>
        <a:xfrm>
          <a:off x="245806" y="14238514"/>
          <a:ext cx="24585562" cy="2717898"/>
        </a:xfrm>
        <a:prstGeom prst="roundRect">
          <a:avLst>
            <a:gd name="adj" fmla="val 8486"/>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489857</xdr:colOff>
      <xdr:row>79</xdr:row>
      <xdr:rowOff>101539</xdr:rowOff>
    </xdr:from>
    <xdr:to>
      <xdr:col>31</xdr:col>
      <xdr:colOff>190500</xdr:colOff>
      <xdr:row>79</xdr:row>
      <xdr:rowOff>155968</xdr:rowOff>
    </xdr:to>
    <xdr:cxnSp macro="">
      <xdr:nvCxnSpPr>
        <xdr:cNvPr id="18" name="Straight Connector 17">
          <a:extLst>
            <a:ext uri="{FF2B5EF4-FFF2-40B4-BE49-F238E27FC236}">
              <a16:creationId xmlns:a16="http://schemas.microsoft.com/office/drawing/2014/main" id="{BCF32AC1-064B-BEE3-22BC-E12287E01894}"/>
            </a:ext>
          </a:extLst>
        </xdr:cNvPr>
        <xdr:cNvCxnSpPr/>
      </xdr:nvCxnSpPr>
      <xdr:spPr>
        <a:xfrm flipV="1">
          <a:off x="4236357" y="14477939"/>
          <a:ext cx="15613743" cy="54429"/>
        </a:xfrm>
        <a:prstGeom prst="line">
          <a:avLst/>
        </a:prstGeom>
        <a:ln w="82550">
          <a:headEnd type="diamond"/>
          <a:tailEnd type="diamo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105228</xdr:colOff>
      <xdr:row>77</xdr:row>
      <xdr:rowOff>152401</xdr:rowOff>
    </xdr:from>
    <xdr:to>
      <xdr:col>24</xdr:col>
      <xdr:colOff>460828</xdr:colOff>
      <xdr:row>81</xdr:row>
      <xdr:rowOff>105105</xdr:rowOff>
    </xdr:to>
    <xdr:sp macro="" textlink="">
      <xdr:nvSpPr>
        <xdr:cNvPr id="16" name="Rectangle 15">
          <a:extLst>
            <a:ext uri="{FF2B5EF4-FFF2-40B4-BE49-F238E27FC236}">
              <a16:creationId xmlns:a16="http://schemas.microsoft.com/office/drawing/2014/main" id="{DA828C96-98F1-38DC-1889-8ADFFD7FFC05}"/>
            </a:ext>
          </a:extLst>
        </xdr:cNvPr>
        <xdr:cNvSpPr/>
      </xdr:nvSpPr>
      <xdr:spPr>
        <a:xfrm>
          <a:off x="8233228" y="14173201"/>
          <a:ext cx="7620000" cy="663904"/>
        </a:xfrm>
        <a:prstGeom prst="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KEY TAKEAWAY</a:t>
          </a:r>
        </a:p>
      </xdr:txBody>
    </xdr:sp>
    <xdr:clientData/>
  </xdr:twoCellAnchor>
  <xdr:twoCellAnchor>
    <xdr:from>
      <xdr:col>0</xdr:col>
      <xdr:colOff>478971</xdr:colOff>
      <xdr:row>83</xdr:row>
      <xdr:rowOff>0</xdr:rowOff>
    </xdr:from>
    <xdr:to>
      <xdr:col>39</xdr:col>
      <xdr:colOff>65314</xdr:colOff>
      <xdr:row>94</xdr:row>
      <xdr:rowOff>88174</xdr:rowOff>
    </xdr:to>
    <xdr:sp macro="" textlink="">
      <xdr:nvSpPr>
        <xdr:cNvPr id="1025" name="Text Box 1">
          <a:extLst>
            <a:ext uri="{FF2B5EF4-FFF2-40B4-BE49-F238E27FC236}">
              <a16:creationId xmlns:a16="http://schemas.microsoft.com/office/drawing/2014/main" id="{6DD92494-A8CA-AE21-CCB9-B528E089AE74}"/>
            </a:ext>
          </a:extLst>
        </xdr:cNvPr>
        <xdr:cNvSpPr txBox="1">
          <a:spLocks noChangeArrowheads="1"/>
        </xdr:cNvSpPr>
      </xdr:nvSpPr>
      <xdr:spPr bwMode="auto">
        <a:xfrm>
          <a:off x="478971" y="14804571"/>
          <a:ext cx="24122743" cy="2004060"/>
        </a:xfrm>
        <a:prstGeom prst="rect">
          <a:avLst/>
        </a:prstGeom>
        <a:noFill/>
        <a:ln w="9525">
          <a:noFill/>
          <a:miter lim="800000"/>
          <a:headEnd/>
          <a:tailEnd/>
        </a:ln>
      </xdr:spPr>
      <xdr:txBody>
        <a:bodyPr vertOverflow="clip" wrap="square" lIns="18288" tIns="18288" rIns="0" bIns="0" anchor="t" upright="1"/>
        <a:lstStyle/>
        <a:p>
          <a:pPr marL="342900" indent="-342900" algn="l" rtl="0">
            <a:buFont typeface="Arial" panose="020B0604020202020204" pitchFamily="34" charset="0"/>
            <a:buChar char="•"/>
            <a:defRPr sz="1000"/>
          </a:pPr>
          <a:r>
            <a:rPr lang="en-IN" sz="2400" b="0" i="0" u="none" strike="noStrike" baseline="0">
              <a:solidFill>
                <a:srgbClr val="000000"/>
              </a:solidFill>
              <a:latin typeface="Calibri"/>
              <a:ea typeface="Calibri"/>
              <a:cs typeface="Calibri"/>
            </a:rPr>
            <a:t>Sales are strong: ₹8.9M from 1,000 orders.</a:t>
          </a:r>
        </a:p>
        <a:p>
          <a:pPr marL="342900" indent="-342900" algn="l" rtl="0">
            <a:buFont typeface="Arial" panose="020B0604020202020204" pitchFamily="34" charset="0"/>
            <a:buChar char="•"/>
            <a:defRPr sz="1000"/>
          </a:pPr>
          <a:r>
            <a:rPr lang="en-IN" sz="2400" b="0" i="0" u="none" strike="noStrike" baseline="0">
              <a:solidFill>
                <a:srgbClr val="000000"/>
              </a:solidFill>
              <a:latin typeface="Calibri"/>
              <a:ea typeface="Calibri"/>
              <a:cs typeface="Calibri"/>
            </a:rPr>
            <a:t>Some products sell much better: Focus on the top-selling categories and brands.</a:t>
          </a:r>
        </a:p>
        <a:p>
          <a:pPr marL="342900" indent="-342900" algn="l" rtl="0">
            <a:buFont typeface="Arial" panose="020B0604020202020204" pitchFamily="34" charset="0"/>
            <a:buChar char="•"/>
            <a:defRPr sz="1000"/>
          </a:pPr>
          <a:r>
            <a:rPr lang="en-IN" sz="2400" b="0" i="0" u="none" strike="noStrike" baseline="0">
              <a:solidFill>
                <a:srgbClr val="000000"/>
              </a:solidFill>
              <a:latin typeface="Calibri"/>
              <a:ea typeface="Calibri"/>
              <a:cs typeface="Calibri"/>
            </a:rPr>
            <a:t>Small discounts work well: Sales are strongest around 5–20% discounts.</a:t>
          </a:r>
        </a:p>
        <a:p>
          <a:pPr marL="342900" indent="-342900" algn="l" rtl="0">
            <a:buFont typeface="Arial" panose="020B0604020202020204" pitchFamily="34" charset="0"/>
            <a:buChar char="•"/>
            <a:defRPr sz="1000"/>
          </a:pPr>
          <a:r>
            <a:rPr lang="en-IN" sz="2400" b="0" i="0" u="none" strike="noStrike" baseline="0">
              <a:solidFill>
                <a:srgbClr val="000000"/>
              </a:solidFill>
              <a:latin typeface="Calibri"/>
              <a:ea typeface="Calibri"/>
              <a:cs typeface="Calibri"/>
            </a:rPr>
            <a:t>Sales change by month: Some months perform better than others.</a:t>
          </a:r>
        </a:p>
        <a:p>
          <a:pPr marL="342900" indent="-342900" algn="l" rtl="0">
            <a:buFont typeface="Arial" panose="020B0604020202020204" pitchFamily="34" charset="0"/>
            <a:buChar char="•"/>
            <a:defRPr sz="1000"/>
          </a:pPr>
          <a:r>
            <a:rPr lang="en-IN" sz="2400" b="0" i="0" u="none" strike="noStrike" baseline="0">
              <a:solidFill>
                <a:srgbClr val="000000"/>
              </a:solidFill>
              <a:latin typeface="Calibri"/>
              <a:ea typeface="Calibri"/>
              <a:cs typeface="Calibri"/>
            </a:rPr>
            <a:t>Some products lose money: Gowns, Sherwanis and Lehengas need a closer look.</a:t>
          </a:r>
        </a:p>
      </xdr:txBody>
    </xdr:sp>
    <xdr:clientData/>
  </xdr:twoCellAnchor>
  <xdr:twoCellAnchor editAs="oneCell">
    <xdr:from>
      <xdr:col>32</xdr:col>
      <xdr:colOff>565996</xdr:colOff>
      <xdr:row>45</xdr:row>
      <xdr:rowOff>18818</xdr:rowOff>
    </xdr:from>
    <xdr:to>
      <xdr:col>37</xdr:col>
      <xdr:colOff>194552</xdr:colOff>
      <xdr:row>58</xdr:row>
      <xdr:rowOff>59833</xdr:rowOff>
    </xdr:to>
    <mc:AlternateContent xmlns:mc="http://schemas.openxmlformats.org/markup-compatibility/2006">
      <mc:Choice xmlns:a14="http://schemas.microsoft.com/office/drawing/2010/main" Requires="a14">
        <xdr:graphicFrame macro="">
          <xdr:nvGraphicFramePr>
            <xdr:cNvPr id="19" name="City">
              <a:extLst>
                <a:ext uri="{FF2B5EF4-FFF2-40B4-BE49-F238E27FC236}">
                  <a16:creationId xmlns:a16="http://schemas.microsoft.com/office/drawing/2014/main" id="{64729F41-B0FB-DC92-6B11-822948271E7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0663746" y="9607318"/>
              <a:ext cx="2644806" cy="2517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563976</xdr:colOff>
      <xdr:row>35</xdr:row>
      <xdr:rowOff>141204</xdr:rowOff>
    </xdr:from>
    <xdr:to>
      <xdr:col>37</xdr:col>
      <xdr:colOff>194553</xdr:colOff>
      <xdr:row>43</xdr:row>
      <xdr:rowOff>139960</xdr:rowOff>
    </xdr:to>
    <mc:AlternateContent xmlns:mc="http://schemas.openxmlformats.org/markup-compatibility/2006">
      <mc:Choice xmlns:a14="http://schemas.microsoft.com/office/drawing/2010/main" Requires="a14">
        <xdr:graphicFrame macro="">
          <xdr:nvGraphicFramePr>
            <xdr:cNvPr id="20" name="Gender">
              <a:extLst>
                <a:ext uri="{FF2B5EF4-FFF2-40B4-BE49-F238E27FC236}">
                  <a16:creationId xmlns:a16="http://schemas.microsoft.com/office/drawing/2014/main" id="{9F07B613-30EE-5A63-1875-665E9603AF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661726" y="7824704"/>
              <a:ext cx="2646827" cy="15227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499749</xdr:colOff>
      <xdr:row>7</xdr:row>
      <xdr:rowOff>45874</xdr:rowOff>
    </xdr:from>
    <xdr:to>
      <xdr:col>37</xdr:col>
      <xdr:colOff>129701</xdr:colOff>
      <xdr:row>20</xdr:row>
      <xdr:rowOff>139958</xdr:rowOff>
    </xdr:to>
    <mc:AlternateContent xmlns:mc="http://schemas.openxmlformats.org/markup-compatibility/2006">
      <mc:Choice xmlns:a14="http://schemas.microsoft.com/office/drawing/2010/main" Requires="a14">
        <xdr:graphicFrame macro="">
          <xdr:nvGraphicFramePr>
            <xdr:cNvPr id="21" name="Category">
              <a:extLst>
                <a:ext uri="{FF2B5EF4-FFF2-40B4-BE49-F238E27FC236}">
                  <a16:creationId xmlns:a16="http://schemas.microsoft.com/office/drawing/2014/main" id="{CE8A1B6C-19FD-6A44-FB62-2232E5F966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597499" y="2395374"/>
              <a:ext cx="2646202" cy="2570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559933</xdr:colOff>
      <xdr:row>22</xdr:row>
      <xdr:rowOff>137159</xdr:rowOff>
    </xdr:from>
    <xdr:to>
      <xdr:col>37</xdr:col>
      <xdr:colOff>162128</xdr:colOff>
      <xdr:row>34</xdr:row>
      <xdr:rowOff>0</xdr:rowOff>
    </xdr:to>
    <mc:AlternateContent xmlns:mc="http://schemas.openxmlformats.org/markup-compatibility/2006">
      <mc:Choice xmlns:a14="http://schemas.microsoft.com/office/drawing/2010/main" Requires="a14">
        <xdr:graphicFrame macro="">
          <xdr:nvGraphicFramePr>
            <xdr:cNvPr id="22" name="Payment_Method">
              <a:extLst>
                <a:ext uri="{FF2B5EF4-FFF2-40B4-BE49-F238E27FC236}">
                  <a16:creationId xmlns:a16="http://schemas.microsoft.com/office/drawing/2014/main" id="{749C797A-4DE0-C425-6BB4-2C175395478A}"/>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20657683" y="5344159"/>
              <a:ext cx="2618445" cy="2148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ana Bhoi" refreshedDate="46298.461337152781" createdVersion="8" refreshedVersion="8" minRefreshableVersion="3" recordCount="1000" xr:uid="{0D110457-0A7D-488A-B17C-F1234DA66B48}">
  <cacheSource type="worksheet">
    <worksheetSource name="Table1"/>
  </cacheSource>
  <cacheFields count="31">
    <cacheField name="Order_ID" numFmtId="0">
      <sharedItems/>
    </cacheField>
    <cacheField name="Order_Date" numFmtId="0">
      <sharedItems containsSemiMixedTypes="0" containsNonDate="0" containsDate="1" containsString="0" minDate="2025-01-01T00:00:00" maxDate="2026-01-01T00:00:00"/>
    </cacheField>
    <cacheField name="Time Period" numFmtId="0">
      <sharedItems/>
    </cacheField>
    <cacheField name="Time" numFmtId="164">
      <sharedItems containsNonDate="0" containsDate="1" containsString="0" containsBlank="1" minDate="1899-12-30T00:00:00" maxDate="1899-12-30T22:55:00" count="690">
        <d v="1899-12-30T05:25:00"/>
        <d v="1899-12-30T02:36:00"/>
        <d v="1899-12-30T17:45:00"/>
        <d v="1899-12-30T09:42:00"/>
        <d v="1899-12-30T18:46:00"/>
        <d v="1899-12-30T03:47:00"/>
        <d v="1899-12-30T22:12:00"/>
        <d v="1899-12-30T15:25:00"/>
        <d v="1899-12-30T00:22:00"/>
        <d v="1899-12-30T19:33:00"/>
        <d v="1899-12-30T14:39:00"/>
        <d v="1899-12-30T12:36:00"/>
        <d v="1899-12-30T10:58:00"/>
        <d v="1899-12-30T17:00:00"/>
        <d v="1899-12-30T11:58:00"/>
        <d v="1899-12-30T12:08:00"/>
        <d v="1899-12-30T12:22:00"/>
        <d v="1899-12-30T17:10:00"/>
        <d v="1899-12-30T09:44:00"/>
        <d v="1899-12-30T16:04:00"/>
        <d v="1899-12-30T12:26:00"/>
        <d v="1899-12-30T11:29:00"/>
        <d v="1899-12-30T08:25:00"/>
        <d v="1899-12-30T07:23:00"/>
        <d v="1899-12-30T22:10:00"/>
        <d v="1899-12-30T14:37:00"/>
        <d v="1899-12-30T04:33:00"/>
        <d v="1899-12-30T04:31:00"/>
        <d v="1899-12-30T18:22:00"/>
        <d v="1899-12-30T11:19:00"/>
        <d v="1899-12-30T21:14:00"/>
        <m/>
        <d v="1899-12-30T10:33:00"/>
        <d v="1899-12-30T11:21:00"/>
        <d v="1899-12-30T03:18:00"/>
        <d v="1899-12-30T12:28:00"/>
        <d v="1899-12-30T06:58:00"/>
        <d v="1899-12-30T08:53:00"/>
        <d v="1899-12-30T08:48:00"/>
        <d v="1899-12-30T06:50:00"/>
        <d v="1899-12-30T07:32:00"/>
        <d v="1899-12-30T02:18:00"/>
        <d v="1899-12-30T07:03:00"/>
        <d v="1899-12-30T16:48:00"/>
        <d v="1899-12-30T10:10:00"/>
        <d v="1899-12-30T13:02:00"/>
        <d v="1899-12-30T07:57:00"/>
        <d v="1899-12-30T02:09:00"/>
        <d v="1899-12-30T11:04:00"/>
        <d v="1899-12-30T20:40:00"/>
        <d v="1899-12-30T05:41:00"/>
        <d v="1899-12-30T07:05:00"/>
        <d v="1899-12-30T05:26:00"/>
        <d v="1899-12-30T01:38:00"/>
        <d v="1899-12-30T15:55:00"/>
        <d v="1899-12-30T13:38:00"/>
        <d v="1899-12-30T13:03:00"/>
        <d v="1899-12-30T17:44:00"/>
        <d v="1899-12-30T11:57:00"/>
        <d v="1899-12-30T00:37:00"/>
        <d v="1899-12-30T12:13:00"/>
        <d v="1899-12-30T13:11:00"/>
        <d v="1899-12-30T21:20:00"/>
        <d v="1899-12-30T12:05:00"/>
        <d v="1899-12-30T05:46:00"/>
        <d v="1899-12-30T09:50:00"/>
        <d v="1899-12-30T18:19:00"/>
        <d v="1899-12-30T12:19:00"/>
        <d v="1899-12-30T16:19:00"/>
        <d v="1899-12-30T22:54:00"/>
        <d v="1899-12-30T12:55:00"/>
        <d v="1899-12-30T20:03:00"/>
        <d v="1899-12-30T02:14:00"/>
        <d v="1899-12-30T15:30:00"/>
        <d v="1899-12-30T01:27:00"/>
        <d v="1899-12-30T12:44:00"/>
        <d v="1899-12-30T21:05:00"/>
        <d v="1899-12-30T18:41:00"/>
        <d v="1899-12-30T12:53:00"/>
        <d v="1899-12-30T20:38:00"/>
        <d v="1899-12-30T05:48:00"/>
        <d v="1899-12-30T00:17:00"/>
        <d v="1899-12-30T19:38:00"/>
        <d v="1899-12-30T05:22:00"/>
        <d v="1899-12-30T10:39:00"/>
        <d v="1899-12-30T01:03:00"/>
        <d v="1899-12-30T14:30:00"/>
        <d v="1899-12-30T05:01:00"/>
        <d v="1899-12-30T20:20:00"/>
        <d v="1899-12-30T10:55:00"/>
        <d v="1899-12-30T08:36:00"/>
        <d v="1899-12-30T11:22:00"/>
        <d v="1899-12-30T21:08:00"/>
        <d v="1899-12-30T19:59:00"/>
        <d v="1899-12-30T14:49:00"/>
        <d v="1899-12-30T20:23:00"/>
        <d v="1899-12-30T19:49:00"/>
        <d v="1899-12-30T04:21:00"/>
        <d v="1899-12-30T04:20:00"/>
        <d v="1899-12-30T08:18:00"/>
        <d v="1899-12-30T20:00:00"/>
        <d v="1899-12-30T11:43:00"/>
        <d v="1899-12-30T01:54:00"/>
        <d v="1899-12-30T00:32:00"/>
        <d v="1899-12-30T20:39:00"/>
        <d v="1899-12-30T00:38:00"/>
        <d v="1899-12-30T05:13:00"/>
        <d v="1899-12-30T12:03:00"/>
        <d v="1899-12-30T04:09:00"/>
        <d v="1899-12-30T16:23:00"/>
        <d v="1899-12-30T02:05:00"/>
        <d v="1899-12-30T13:18:00"/>
        <d v="1899-12-30T21:37:00"/>
        <d v="1899-12-30T22:38:00"/>
        <d v="1899-12-30T19:16:00"/>
        <d v="1899-12-30T16:34:00"/>
        <d v="1899-12-30T09:38:00"/>
        <d v="1899-12-30T02:37:00"/>
        <d v="1899-12-30T10:57:00"/>
        <d v="1899-12-30T14:43:00"/>
        <d v="1899-12-30T16:52:00"/>
        <d v="1899-12-30T07:12:00"/>
        <d v="1899-12-30T02:03:00"/>
        <d v="1899-12-30T04:35:00"/>
        <d v="1899-12-30T05:45:00"/>
        <d v="1899-12-30T08:38:00"/>
        <d v="1899-12-30T15:41:00"/>
        <d v="1899-12-30T05:16:00"/>
        <d v="1899-12-30T19:36:00"/>
        <d v="1899-12-30T17:35:00"/>
        <d v="1899-12-30T17:04:00"/>
        <d v="1899-12-30T12:43:00"/>
        <d v="1899-12-30T10:03:00"/>
        <d v="1899-12-30T02:45:00"/>
        <d v="1899-12-30T07:01:00"/>
        <d v="1899-12-30T10:26:00"/>
        <d v="1899-12-30T19:47:00"/>
        <d v="1899-12-30T02:39:00"/>
        <d v="1899-12-30T12:32:00"/>
        <d v="1899-12-30T06:29:00"/>
        <d v="1899-12-30T05:07:00"/>
        <d v="1899-12-30T08:33:00"/>
        <d v="1899-12-30T02:16:00"/>
        <d v="1899-12-30T10:46:00"/>
        <d v="1899-12-30T07:38:00"/>
        <d v="1899-12-30T18:55:00"/>
        <d v="1899-12-30T11:25:00"/>
        <d v="1899-12-30T07:18:00"/>
        <d v="1899-12-30T01:31:00"/>
        <d v="1899-12-30T17:07:00"/>
        <d v="1899-12-30T14:50:00"/>
        <d v="1899-12-30T17:40:00"/>
        <d v="1899-12-30T13:29:00"/>
        <d v="1899-12-30T08:23:00"/>
        <d v="1899-12-30T12:33:00"/>
        <d v="1899-12-30T15:46:00"/>
        <d v="1899-12-30T17:52:00"/>
        <d v="1899-12-30T09:31:00"/>
        <d v="1899-12-30T04:45:00"/>
        <d v="1899-12-30T09:19:00"/>
        <d v="1899-12-30T16:20:00"/>
        <d v="1899-12-30T18:25:00"/>
        <d v="1899-12-30T15:50:00"/>
        <d v="1899-12-30T17:12:00"/>
        <d v="1899-12-30T02:01:00"/>
        <d v="1899-12-30T07:17:00"/>
        <d v="1899-12-30T16:22:00"/>
        <d v="1899-12-30T20:19:00"/>
        <d v="1899-12-30T16:10:00"/>
        <d v="1899-12-30T18:47:00"/>
        <d v="1899-12-30T07:29:00"/>
        <d v="1899-12-30T02:52:00"/>
        <d v="1899-12-30T14:15:00"/>
        <d v="1899-12-30T07:13:00"/>
        <d v="1899-12-30T12:29:00"/>
        <d v="1899-12-30T02:40:00"/>
        <d v="1899-12-30T19:05:00"/>
        <d v="1899-12-30T09:17:00"/>
        <d v="1899-12-30T22:22:00"/>
        <d v="1899-12-30T09:16:00"/>
        <d v="1899-12-30T06:53:00"/>
        <d v="1899-12-30T11:07:00"/>
        <d v="1899-12-30T10:36:00"/>
        <d v="1899-12-30T15:40:00"/>
        <d v="1899-12-30T12:12:00"/>
        <d v="1899-12-30T09:47:00"/>
        <d v="1899-12-30T17:11:00"/>
        <d v="1899-12-30T02:04:00"/>
        <d v="1899-12-30T06:26:00"/>
        <d v="1899-12-30T08:54:00"/>
        <d v="1899-12-30T11:31:00"/>
        <d v="1899-12-30T20:37:00"/>
        <d v="1899-12-30T13:26:00"/>
        <d v="1899-12-30T14:28:00"/>
        <d v="1899-12-30T02:35:00"/>
        <d v="1899-12-30T04:26:00"/>
        <d v="1899-12-30T16:39:00"/>
        <d v="1899-12-30T17:43:00"/>
        <d v="1899-12-30T22:52:00"/>
        <d v="1899-12-30T13:47:00"/>
        <d v="1899-12-30T06:00:00"/>
        <d v="1899-12-30T07:16:00"/>
        <d v="1899-12-30T13:55:00"/>
        <d v="1899-12-30T07:42:00"/>
        <d v="1899-12-30T02:21:00"/>
        <d v="1899-12-30T03:10:00"/>
        <d v="1899-12-30T20:04:00"/>
        <d v="1899-12-30T16:24:00"/>
        <d v="1899-12-30T15:01:00"/>
        <d v="1899-12-30T19:57:00"/>
        <d v="1899-12-30T05:15:00"/>
        <d v="1899-12-30T14:40:00"/>
        <d v="1899-12-30T16:36:00"/>
        <d v="1899-12-30T18:52:00"/>
        <d v="1899-12-30T16:44:00"/>
        <d v="1899-12-30T15:53:00"/>
        <d v="1899-12-30T10:07:00"/>
        <d v="1899-12-30T21:24:00"/>
        <d v="1899-12-30T07:58:00"/>
        <d v="1899-12-30T05:00:00"/>
        <d v="1899-12-30T07:26:00"/>
        <d v="1899-12-30T00:49:00"/>
        <d v="1899-12-30T09:49:00"/>
        <d v="1899-12-30T22:53:00"/>
        <d v="1899-12-30T00:18:00"/>
        <d v="1899-12-30T07:47:00"/>
        <d v="1899-12-30T21:34:00"/>
        <d v="1899-12-30T02:27:00"/>
        <d v="1899-12-30T04:55:00"/>
        <d v="1899-12-30T12:30:00"/>
        <d v="1899-12-30T06:48:00"/>
        <d v="1899-12-30T18:51:00"/>
        <d v="1899-12-30T08:51:00"/>
        <d v="1899-12-30T22:46:00"/>
        <d v="1899-12-30T09:10:00"/>
        <d v="1899-12-30T15:17:00"/>
        <d v="1899-12-30T09:02:00"/>
        <d v="1899-12-30T10:56:00"/>
        <d v="1899-12-30T00:30:00"/>
        <d v="1899-12-30T12:11:00"/>
        <d v="1899-12-30T04:42:00"/>
        <d v="1899-12-30T18:02:00"/>
        <d v="1899-12-30T08:40:00"/>
        <d v="1899-12-30T18:15:00"/>
        <d v="1899-12-30T14:35:00"/>
        <d v="1899-12-30T22:26:00"/>
        <d v="1899-12-30T15:23:00"/>
        <d v="1899-12-30T15:37:00"/>
        <d v="1899-12-30T22:47:00"/>
        <d v="1899-12-30T15:19:00"/>
        <d v="1899-12-30T08:56:00"/>
        <d v="1899-12-30T03:35:00"/>
        <d v="1899-12-30T01:01:00"/>
        <d v="1899-12-30T02:00:00"/>
        <d v="1899-12-30T07:53:00"/>
        <d v="1899-12-30T17:17:00"/>
        <d v="1899-12-30T18:00:00"/>
        <d v="1899-12-30T01:40:00"/>
        <d v="1899-12-30T10:40:00"/>
        <d v="1899-12-30T21:55:00"/>
        <d v="1899-12-30T16:09:00"/>
        <d v="1899-12-30T07:14:00"/>
        <d v="1899-12-30T04:39:00"/>
        <d v="1899-12-30T09:53:00"/>
        <d v="1899-12-30T15:16:00"/>
        <d v="1899-12-30T00:09:00"/>
        <d v="1899-12-30T04:05:00"/>
        <d v="1899-12-30T06:37:00"/>
        <d v="1899-12-30T03:45:00"/>
        <d v="1899-12-30T13:10:00"/>
        <d v="1899-12-30T03:27:00"/>
        <d v="1899-12-30T05:05:00"/>
        <d v="1899-12-30T06:49:00"/>
        <d v="1899-12-30T03:08:00"/>
        <d v="1899-12-30T22:51:00"/>
        <d v="1899-12-30T01:22:00"/>
        <d v="1899-12-30T13:32:00"/>
        <d v="1899-12-30T07:27:00"/>
        <d v="1899-12-30T12:00:00"/>
        <d v="1899-12-30T16:02:00"/>
        <d v="1899-12-30T19:07:00"/>
        <d v="1899-12-30T19:48:00"/>
        <d v="1899-12-30T07:52:00"/>
        <d v="1899-12-30T08:58:00"/>
        <d v="1899-12-30T07:31:00"/>
        <d v="1899-12-30T07:33:00"/>
        <d v="1899-12-30T20:42:00"/>
        <d v="1899-12-30T18:36:00"/>
        <d v="1899-12-30T18:33:00"/>
        <d v="1899-12-30T10:19:00"/>
        <d v="1899-12-30T17:05:00"/>
        <d v="1899-12-30T05:33:00"/>
        <d v="1899-12-30T11:46:00"/>
        <d v="1899-12-30T13:58:00"/>
        <d v="1899-12-30T22:08:00"/>
        <d v="1899-12-30T14:05:00"/>
        <d v="1899-12-30T13:52:00"/>
        <d v="1899-12-30T04:48:00"/>
        <d v="1899-12-30T11:39:00"/>
        <d v="1899-12-30T14:31:00"/>
        <d v="1899-12-30T08:59:00"/>
        <d v="1899-12-30T06:41:00"/>
        <d v="1899-12-30T00:10:00"/>
        <d v="1899-12-30T11:14:00"/>
        <d v="1899-12-30T05:34:00"/>
        <d v="1899-12-30T09:20:00"/>
        <d v="1899-12-30T16:31:00"/>
        <d v="1899-12-30T20:01:00"/>
        <d v="1899-12-30T04:11:00"/>
        <d v="1899-12-30T12:59:00"/>
        <d v="1899-12-30T00:03:00"/>
        <d v="1899-12-30T15:05:00"/>
        <d v="1899-12-30T06:51:00"/>
        <d v="1899-12-30T13:40:00"/>
        <d v="1899-12-30T18:44:00"/>
        <d v="1899-12-30T14:42:00"/>
        <d v="1899-12-30T15:02:00"/>
        <d v="1899-12-30T13:27:00"/>
        <d v="1899-12-30T17:26:00"/>
        <d v="1899-12-30T02:41:00"/>
        <d v="1899-12-30T14:48:00"/>
        <d v="1899-12-30T21:59:00"/>
        <d v="1899-12-30T06:33:00"/>
        <d v="1899-12-30T21:58:00"/>
        <d v="1899-12-30T20:30:00"/>
        <d v="1899-12-30T21:03:00"/>
        <d v="1899-12-30T19:45:00"/>
        <d v="1899-12-30T10:22:00"/>
        <d v="1899-12-30T06:46:00"/>
        <d v="1899-12-30T07:44:00"/>
        <d v="1899-12-30T02:23:00"/>
        <d v="1899-12-30T14:29:00"/>
        <d v="1899-12-30T11:11:00"/>
        <d v="1899-12-30T16:35:00"/>
        <d v="1899-12-30T09:14:00"/>
        <d v="1899-12-30T16:45:00"/>
        <d v="1899-12-30T18:31:00"/>
        <d v="1899-12-30T13:04:00"/>
        <d v="1899-12-30T04:46:00"/>
        <d v="1899-12-30T16:27:00"/>
        <d v="1899-12-30T06:59:00"/>
        <d v="1899-12-30T14:59:00"/>
        <d v="1899-12-30T00:47:00"/>
        <d v="1899-12-30T09:15:00"/>
        <d v="1899-12-30T15:57:00"/>
        <d v="1899-12-30T20:53:00"/>
        <d v="1899-12-30T12:45:00"/>
        <d v="1899-12-30T22:28:00"/>
        <d v="1899-12-30T18:04:00"/>
        <d v="1899-12-30T21:28:00"/>
        <d v="1899-12-30T06:17:00"/>
        <d v="1899-12-30T05:52:00"/>
        <d v="1899-12-30T04:44:00"/>
        <d v="1899-12-30T13:53:00"/>
        <d v="1899-12-30T21:29:00"/>
        <d v="1899-12-30T14:23:00"/>
        <d v="1899-12-30T22:45:00"/>
        <d v="1899-12-30T03:26:00"/>
        <d v="1899-12-30T05:02:00"/>
        <d v="1899-12-30T10:47:00"/>
        <d v="1899-12-30T04:16:00"/>
        <d v="1899-12-30T02:58:00"/>
        <d v="1899-12-30T17:03:00"/>
        <d v="1899-12-30T16:43:00"/>
        <d v="1899-12-30T08:29:00"/>
        <d v="1899-12-30T16:29:00"/>
        <d v="1899-12-30T03:03:00"/>
        <d v="1899-12-30T06:19:00"/>
        <d v="1899-12-30T21:31:00"/>
        <d v="1899-12-30T22:07:00"/>
        <d v="1899-12-30T01:42:00"/>
        <d v="1899-12-30T01:15:00"/>
        <d v="1899-12-30T20:43:00"/>
        <d v="1899-12-30T12:15:00"/>
        <d v="1899-12-30T20:48:00"/>
        <d v="1899-12-30T21:09:00"/>
        <d v="1899-12-30T06:27:00"/>
        <d v="1899-12-30T00:29:00"/>
        <d v="1899-12-30T19:32:00"/>
        <d v="1899-12-30T17:41:00"/>
        <d v="1899-12-30T21:04:00"/>
        <d v="1899-12-30T11:26:00"/>
        <d v="1899-12-30T03:16:00"/>
        <d v="1899-12-30T04:36:00"/>
        <d v="1899-12-30T07:30:00"/>
        <d v="1899-12-30T09:37:00"/>
        <d v="1899-12-30T16:38:00"/>
        <d v="1899-12-30T14:38:00"/>
        <d v="1899-12-30T19:34:00"/>
        <d v="1899-12-30T22:40:00"/>
        <d v="1899-12-30T09:05:00"/>
        <d v="1899-12-30T14:17:00"/>
        <d v="1899-12-30T09:45:00"/>
        <d v="1899-12-30T20:06:00"/>
        <d v="1899-12-30T03:55:00"/>
        <d v="1899-12-30T03:52:00"/>
        <d v="1899-12-30T22:04:00"/>
        <d v="1899-12-30T21:48:00"/>
        <d v="1899-12-30T03:32:00"/>
        <d v="1899-12-30T20:10:00"/>
        <d v="1899-12-30T12:20:00"/>
        <d v="1899-12-30T16:59:00"/>
        <d v="1899-12-30T07:09:00"/>
        <d v="1899-12-30T21:06:00"/>
        <d v="1899-12-30T10:38:00"/>
        <d v="1899-12-30T20:07:00"/>
        <d v="1899-12-30T02:26:00"/>
        <d v="1899-12-30T20:31:00"/>
        <d v="1899-12-30T20:28:00"/>
        <d v="1899-12-30T00:42:00"/>
        <d v="1899-12-30T01:41:00"/>
        <d v="1899-12-30T02:54:00"/>
        <d v="1899-12-30T03:01:00"/>
        <d v="1899-12-30T01:20:00"/>
        <d v="1899-12-30T07:46:00"/>
        <d v="1899-12-30T14:33:00"/>
        <d v="1899-12-30T08:22:00"/>
        <d v="1899-12-30T21:18:00"/>
        <d v="1899-12-30T00:59:00"/>
        <d v="1899-12-30T18:08:00"/>
        <d v="1899-12-30T06:12:00"/>
        <d v="1899-12-30T22:16:00"/>
        <d v="1899-12-30T20:09:00"/>
        <d v="1899-12-30T21:22:00"/>
        <d v="1899-12-30T16:07:00"/>
        <d v="1899-12-30T06:16:00"/>
        <d v="1899-12-30T22:14:00"/>
        <d v="1899-12-30T08:44:00"/>
        <d v="1899-12-30T06:57:00"/>
        <d v="1899-12-30T01:50:00"/>
        <d v="1899-12-30T18:30:00"/>
        <d v="1899-12-30T21:41:00"/>
        <d v="1899-12-30T06:44:00"/>
        <d v="1899-12-30T20:12:00"/>
        <d v="1899-12-30T08:02:00"/>
        <d v="1899-12-30T02:33:00"/>
        <d v="1899-12-30T15:33:00"/>
        <d v="1899-12-30T21:39:00"/>
        <d v="1899-12-30T05:11:00"/>
        <d v="1899-12-30T17:29:00"/>
        <d v="1899-12-30T13:35:00"/>
        <d v="1899-12-30T14:07:00"/>
        <d v="1899-12-30T09:58:00"/>
        <d v="1899-12-30T06:28:00"/>
        <d v="1899-12-30T03:25:00"/>
        <d v="1899-12-30T12:02:00"/>
        <d v="1899-12-30T22:33:00"/>
        <d v="1899-12-30T15:15:00"/>
        <d v="1899-12-30T04:38:00"/>
        <d v="1899-12-30T14:56:00"/>
        <d v="1899-12-30T15:54:00"/>
        <d v="1899-12-30T01:05:00"/>
        <d v="1899-12-30T22:41:00"/>
        <d v="1899-12-30T00:45:00"/>
        <d v="1899-12-30T05:47:00"/>
        <d v="1899-12-30T13:12:00"/>
        <d v="1899-12-30T03:37:00"/>
        <d v="1899-12-30T10:52:00"/>
        <d v="1899-12-30T08:35:00"/>
        <d v="1899-12-30T20:45:00"/>
        <d v="1899-12-30T05:49:00"/>
        <d v="1899-12-30T19:02:00"/>
        <d v="1899-12-30T19:29:00"/>
        <d v="1899-12-30T19:24:00"/>
        <d v="1899-12-30T11:47:00"/>
        <d v="1899-12-30T16:16:00"/>
        <d v="1899-12-30T02:56:00"/>
        <d v="1899-12-30T14:51:00"/>
        <d v="1899-12-30T08:26:00"/>
        <d v="1899-12-30T13:13:00"/>
        <d v="1899-12-30T04:18:00"/>
        <d v="1899-12-30T07:40:00"/>
        <d v="1899-12-30T03:12:00"/>
        <d v="1899-12-30T01:47:00"/>
        <d v="1899-12-30T13:14:00"/>
        <d v="1899-12-30T01:53:00"/>
        <d v="1899-12-30T05:43:00"/>
        <d v="1899-12-30T00:43:00"/>
        <d v="1899-12-30T01:56:00"/>
        <d v="1899-12-30T18:42:00"/>
        <d v="1899-12-30T01:16:00"/>
        <d v="1899-12-30T17:47:00"/>
        <d v="1899-12-30T06:42:00"/>
        <d v="1899-12-30T15:22:00"/>
        <d v="1899-12-30T22:01:00"/>
        <d v="1899-12-30T05:08:00"/>
        <d v="1899-12-30T06:32:00"/>
        <d v="1899-12-30T09:41:00"/>
        <d v="1899-12-30T20:51:00"/>
        <d v="1899-12-30T00:21:00"/>
        <d v="1899-12-30T10:15:00"/>
        <d v="1899-12-30T19:46:00"/>
        <d v="1899-12-30T15:59:00"/>
        <d v="1899-12-30T15:58:00"/>
        <d v="1899-12-30T02:17:00"/>
        <d v="1899-12-30T15:24:00"/>
        <d v="1899-12-30T08:20:00"/>
        <d v="1899-12-30T14:52:00"/>
        <d v="1899-12-30T07:28:00"/>
        <d v="1899-12-30T14:10:00"/>
        <d v="1899-12-30T10:17:00"/>
        <d v="1899-12-30T17:56:00"/>
        <d v="1899-12-30T12:18:00"/>
        <d v="1899-12-30T14:45:00"/>
        <d v="1899-12-30T18:32:00"/>
        <d v="1899-12-30T00:48:00"/>
        <d v="1899-12-30T06:23:00"/>
        <d v="1899-12-30T10:12:00"/>
        <d v="1899-12-30T21:43:00"/>
        <d v="1899-12-30T08:09:00"/>
        <d v="1899-12-30T07:15:00"/>
        <d v="1899-12-30T17:24:00"/>
        <d v="1899-12-30T17:49:00"/>
        <d v="1899-12-30T05:17:00"/>
        <d v="1899-12-30T10:23:00"/>
        <d v="1899-12-30T07:21:00"/>
        <d v="1899-12-30T22:44:00"/>
        <d v="1899-12-30T15:06:00"/>
        <d v="1899-12-30T19:19:00"/>
        <d v="1899-12-30T20:15:00"/>
        <d v="1899-12-30T14:18:00"/>
        <d v="1899-12-30T11:32:00"/>
        <d v="1899-12-30T18:10:00"/>
        <d v="1899-12-30T20:32:00"/>
        <d v="1899-12-30T08:11:00"/>
        <d v="1899-12-30T13:56:00"/>
        <d v="1899-12-30T10:28:00"/>
        <d v="1899-12-30T11:06:00"/>
        <d v="1899-12-30T13:09:00"/>
        <d v="1899-12-30T13:54:00"/>
        <d v="1899-12-30T22:13:00"/>
        <d v="1899-12-30T09:28:00"/>
        <d v="1899-12-30T22:05:00"/>
        <d v="1899-12-30T03:36:00"/>
        <d v="1899-12-30T18:57:00"/>
        <d v="1899-12-30T05:27:00"/>
        <d v="1899-12-30T03:11:00"/>
        <d v="1899-12-30T20:57:00"/>
        <d v="1899-12-30T03:17:00"/>
        <d v="1899-12-30T01:14:00"/>
        <d v="1899-12-30T05:06:00"/>
        <d v="1899-12-30T20:46:00"/>
        <d v="1899-12-30T06:03:00"/>
        <d v="1899-12-30T03:49:00"/>
        <d v="1899-12-30T16:46:00"/>
        <d v="1899-12-30T12:58:00"/>
        <d v="1899-12-30T15:48:00"/>
        <d v="1899-12-30T11:09:00"/>
        <d v="1899-12-30T19:53:00"/>
        <d v="1899-12-30T06:31:00"/>
        <d v="1899-12-30T17:37:00"/>
        <d v="1899-12-30T09:52:00"/>
        <d v="1899-12-30T01:04:00"/>
        <d v="1899-12-30T07:07:00"/>
        <d v="1899-12-30T11:01:00"/>
        <d v="1899-12-30T10:09:00"/>
        <d v="1899-12-30T16:58:00"/>
        <d v="1899-12-30T01:51:00"/>
        <d v="1899-12-30T11:30:00"/>
        <d v="1899-12-30T02:12:00"/>
        <d v="1899-12-30T19:01:00"/>
        <d v="1899-12-30T02:10:00"/>
        <d v="1899-12-30T21:44:00"/>
        <d v="1899-12-30T01:28:00"/>
        <d v="1899-12-30T04:12:00"/>
        <d v="1899-12-30T14:41:00"/>
        <d v="1899-12-30T01:08:00"/>
        <d v="1899-12-30T09:07:00"/>
        <d v="1899-12-30T07:04:00"/>
        <d v="1899-12-30T18:16:00"/>
        <d v="1899-12-30T10:48:00"/>
        <d v="1899-12-30T06:36:00"/>
        <d v="1899-12-30T15:11:00"/>
        <d v="1899-12-30T17:36:00"/>
        <d v="1899-12-30T21:17:00"/>
        <d v="1899-12-30T18:23:00"/>
        <d v="1899-12-30T15:36:00"/>
        <d v="1899-12-30T08:00:00"/>
        <d v="1899-12-30T09:06:00"/>
        <d v="1899-12-30T21:19:00"/>
        <d v="1899-12-30T19:00:00"/>
        <d v="1899-12-30T00:34:00"/>
        <d v="1899-12-30T18:27:00"/>
        <d v="1899-12-30T22:55:00"/>
        <d v="1899-12-30T15:47:00"/>
        <d v="1899-12-30T04:19:00"/>
        <d v="1899-12-30T02:19:00"/>
        <d v="1899-12-30T00:27:00"/>
        <d v="1899-12-30T19:25:00"/>
        <d v="1899-12-30T16:50:00"/>
        <d v="1899-12-30T18:50:00"/>
        <d v="1899-12-30T11:03:00"/>
        <d v="1899-12-30T10:32:00"/>
        <d v="1899-12-30T01:02:00"/>
        <d v="1899-12-30T14:25:00"/>
        <d v="1899-12-30T22:49:00"/>
        <d v="1899-12-30T01:44:00"/>
        <d v="1899-12-30T19:39:00"/>
        <d v="1899-12-30T01:33:00"/>
        <d v="1899-12-30T18:37:00"/>
        <d v="1899-12-30T00:25:00"/>
        <d v="1899-12-30T16:11:00"/>
        <d v="1899-12-30T02:59:00"/>
        <d v="1899-12-30T08:31:00"/>
        <d v="1899-12-30T15:18:00"/>
        <d v="1899-12-30T02:07:00"/>
        <d v="1899-12-30T01:46:00"/>
        <d v="1899-12-30T14:36:00"/>
        <d v="1899-12-30T05:18:00"/>
        <d v="1899-12-30T00:05:00"/>
        <d v="1899-12-30T18:01:00"/>
        <d v="1899-12-30T00:00:00"/>
        <d v="1899-12-30T06:45:00"/>
        <d v="1899-12-30T22:35:00"/>
        <d v="1899-12-30T01:35:00"/>
        <d v="1899-12-30T18:12:00"/>
        <d v="1899-12-30T04:58:00"/>
        <d v="1899-12-30T22:39:00"/>
        <d v="1899-12-30T15:03:00"/>
        <d v="1899-12-30T00:33:00"/>
        <d v="1899-12-30T00:44:00"/>
        <d v="1899-12-30T10:44:00"/>
        <d v="1899-12-30T04:10:00"/>
        <d v="1899-12-30T07:24:00"/>
        <d v="1899-12-30T18:53:00"/>
        <d v="1899-12-30T02:02:00"/>
        <d v="1899-12-30T03:22:00"/>
        <d v="1899-12-30T08:34:00"/>
        <d v="1899-12-30T09:27:00"/>
        <d v="1899-12-30T03:28:00"/>
        <d v="1899-12-30T21:50:00"/>
        <d v="1899-12-30T18:03:00"/>
        <d v="1899-12-30T03:51:00"/>
        <d v="1899-12-30T17:55:00"/>
        <d v="1899-12-30T08:49:00"/>
        <d v="1899-12-30T02:46:00"/>
        <d v="1899-12-30T01:17:00"/>
        <d v="1899-12-30T20:22:00"/>
        <d v="1899-12-30T08:37:00"/>
        <d v="1899-12-30T01:00:00"/>
        <d v="1899-12-30T15:07:00"/>
        <d v="1899-12-30T22:48:00"/>
        <d v="1899-12-30T12:35:00"/>
        <d v="1899-12-30T16:57:00"/>
        <d v="1899-12-30T03:33:00"/>
        <d v="1899-12-30T20:59:00"/>
        <d v="1899-12-30T14:26:00"/>
        <d v="1899-12-30T03:06:00"/>
        <d v="1899-12-30T11:33:00"/>
        <d v="1899-12-30T21:38:00"/>
        <d v="1899-12-30T16:41:00"/>
        <d v="1899-12-30T05:44:00"/>
        <d v="1899-12-30T04:15:00"/>
        <d v="1899-12-30T04:53:00"/>
        <d v="1899-12-30T15:27:00"/>
        <d v="1899-12-30T00:16:00"/>
        <d v="1899-12-30T15:13:00"/>
        <d v="1899-12-30T15:31:00"/>
        <d v="1899-12-30T17:53:00"/>
        <d v="1899-12-30T01:29:00"/>
        <d v="1899-12-30T19:23:00"/>
        <d v="1899-12-30T02:32:00"/>
        <d v="1899-12-30T12:31:00"/>
        <d v="1899-12-30T03:29:00"/>
        <d v="1899-12-30T21:23:00"/>
        <d v="1899-12-30T03:04:00"/>
        <d v="1899-12-30T15:12:00"/>
        <d v="1899-12-30T08:08:00"/>
        <d v="1899-12-30T07:56:00"/>
        <d v="1899-12-30T18:28:00"/>
        <d v="1899-12-30T04:14:00"/>
        <d v="1899-12-30T01:23:00"/>
        <d v="1899-12-30T20:35:00"/>
        <d v="1899-12-30T14:09:00"/>
        <d v="1899-12-30T18:54:00"/>
        <d v="1899-12-30T19:42:00"/>
        <d v="1899-12-30T08:47:00"/>
        <d v="1899-12-30T08:03:00"/>
        <d v="1899-12-30T02:42:00"/>
        <d v="1899-12-30T15:38:00"/>
        <d v="1899-12-30T09:29:00"/>
        <d v="1899-12-30T04:32:00"/>
        <d v="1899-12-30T03:43:00"/>
        <d v="1899-12-30T14:02:00"/>
        <d v="1899-12-30T15:04:00"/>
        <d v="1899-12-30T11:13:00"/>
        <d v="1899-12-30T05:29:00"/>
        <d v="1899-12-30T10:27:00"/>
        <d v="1899-12-30T10:53:00"/>
        <d v="1899-12-30T08:14:00"/>
      </sharedItems>
      <fieldGroup par="30"/>
    </cacheField>
    <cacheField name="City" numFmtId="0">
      <sharedItems/>
    </cacheField>
    <cacheField name="Gender" numFmtId="0">
      <sharedItems/>
    </cacheField>
    <cacheField name="Category" numFmtId="0">
      <sharedItems/>
    </cacheField>
    <cacheField name="Brand" numFmtId="0">
      <sharedItems/>
    </cacheField>
    <cacheField name="Occasion" numFmtId="0">
      <sharedItems/>
    </cacheField>
    <cacheField name="Sales_Channel" numFmtId="0">
      <sharedItems/>
    </cacheField>
    <cacheField name="Quantity" numFmtId="0">
      <sharedItems containsMixedTypes="1" containsNumber="1" containsInteger="1" minValue="0" maxValue="5"/>
    </cacheField>
    <cacheField name="Unit_Price" numFmtId="166">
      <sharedItems containsBlank="1" containsMixedTypes="1" containsNumber="1" containsInteger="1" minValue="550" maxValue="124900"/>
    </cacheField>
    <cacheField name="Discount Band" numFmtId="166">
      <sharedItems/>
    </cacheField>
    <cacheField name="Discount_Pct" numFmtId="0">
      <sharedItems containsMixedTypes="1" containsNumber="1" containsInteger="1" minValue="-5" maxValue="55"/>
    </cacheField>
    <cacheField name="Discoutn Validity" numFmtId="0">
      <sharedItems/>
    </cacheField>
    <cacheField name="Discount Match" numFmtId="0">
      <sharedItems/>
    </cacheField>
    <cacheField name="Gross_Sales" numFmtId="166">
      <sharedItems containsSemiMixedTypes="0" containsString="0" containsNumber="1" containsInteger="1" minValue="600" maxValue="364350"/>
    </cacheField>
    <cacheField name="Discount_Amount" numFmtId="166">
      <sharedItems containsSemiMixedTypes="0" containsString="0" containsNumber="1" minValue="0" maxValue="62075"/>
    </cacheField>
    <cacheField name="Net_Sales" numFmtId="166">
      <sharedItems containsSemiMixedTypes="0" containsString="0" containsNumber="1" minValue="455" maxValue="346132.5"/>
    </cacheField>
    <cacheField name="Cost" numFmtId="166">
      <sharedItems containsSemiMixedTypes="0" containsString="0" containsNumber="1" minValue="365.48" maxValue="255491.02"/>
    </cacheField>
    <cacheField name="Profit" numFmtId="166">
      <sharedItems containsSemiMixedTypes="0" containsString="0" containsNumber="1" minValue="-1698.19" maxValue="90641.48"/>
    </cacheField>
    <cacheField name="Losses" numFmtId="166">
      <sharedItems/>
    </cacheField>
    <cacheField name="Loss Amount" numFmtId="166">
      <sharedItems containsSemiMixedTypes="0" containsString="0" containsNumber="1" minValue="0" maxValue="1698.19"/>
    </cacheField>
    <cacheField name="Payment_Method" numFmtId="0">
      <sharedItems/>
    </cacheField>
    <cacheField name="Salesperson" numFmtId="0">
      <sharedItems/>
    </cacheField>
    <cacheField name="Customer_Source" numFmtId="0">
      <sharedItems/>
    </cacheField>
    <cacheField name="Customer_Rating" numFmtId="0">
      <sharedItems containsMixedTypes="1" containsNumber="1" minValue="2.5" maxValue="5"/>
    </cacheField>
    <cacheField name="Month" numFmtId="0">
      <sharedItems count="12">
        <s v="Jul"/>
        <s v="Dec"/>
        <s v="Jun"/>
        <s v="Oct"/>
        <s v="Feb"/>
        <s v="Nov"/>
        <s v="Aug"/>
        <s v="Apr"/>
        <s v="May"/>
        <s v="Mar"/>
        <s v="Jan"/>
        <s v="Sep"/>
      </sharedItems>
    </cacheField>
    <cacheField name="Order_Day" numFmtId="0">
      <sharedItems count="7">
        <s v="Sunday"/>
        <s v="Wednesday"/>
        <s v="Monday"/>
        <s v="Friday"/>
        <s v="Thursday"/>
        <s v="Saturday"/>
        <s v="Tuesday"/>
      </sharedItems>
    </cacheField>
    <cacheField name="Minutes (Time)" numFmtId="0" databaseField="0">
      <fieldGroup base="3">
        <rangePr groupBy="minutes" startDate="1899-12-30T00:00:00" endDate="1899-12-30T22:55: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3">
        <rangePr groupBy="hours" startDate="1899-12-30T00:00:00" endDate="1899-12-30T22:55: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chana Bhoi" refreshedDate="46298.461337499997" createdVersion="8" refreshedVersion="8" minRefreshableVersion="3" recordCount="1001" xr:uid="{3B35F64F-B0F5-4F12-A0F5-270193EB4934}">
  <cacheSource type="worksheet">
    <worksheetSource ref="A1:AC1048576" sheet="Raw_Data"/>
  </cacheSource>
  <cacheFields count="29">
    <cacheField name="Order_ID" numFmtId="0">
      <sharedItems containsBlank="1"/>
    </cacheField>
    <cacheField name="Order_Date" numFmtId="0">
      <sharedItems containsNonDate="0" containsDate="1" containsString="0" containsBlank="1" minDate="2025-01-01T00:00:00" maxDate="2026-01-01T00:00:00"/>
    </cacheField>
    <cacheField name="Time Period" numFmtId="0">
      <sharedItems containsBlank="1" count="7">
        <s v="4 AM - 8 AM"/>
        <s v="12 AM - 4 AM"/>
        <s v="4 PM - 8 PM"/>
        <s v="8 AM - 12 PM"/>
        <s v="8 PM - 12 AM"/>
        <s v="12 PM - 4 PM"/>
        <m/>
      </sharedItems>
    </cacheField>
    <cacheField name="Time" numFmtId="164">
      <sharedItems containsNonDate="0" containsDate="1" containsString="0" containsBlank="1" minDate="1899-12-30T00:00:00" maxDate="1899-12-30T22:55:00"/>
    </cacheField>
    <cacheField name="City" numFmtId="0">
      <sharedItems containsBlank="1" count="10">
        <s v="Cuttack"/>
        <s v="Balasore"/>
        <s v="Bhubaneshwar"/>
        <s v="Sambalpur"/>
        <s v="Berhampur"/>
        <s v="Rourkela"/>
        <s v="Puri"/>
        <s v="Sambalpur "/>
        <m/>
        <s v="Cuttak" u="1"/>
      </sharedItems>
    </cacheField>
    <cacheField name="Gender" numFmtId="0">
      <sharedItems containsBlank="1" count="4">
        <s v="Women"/>
        <s v="Men"/>
        <s v="Kids"/>
        <m/>
      </sharedItems>
    </cacheField>
    <cacheField name="Category" numFmtId="0">
      <sharedItems containsBlank="1" count="20">
        <s v="Salwar Suit"/>
        <s v="Kurti"/>
        <s v="Bridal Lehenga"/>
        <s v="Sherwani"/>
        <s v="Lehenga"/>
        <s v="Kurta Pajama"/>
        <s v="Saree"/>
        <s v="Dupatta"/>
        <s v="Kids Gown"/>
        <s v="Indo-Western"/>
        <s v="Blouse"/>
        <s v="Kids Lehenga"/>
        <s v="Gown"/>
        <s v="Dhoti Set"/>
        <s v="Kids Saree"/>
        <s v="Kids Sherwani"/>
        <s v="Nehru Jacket"/>
        <s v="Kids Kurta"/>
        <s v="Shirt"/>
        <m/>
      </sharedItems>
    </cacheField>
    <cacheField name="Brand" numFmtId="0">
      <sharedItems containsBlank="1" count="9">
        <s v="Manyavar"/>
        <s v="Aurelia"/>
        <s v="Designer Collection"/>
        <s v="Local Artisan"/>
        <s v="Zaree Studio"/>
        <s v="Rangriti"/>
        <s v="Biba"/>
        <s v="FabIndia"/>
        <m/>
      </sharedItems>
    </cacheField>
    <cacheField name="Occasion" numFmtId="0">
      <sharedItems containsBlank="1" count="10">
        <s v="Office"/>
        <s v="Wedding"/>
        <s v="Reception"/>
        <s v="Festive"/>
        <s v="Puja"/>
        <s v="Casual"/>
        <s v="Wedding Guest"/>
        <s v="Family Function"/>
        <s v="Engagement"/>
        <m/>
      </sharedItems>
    </cacheField>
    <cacheField name="Sales_Channel" numFmtId="0">
      <sharedItems containsBlank="1" count="9">
        <s v="Store"/>
        <s v="Instagram"/>
        <s v="WhatsApp"/>
        <s v="Phone"/>
        <s v="Website"/>
        <s v="Walk-in"/>
        <s v="IG"/>
        <s v="Insta"/>
        <m/>
      </sharedItems>
    </cacheField>
    <cacheField name="Quantity" numFmtId="0">
      <sharedItems containsBlank="1" containsMixedTypes="1" containsNumber="1" containsInteger="1" minValue="0" maxValue="5"/>
    </cacheField>
    <cacheField name="Unit_Price" numFmtId="166">
      <sharedItems containsBlank="1" containsMixedTypes="1" containsNumber="1" containsInteger="1" minValue="550" maxValue="124900"/>
    </cacheField>
    <cacheField name="Discount Band" numFmtId="166">
      <sharedItems containsBlank="1" count="7">
        <s v="11-20%"/>
        <s v="1-10%"/>
        <s v="0%"/>
        <s v="21-30%"/>
        <s v="30%+"/>
        <s v="Invalid"/>
        <m/>
      </sharedItems>
    </cacheField>
    <cacheField name="Discount_Pct" numFmtId="0">
      <sharedItems containsBlank="1" containsMixedTypes="1" containsNumber="1" containsInteger="1" minValue="-5" maxValue="55"/>
    </cacheField>
    <cacheField name="Discoutn Validity" numFmtId="0">
      <sharedItems containsBlank="1"/>
    </cacheField>
    <cacheField name="Discount Match" numFmtId="0">
      <sharedItems containsBlank="1"/>
    </cacheField>
    <cacheField name="Gross_Sales" numFmtId="166">
      <sharedItems containsString="0" containsBlank="1" containsNumber="1" containsInteger="1" minValue="600" maxValue="364350"/>
    </cacheField>
    <cacheField name="Discount_Amount" numFmtId="166">
      <sharedItems containsString="0" containsBlank="1" containsNumber="1" minValue="0" maxValue="62075"/>
    </cacheField>
    <cacheField name="Net_Sales" numFmtId="166">
      <sharedItems containsString="0" containsBlank="1" containsNumber="1" minValue="455" maxValue="346132.5"/>
    </cacheField>
    <cacheField name="Cost" numFmtId="166">
      <sharedItems containsString="0" containsBlank="1" containsNumber="1" minValue="365.48" maxValue="255491.02"/>
    </cacheField>
    <cacheField name="Profit" numFmtId="166">
      <sharedItems containsString="0" containsBlank="1" containsNumber="1" minValue="-1698.19" maxValue="90641.48"/>
    </cacheField>
    <cacheField name="Losses" numFmtId="166">
      <sharedItems containsBlank="1"/>
    </cacheField>
    <cacheField name="Loss Amount" numFmtId="166">
      <sharedItems containsString="0" containsBlank="1" containsNumber="1" minValue="0" maxValue="1698.19" count="10">
        <n v="0"/>
        <n v="670.82"/>
        <n v="793.77"/>
        <n v="1573.66"/>
        <n v="451.77"/>
        <n v="160.88"/>
        <n v="1698.19"/>
        <n v="226.02"/>
        <n v="169.1"/>
        <m/>
      </sharedItems>
    </cacheField>
    <cacheField name="Payment_Method" numFmtId="0">
      <sharedItems containsBlank="1" count="6">
        <s v="Net Banking"/>
        <s v="Card"/>
        <s v="UPI"/>
        <s v="COD"/>
        <s v="Cash"/>
        <m/>
      </sharedItems>
    </cacheField>
    <cacheField name="Salesperson" numFmtId="0">
      <sharedItems containsBlank="1"/>
    </cacheField>
    <cacheField name="Customer_Source" numFmtId="0">
      <sharedItems containsBlank="1" count="8">
        <s v="Not Recorded"/>
        <s v="Google"/>
        <s v="Instagram"/>
        <s v="Referral"/>
        <s v="WhatsApp"/>
        <s v="Repeat Customer"/>
        <s v="Walk-in"/>
        <m/>
      </sharedItems>
    </cacheField>
    <cacheField name="Customer_Rating" numFmtId="0">
      <sharedItems containsBlank="1" containsMixedTypes="1" containsNumber="1" minValue="2.5" maxValue="5"/>
    </cacheField>
    <cacheField name="Month" numFmtId="0">
      <sharedItems containsBlank="1"/>
    </cacheField>
    <cacheField name="Order_Day" numFmtId="0">
      <sharedItems containsBlank="1" count="8">
        <s v="Sunday"/>
        <s v="Wednesday"/>
        <s v="Monday"/>
        <s v="Friday"/>
        <s v="Thursday"/>
        <s v="Saturday"/>
        <s v="Tuesday"/>
        <m/>
      </sharedItems>
    </cacheField>
  </cacheFields>
  <extLst>
    <ext xmlns:x14="http://schemas.microsoft.com/office/spreadsheetml/2009/9/main" uri="{725AE2AE-9491-48be-B2B4-4EB974FC3084}">
      <x14:pivotCacheDefinition pivotCacheId="19484792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ZAR-10940"/>
    <d v="2025-07-06T00:00:00"/>
    <s v="4 AM - 8 AM"/>
    <x v="0"/>
    <s v="Cuttack"/>
    <s v="Women"/>
    <s v="Salwar Suit"/>
    <s v="Manyavar"/>
    <s v="Office"/>
    <s v="Store"/>
    <n v="1"/>
    <n v="8550"/>
    <s v="11-20%"/>
    <n v="15"/>
    <s v="Valid"/>
    <s v="Match"/>
    <n v="8550"/>
    <n v="1282.5"/>
    <n v="7267.5"/>
    <n v="5680.28"/>
    <n v="1587.22"/>
    <b v="0"/>
    <n v="0"/>
    <s v="Net Banking"/>
    <s v="Unknown"/>
    <s v="Not Recorded"/>
    <n v="4"/>
    <x v="0"/>
    <x v="0"/>
  </r>
  <r>
    <s v="ZAR-10632"/>
    <d v="2025-12-10T00:00:00"/>
    <s v="12 AM - 4 AM"/>
    <x v="1"/>
    <s v="Balasore"/>
    <s v="Women"/>
    <s v="Kurti"/>
    <s v="Aurelia"/>
    <s v="Office"/>
    <s v="Store"/>
    <n v="1"/>
    <n v="1100"/>
    <s v="11-20%"/>
    <n v="20"/>
    <s v="Valid"/>
    <s v="Match"/>
    <n v="1100"/>
    <n v="220"/>
    <n v="880"/>
    <n v="801"/>
    <n v="79"/>
    <b v="0"/>
    <n v="0"/>
    <s v="Card"/>
    <s v="Ananya"/>
    <s v="Google"/>
    <n v="4"/>
    <x v="1"/>
    <x v="1"/>
  </r>
  <r>
    <s v="ZAR-10684"/>
    <d v="2025-06-30T00:00:00"/>
    <s v="4 PM - 8 PM"/>
    <x v="2"/>
    <s v="Bhubaneshwar"/>
    <s v="Women"/>
    <s v="Bridal Lehenga"/>
    <s v="Designer Collection"/>
    <s v="Wedding"/>
    <s v="Instagram"/>
    <n v="3"/>
    <n v="77200"/>
    <s v="1-10%"/>
    <n v="10"/>
    <s v="Valid"/>
    <s v="Match"/>
    <n v="231600"/>
    <n v="23160"/>
    <n v="208440"/>
    <n v="121253.25"/>
    <n v="87186.75"/>
    <b v="0"/>
    <n v="0"/>
    <s v="UPI"/>
    <s v="Neha"/>
    <s v="Instagram"/>
    <n v="4.5"/>
    <x v="2"/>
    <x v="2"/>
  </r>
  <r>
    <s v="ZAR-10516"/>
    <d v="2025-10-03T00:00:00"/>
    <s v="8 AM - 12 PM"/>
    <x v="3"/>
    <s v="Bhubaneshwar"/>
    <s v="Men"/>
    <s v="Sherwani"/>
    <s v="Local Artisan"/>
    <s v="Reception"/>
    <s v="Instagram"/>
    <n v="3"/>
    <n v="16100"/>
    <s v="1-10%"/>
    <n v="10"/>
    <s v="Valid"/>
    <s v="Match"/>
    <n v="48300"/>
    <n v="4830"/>
    <n v="43470"/>
    <n v="34494.04"/>
    <n v="8975.9599999999991"/>
    <b v="0"/>
    <n v="0"/>
    <s v="COD"/>
    <s v="Ananya"/>
    <s v="Referral"/>
    <n v="4"/>
    <x v="3"/>
    <x v="3"/>
  </r>
  <r>
    <s v="ZAR-10367"/>
    <d v="2025-02-06T00:00:00"/>
    <s v="4 PM - 8 PM"/>
    <x v="4"/>
    <s v="Sambalpur"/>
    <s v="Women"/>
    <s v="Lehenga"/>
    <s v="Zaree Studio"/>
    <s v="Festive"/>
    <s v="WhatsApp"/>
    <n v="2"/>
    <n v="41700"/>
    <s v="0%"/>
    <n v="0"/>
    <s v="Valid"/>
    <s v="Match"/>
    <n v="83400"/>
    <n v="0"/>
    <n v="83400"/>
    <n v="44007.63"/>
    <n v="39392.370000000003"/>
    <b v="0"/>
    <n v="0"/>
    <s v="UPI"/>
    <s v="Karan"/>
    <s v="Google"/>
    <n v="3.5"/>
    <x v="4"/>
    <x v="4"/>
  </r>
  <r>
    <s v="ZAR-10657"/>
    <d v="2025-02-01T00:00:00"/>
    <s v="12 AM - 4 AM"/>
    <x v="5"/>
    <s v="Berhampur"/>
    <s v="Women"/>
    <s v="Lehenga"/>
    <s v="Designer Collection"/>
    <s v="Wedding"/>
    <s v="Instagram"/>
    <n v="2"/>
    <n v="38250"/>
    <s v="21-30%"/>
    <n v="25"/>
    <s v="Valid"/>
    <s v="Match"/>
    <n v="76500"/>
    <n v="19125"/>
    <n v="57375"/>
    <n v="45355.91"/>
    <n v="12019.09"/>
    <b v="0"/>
    <n v="0"/>
    <s v="Card"/>
    <s v="Rohit"/>
    <s v="WhatsApp"/>
    <n v="3"/>
    <x v="4"/>
    <x v="5"/>
  </r>
  <r>
    <s v="ZAR-10658"/>
    <d v="2025-11-16T00:00:00"/>
    <s v="8 PM - 12 AM"/>
    <x v="6"/>
    <s v="Bhubaneshwar"/>
    <s v="Men"/>
    <s v="Kurta Pajama"/>
    <s v="Rangriti"/>
    <s v="Festive"/>
    <s v="Store"/>
    <n v="1"/>
    <n v="3450"/>
    <s v="0%"/>
    <n v="0"/>
    <s v="Valid"/>
    <s v="Match"/>
    <n v="3450"/>
    <n v="0"/>
    <n v="3450"/>
    <n v="2405.46"/>
    <n v="1044.54"/>
    <b v="0"/>
    <n v="0"/>
    <s v="Card"/>
    <s v="Rohit"/>
    <s v="Instagram"/>
    <n v="4.5"/>
    <x v="5"/>
    <x v="0"/>
  </r>
  <r>
    <s v="ZAR-10531"/>
    <d v="2025-07-11T00:00:00"/>
    <s v="12 PM - 4 PM"/>
    <x v="7"/>
    <s v="Rourkela"/>
    <s v="Men"/>
    <s v="Kurta Pajama"/>
    <s v="Designer Collection"/>
    <s v="Wedding"/>
    <s v="Phone"/>
    <n v="1"/>
    <n v="2500"/>
    <s v="0%"/>
    <n v="0"/>
    <s v="Valid"/>
    <s v="Match"/>
    <n v="2500"/>
    <n v="0"/>
    <n v="2500"/>
    <n v="1773.91"/>
    <n v="726.09"/>
    <b v="0"/>
    <n v="0"/>
    <s v="Cash"/>
    <s v="Karan"/>
    <s v="Repeat Customer"/>
    <n v="4"/>
    <x v="0"/>
    <x v="3"/>
  </r>
  <r>
    <s v="ZAR-10323"/>
    <d v="2025-12-18T00:00:00"/>
    <s v="12 AM - 4 AM"/>
    <x v="8"/>
    <s v="Bhubaneshwar"/>
    <s v="Women"/>
    <s v="Salwar Suit"/>
    <s v="Designer Collection"/>
    <s v="Puja"/>
    <s v="Instagram"/>
    <n v="2"/>
    <n v="6150"/>
    <s v="11-20%"/>
    <n v="20"/>
    <s v="Valid"/>
    <s v="Match"/>
    <n v="12300"/>
    <n v="2460"/>
    <n v="9840"/>
    <n v="7024.29"/>
    <n v="2815.71"/>
    <b v="0"/>
    <n v="0"/>
    <s v="Cash"/>
    <s v="Rohit"/>
    <s v="Google"/>
    <n v="4.5"/>
    <x v="1"/>
    <x v="4"/>
  </r>
  <r>
    <s v="ZAR-10072"/>
    <d v="2025-07-15T00:00:00"/>
    <s v="4 PM - 8 PM"/>
    <x v="9"/>
    <s v="Sambalpur"/>
    <s v="Women"/>
    <s v="Saree"/>
    <s v="Rangriti"/>
    <s v="Casual"/>
    <s v="Store"/>
    <n v="2"/>
    <n v="10950"/>
    <s v="11-20%"/>
    <n v="20"/>
    <s v="Valid"/>
    <s v="Match"/>
    <n v="21900"/>
    <n v="4380"/>
    <n v="17520"/>
    <n v="14819.15"/>
    <n v="2700.85"/>
    <b v="0"/>
    <n v="0"/>
    <s v="COD"/>
    <s v="Karan"/>
    <s v="Walk-in"/>
    <s v="Not Rated"/>
    <x v="0"/>
    <x v="6"/>
  </r>
  <r>
    <s v="ZAR-10794"/>
    <d v="2025-08-14T00:00:00"/>
    <s v="12 AM - 4 AM"/>
    <x v="5"/>
    <s v="Sambalpur"/>
    <s v="Women"/>
    <s v="Dupatta"/>
    <s v="Manyavar"/>
    <s v="Office"/>
    <s v="Instagram"/>
    <n v="1"/>
    <n v="2550"/>
    <s v="11-20%"/>
    <n v="20"/>
    <s v="Valid"/>
    <s v="Match"/>
    <n v="2550"/>
    <n v="510"/>
    <n v="2040"/>
    <n v="1473.43"/>
    <n v="566.57000000000005"/>
    <b v="0"/>
    <n v="0"/>
    <s v="Cash"/>
    <s v="Priya"/>
    <s v="Google"/>
    <n v="4"/>
    <x v="6"/>
    <x v="4"/>
  </r>
  <r>
    <s v="ZAR-10373"/>
    <d v="2025-02-19T00:00:00"/>
    <s v="12 PM - 4 PM"/>
    <x v="10"/>
    <s v="Cuttack"/>
    <s v="Women"/>
    <s v="Saree"/>
    <s v="Designer Collection"/>
    <s v="Wedding Guest"/>
    <s v="Website"/>
    <n v="2"/>
    <n v="2300"/>
    <s v="1-10%"/>
    <n v="10"/>
    <s v="Valid"/>
    <s v="Match"/>
    <n v="4600"/>
    <n v="460"/>
    <n v="4140"/>
    <n v="3222.59"/>
    <n v="917.41"/>
    <b v="0"/>
    <n v="0"/>
    <s v="COD"/>
    <s v="Meera"/>
    <s v="Not Recorded"/>
    <n v="3"/>
    <x v="4"/>
    <x v="1"/>
  </r>
  <r>
    <s v="ZAR-10843"/>
    <d v="2025-04-16T00:00:00"/>
    <s v="12 PM - 4 PM"/>
    <x v="11"/>
    <s v="Balasore"/>
    <s v="Kids"/>
    <s v="Kids Gown"/>
    <s v="Local Artisan"/>
    <s v="Casual"/>
    <s v="Store"/>
    <n v="1"/>
    <n v="4750"/>
    <s v="11-20%"/>
    <n v="15"/>
    <s v="Valid"/>
    <s v="Match"/>
    <n v="4750"/>
    <n v="712.5"/>
    <n v="4037.5"/>
    <n v="2494.91"/>
    <n v="1542.59"/>
    <b v="0"/>
    <n v="0"/>
    <s v="COD"/>
    <s v="Meera"/>
    <s v="Walk-in"/>
    <n v="5"/>
    <x v="7"/>
    <x v="1"/>
  </r>
  <r>
    <s v="ZAR-10458"/>
    <d v="2025-12-17T00:00:00"/>
    <s v="8 AM - 12 PM"/>
    <x v="12"/>
    <s v="Berhampur"/>
    <s v="Men"/>
    <s v="Indo-Western"/>
    <s v="Biba"/>
    <s v="Family Function"/>
    <s v="Website"/>
    <n v="1"/>
    <n v="8800"/>
    <s v="1-10%"/>
    <n v="5"/>
    <s v="Valid"/>
    <s v="Match"/>
    <n v="8800"/>
    <n v="440"/>
    <n v="8360"/>
    <n v="5713.71"/>
    <n v="2646.29"/>
    <b v="0"/>
    <n v="0"/>
    <s v="Net Banking"/>
    <s v="Sanjay"/>
    <s v="WhatsApp"/>
    <n v="3.5"/>
    <x v="1"/>
    <x v="1"/>
  </r>
  <r>
    <s v="ZAR-10249"/>
    <d v="2025-10-03T00:00:00"/>
    <s v="4 PM - 8 PM"/>
    <x v="13"/>
    <s v="Balasore"/>
    <s v="Women"/>
    <s v="Bridal Lehenga"/>
    <s v="Local Artisan"/>
    <s v="Reception"/>
    <s v="Walk-in"/>
    <n v="1"/>
    <n v="49700"/>
    <s v="1-10%"/>
    <n v="5"/>
    <s v="Valid"/>
    <s v="Match"/>
    <n v="49700"/>
    <n v="2485"/>
    <n v="47215"/>
    <n v="27674.29"/>
    <n v="19540.71"/>
    <b v="0"/>
    <n v="0"/>
    <s v="UPI"/>
    <s v="Rohit"/>
    <s v="Repeat Customer"/>
    <n v="5"/>
    <x v="3"/>
    <x v="3"/>
  </r>
  <r>
    <s v="ZAR-10613"/>
    <d v="2025-08-12T00:00:00"/>
    <s v="8 AM - 12 PM"/>
    <x v="14"/>
    <s v="Balasore"/>
    <s v="Kids"/>
    <s v="Kids Gown"/>
    <s v="Manyavar"/>
    <s v="Casual"/>
    <s v="Instagram"/>
    <n v="2"/>
    <n v="3000"/>
    <s v="1-10%"/>
    <n v="5"/>
    <s v="Valid"/>
    <s v="Match"/>
    <n v="6000"/>
    <n v="300"/>
    <n v="5700"/>
    <n v="4394.58"/>
    <n v="1305.42"/>
    <b v="0"/>
    <n v="0"/>
    <s v="Cash"/>
    <s v="Karan"/>
    <s v="WhatsApp"/>
    <n v="3"/>
    <x v="6"/>
    <x v="6"/>
  </r>
  <r>
    <s v="ZAR-10707"/>
    <d v="2025-12-02T00:00:00"/>
    <s v="12 PM - 4 PM"/>
    <x v="15"/>
    <s v="Puri"/>
    <s v="Women"/>
    <s v="Kurti"/>
    <s v="Zaree Studio"/>
    <s v="Wedding Guest"/>
    <s v="WhatsApp"/>
    <n v="2"/>
    <n v="850"/>
    <s v="21-30%"/>
    <n v="30"/>
    <s v="Valid"/>
    <s v="Match"/>
    <n v="1700"/>
    <n v="510"/>
    <n v="1190"/>
    <n v="1177.24"/>
    <n v="12.76"/>
    <b v="0"/>
    <n v="0"/>
    <s v="UPI"/>
    <s v="Karan"/>
    <s v="Repeat Customer"/>
    <n v="4"/>
    <x v="1"/>
    <x v="6"/>
  </r>
  <r>
    <s v="ZAR-10984"/>
    <d v="2025-05-06T00:00:00"/>
    <s v="12 PM - 4 PM"/>
    <x v="16"/>
    <s v="Balasore"/>
    <s v="Women"/>
    <s v="Blouse"/>
    <s v="Manyavar"/>
    <s v="Puja"/>
    <s v="Store"/>
    <n v="2"/>
    <n v="1050"/>
    <s v="0%"/>
    <n v="0"/>
    <s v="Valid"/>
    <s v="Match"/>
    <n v="2100"/>
    <n v="0"/>
    <n v="2100"/>
    <n v="1397.86"/>
    <n v="702.14"/>
    <b v="0"/>
    <n v="0"/>
    <s v="Net Banking"/>
    <s v="Sanjay"/>
    <s v="Repeat Customer"/>
    <n v="4"/>
    <x v="8"/>
    <x v="6"/>
  </r>
  <r>
    <s v="ZAR-10300"/>
    <d v="2025-11-03T00:00:00"/>
    <s v="4 PM - 8 PM"/>
    <x v="17"/>
    <s v="Bhubaneshwar"/>
    <s v="Women"/>
    <s v="Saree"/>
    <s v="FabIndia"/>
    <s v="Office"/>
    <s v="Store"/>
    <n v="1"/>
    <n v="19850"/>
    <s v="11-20%"/>
    <n v="15"/>
    <s v="Valid"/>
    <s v="Match"/>
    <n v="19850"/>
    <n v="2977.5"/>
    <n v="16872.5"/>
    <n v="11524.34"/>
    <n v="5348.16"/>
    <b v="0"/>
    <n v="0"/>
    <s v="Net Banking"/>
    <s v="Ananya"/>
    <s v="WhatsApp"/>
    <n v="4.5"/>
    <x v="5"/>
    <x v="2"/>
  </r>
  <r>
    <s v="ZAR-10103"/>
    <d v="2025-11-10T00:00:00"/>
    <s v="8 AM - 12 PM"/>
    <x v="18"/>
    <s v="Rourkela"/>
    <s v="Kids"/>
    <s v="Kids Lehenga"/>
    <s v="Manyavar"/>
    <s v="Festive"/>
    <s v="Store"/>
    <n v="1"/>
    <n v="5000"/>
    <s v="11-20%"/>
    <n v="15"/>
    <s v="Valid"/>
    <s v="Match"/>
    <n v="5000"/>
    <n v="750"/>
    <n v="4250"/>
    <n v="2836.03"/>
    <n v="1413.97"/>
    <b v="0"/>
    <n v="0"/>
    <s v="Net Banking"/>
    <s v="Ananya"/>
    <s v="WhatsApp"/>
    <n v="4"/>
    <x v="5"/>
    <x v="2"/>
  </r>
  <r>
    <s v="ZAR-10965"/>
    <d v="2025-08-31T00:00:00"/>
    <s v="4 PM - 8 PM"/>
    <x v="19"/>
    <s v="Berhampur"/>
    <s v="Women"/>
    <s v="Salwar Suit"/>
    <s v="Aurelia"/>
    <s v="Festive"/>
    <s v="Store"/>
    <n v="1"/>
    <n v="2800"/>
    <s v="11-20%"/>
    <n v="15"/>
    <s v="Valid"/>
    <s v="Match"/>
    <n v="2800"/>
    <n v="420"/>
    <n v="2380"/>
    <n v="1929.74"/>
    <n v="450.26"/>
    <b v="0"/>
    <n v="0"/>
    <s v="Cash"/>
    <s v="Meera"/>
    <s v="Google"/>
    <n v="4"/>
    <x v="6"/>
    <x v="0"/>
  </r>
  <r>
    <s v="ZAR-10607"/>
    <d v="2025-05-27T00:00:00"/>
    <s v="12 PM - 4 PM"/>
    <x v="20"/>
    <s v="Puri"/>
    <s v="Men"/>
    <s v="Kurta Pajama"/>
    <s v="FabIndia"/>
    <s v="Family Function"/>
    <s v="Instagram"/>
    <n v="4"/>
    <n v="7600"/>
    <s v="11-20%"/>
    <n v="15"/>
    <s v="Valid"/>
    <s v="Match"/>
    <n v="30400"/>
    <n v="4560"/>
    <n v="25840"/>
    <n v="16072.8"/>
    <n v="9767.2000000000007"/>
    <b v="0"/>
    <n v="0"/>
    <s v="Cash"/>
    <s v="Ananya"/>
    <s v="WhatsApp"/>
    <n v="4"/>
    <x v="8"/>
    <x v="6"/>
  </r>
  <r>
    <s v="ZAR-10215"/>
    <d v="2025-07-12T00:00:00"/>
    <s v="8 AM - 12 PM"/>
    <x v="21"/>
    <s v="Sambalpur"/>
    <s v="Women"/>
    <s v="Salwar Suit"/>
    <s v="Local Artisan"/>
    <s v="Puja"/>
    <s v="Store"/>
    <n v="2"/>
    <n v="6950"/>
    <s v="1-10%"/>
    <n v="10"/>
    <s v="Valid"/>
    <s v="Match"/>
    <n v="13900"/>
    <n v="1390"/>
    <n v="12510"/>
    <n v="8524"/>
    <n v="3986"/>
    <b v="0"/>
    <n v="0"/>
    <s v="COD"/>
    <s v="Ananya"/>
    <s v="Instagram"/>
    <n v="4.5"/>
    <x v="0"/>
    <x v="5"/>
  </r>
  <r>
    <s v="ZAR-10239"/>
    <d v="2025-05-08T00:00:00"/>
    <s v="8 AM - 12 PM"/>
    <x v="22"/>
    <s v="Sambalpur"/>
    <s v="Women"/>
    <s v="Gown"/>
    <s v="Local Artisan"/>
    <s v="Festive"/>
    <s v="Phone"/>
    <n v="1"/>
    <n v="8800"/>
    <s v="11-20%"/>
    <n v="20"/>
    <s v="Valid"/>
    <s v="Match"/>
    <n v="8800"/>
    <n v="1760"/>
    <n v="7040"/>
    <n v="6349.2"/>
    <n v="690.8"/>
    <b v="0"/>
    <n v="0"/>
    <s v="COD"/>
    <s v="Karan"/>
    <s v="WhatsApp"/>
    <n v="3.5"/>
    <x v="8"/>
    <x v="4"/>
  </r>
  <r>
    <s v="ZAR-10595"/>
    <d v="2025-02-14T00:00:00"/>
    <s v="4 AM - 8 AM"/>
    <x v="23"/>
    <s v="Bhubaneshwar"/>
    <s v="Men"/>
    <s v="Dhoti Set"/>
    <s v="Manyavar"/>
    <s v="Wedding"/>
    <s v="Store"/>
    <n v="2"/>
    <n v="4800"/>
    <s v="21-30%"/>
    <n v="25"/>
    <s v="Valid"/>
    <s v="Match"/>
    <n v="9600"/>
    <n v="2400"/>
    <n v="7200"/>
    <n v="5455.23"/>
    <n v="1744.77"/>
    <b v="0"/>
    <n v="0"/>
    <s v="UPI"/>
    <s v="Ananya"/>
    <s v="Referral"/>
    <n v="4.5"/>
    <x v="4"/>
    <x v="3"/>
  </r>
  <r>
    <s v="ZAR-10283"/>
    <d v="2025-02-20T00:00:00"/>
    <s v="8 PM - 12 AM"/>
    <x v="24"/>
    <s v="Bhubaneshwar"/>
    <s v="Women"/>
    <s v="Blouse"/>
    <s v="Designer Collection"/>
    <s v="Reception"/>
    <s v="Store"/>
    <n v="2"/>
    <n v="2750"/>
    <s v="11-20%"/>
    <n v="20"/>
    <s v="Valid"/>
    <s v="Match"/>
    <n v="5500"/>
    <n v="1100"/>
    <n v="4400"/>
    <n v="2917.73"/>
    <n v="1482.27"/>
    <b v="0"/>
    <n v="0"/>
    <s v="Cash"/>
    <s v="Priya"/>
    <s v="Referral"/>
    <n v="3"/>
    <x v="4"/>
    <x v="4"/>
  </r>
  <r>
    <s v="ZAR-10379"/>
    <d v="2025-05-01T00:00:00"/>
    <s v="12 PM - 4 PM"/>
    <x v="25"/>
    <s v="Berhampur"/>
    <s v="Women"/>
    <s v="Bridal Lehenga"/>
    <s v="Rangriti"/>
    <s v="Engagement"/>
    <s v="Store"/>
    <n v="1"/>
    <n v="116950"/>
    <s v="11-20%"/>
    <n v="20"/>
    <s v="Valid"/>
    <s v="Match"/>
    <n v="116950"/>
    <n v="23390"/>
    <n v="93560"/>
    <n v="63800.24"/>
    <n v="29759.759999999998"/>
    <b v="0"/>
    <n v="0"/>
    <s v="Cash"/>
    <s v="Rohit"/>
    <s v="Instagram"/>
    <n v="3.5"/>
    <x v="8"/>
    <x v="4"/>
  </r>
  <r>
    <s v=" ZAR-10288 "/>
    <d v="2025-03-06T00:00:00"/>
    <s v="4 AM - 8 AM"/>
    <x v="26"/>
    <s v="Puri"/>
    <s v="Men"/>
    <s v="Indo-Western"/>
    <s v="Designer Collection"/>
    <s v="Wedding"/>
    <s v="Store"/>
    <n v="1"/>
    <n v="8350"/>
    <s v="1-10%"/>
    <n v="10"/>
    <s v="Valid"/>
    <s v="Match"/>
    <n v="8350"/>
    <n v="835"/>
    <n v="7515"/>
    <n v="5156.09"/>
    <n v="2358.91"/>
    <b v="0"/>
    <n v="0"/>
    <s v="Net Banking"/>
    <s v="Meera"/>
    <s v="Repeat Customer"/>
    <n v="4"/>
    <x v="9"/>
    <x v="4"/>
  </r>
  <r>
    <s v="ZAR-10390"/>
    <d v="2025-12-23T00:00:00"/>
    <s v="4 AM - 8 AM"/>
    <x v="27"/>
    <s v="Cuttack"/>
    <s v="Kids"/>
    <s v="Kids Saree"/>
    <s v="Local Artisan"/>
    <s v="Festive"/>
    <s v="Website"/>
    <n v="1"/>
    <n v="3400"/>
    <s v="1-10%"/>
    <n v="5"/>
    <s v="Valid"/>
    <s v="Match"/>
    <n v="3400"/>
    <n v="170"/>
    <n v="3230"/>
    <n v="1974.41"/>
    <n v="1255.5899999999999"/>
    <b v="0"/>
    <n v="0"/>
    <s v="COD"/>
    <s v="Rohit"/>
    <s v="Google"/>
    <n v="4"/>
    <x v="1"/>
    <x v="6"/>
  </r>
  <r>
    <s v="ZAR-10887"/>
    <d v="2025-04-23T00:00:00"/>
    <s v="4 PM - 8 PM"/>
    <x v="28"/>
    <s v="Balasore"/>
    <s v="Women"/>
    <s v="Gown"/>
    <s v="Designer Collection"/>
    <s v="Wedding Guest"/>
    <s v="Store"/>
    <n v="1"/>
    <n v="9350"/>
    <s v="21-30%"/>
    <n v="25"/>
    <s v="Valid"/>
    <s v="Match"/>
    <n v="9350"/>
    <n v="2337.5"/>
    <n v="7012.5"/>
    <n v="6547.43"/>
    <n v="465.07"/>
    <b v="0"/>
    <n v="0"/>
    <s v="Card"/>
    <s v="Meera"/>
    <s v="WhatsApp"/>
    <n v="3.5"/>
    <x v="7"/>
    <x v="1"/>
  </r>
  <r>
    <s v="ZAR-10720"/>
    <d v="2025-08-31T00:00:00"/>
    <s v="8 AM - 12 PM"/>
    <x v="29"/>
    <s v="Puri"/>
    <s v="Women"/>
    <s v="Lehenga"/>
    <s v="Biba"/>
    <s v="Reception"/>
    <s v="Store"/>
    <n v="1"/>
    <n v="16150"/>
    <s v="21-30%"/>
    <n v="30"/>
    <s v="Valid"/>
    <s v="Match"/>
    <n v="16150"/>
    <n v="4845"/>
    <n v="11305"/>
    <n v="9767.7900000000009"/>
    <n v="1537.21"/>
    <b v="0"/>
    <n v="0"/>
    <s v="Card"/>
    <s v="Meera"/>
    <s v="Google"/>
    <n v="3.5"/>
    <x v="6"/>
    <x v="0"/>
  </r>
  <r>
    <s v="ZAR-10837"/>
    <d v="2025-02-23T00:00:00"/>
    <s v="8 PM - 12 AM"/>
    <x v="30"/>
    <s v="Bhubaneshwar"/>
    <s v="Women"/>
    <s v="Saree"/>
    <s v="Rangriti"/>
    <s v="Casual"/>
    <s v="Store"/>
    <n v="1"/>
    <n v="25850"/>
    <s v="0%"/>
    <n v="0"/>
    <s v="Valid"/>
    <s v="Match"/>
    <n v="25850"/>
    <n v="0"/>
    <n v="25850"/>
    <n v="14258.01"/>
    <n v="11591.99"/>
    <b v="0"/>
    <n v="0"/>
    <s v="Card"/>
    <s v="Meera"/>
    <s v="WhatsApp"/>
    <n v="4.5"/>
    <x v="4"/>
    <x v="0"/>
  </r>
  <r>
    <s v="ZAR-10098"/>
    <d v="2025-02-07T00:00:00"/>
    <s v="12 AM - 4 AM"/>
    <x v="31"/>
    <s v="Balasore"/>
    <s v="Kids"/>
    <s v="Kids Sherwani"/>
    <s v="Designer Collection"/>
    <s v="Engagement"/>
    <s v="Walk-in"/>
    <n v="1"/>
    <n v="3800"/>
    <s v="21-30%"/>
    <n v="25"/>
    <s v="Valid"/>
    <s v="Match"/>
    <n v="3800"/>
    <n v="950"/>
    <n v="2850"/>
    <n v="2135.7600000000002"/>
    <n v="714.24"/>
    <b v="0"/>
    <n v="0"/>
    <s v="Net Banking"/>
    <s v="Priya"/>
    <s v="Walk-in"/>
    <n v="4"/>
    <x v="0"/>
    <x v="1"/>
  </r>
  <r>
    <s v="ZAR-10246"/>
    <d v="2025-12-29T00:00:00"/>
    <s v="8 AM - 12 PM"/>
    <x v="32"/>
    <s v="Cuttack"/>
    <s v="Women"/>
    <s v="Salwar Suit"/>
    <s v="Local Artisan"/>
    <s v="Puja"/>
    <s v="Phone"/>
    <n v="2"/>
    <n v="5350"/>
    <s v="1-10%"/>
    <n v="10"/>
    <s v="Valid"/>
    <s v="Match"/>
    <n v="10700"/>
    <n v="1070"/>
    <n v="9630"/>
    <n v="5735.56"/>
    <n v="3894.44"/>
    <b v="0"/>
    <n v="0"/>
    <s v="COD"/>
    <s v="Neha"/>
    <s v="Google"/>
    <n v="3.5"/>
    <x v="1"/>
    <x v="2"/>
  </r>
  <r>
    <s v="ZAR-10738"/>
    <d v="2025-07-08T00:00:00"/>
    <s v="8 AM - 12 PM"/>
    <x v="33"/>
    <s v="Berhampur"/>
    <s v="Men"/>
    <s v="Dhoti Set"/>
    <s v="Aurelia"/>
    <s v="Family Function"/>
    <s v="Website"/>
    <n v="3"/>
    <n v="1950"/>
    <s v="1-10%"/>
    <n v="5"/>
    <s v="Valid"/>
    <s v="Match"/>
    <n v="5850"/>
    <n v="292.5"/>
    <n v="5557.5"/>
    <n v="4030.22"/>
    <n v="1527.28"/>
    <b v="0"/>
    <n v="0"/>
    <s v="Card"/>
    <s v="Sanjay"/>
    <s v="Walk-in"/>
    <n v="3"/>
    <x v="0"/>
    <x v="6"/>
  </r>
  <r>
    <s v="ZAR-10078"/>
    <d v="2025-08-09T00:00:00"/>
    <s v="12 AM - 4 AM"/>
    <x v="34"/>
    <s v="Balasore"/>
    <s v="Women"/>
    <s v="Blouse"/>
    <s v="Zaree Studio"/>
    <s v="Reception"/>
    <s v="Instagram"/>
    <n v="1"/>
    <n v="3450"/>
    <s v="11-20%"/>
    <n v="20"/>
    <s v="Valid"/>
    <s v="Match"/>
    <n v="3450"/>
    <n v="690"/>
    <n v="2760"/>
    <n v="1880.39"/>
    <n v="879.61"/>
    <b v="0"/>
    <n v="0"/>
    <s v="Card"/>
    <s v="Sanjay"/>
    <s v="Not Recorded"/>
    <n v="4"/>
    <x v="6"/>
    <x v="5"/>
  </r>
  <r>
    <s v="ZAR-10901"/>
    <d v="2025-07-11T00:00:00"/>
    <s v="12 PM - 4 PM"/>
    <x v="35"/>
    <s v="Berhampur"/>
    <s v="Women"/>
    <s v="Gown"/>
    <s v="Local Artisan"/>
    <s v="Festive"/>
    <s v="Website"/>
    <n v="1"/>
    <n v="12250"/>
    <s v="21-30%"/>
    <n v="25"/>
    <s v="Valid"/>
    <s v="Match"/>
    <n v="12250"/>
    <n v="3062.5"/>
    <n v="9187.5"/>
    <n v="8327.9"/>
    <n v="859.6"/>
    <b v="0"/>
    <n v="0"/>
    <s v="Card"/>
    <s v="Rohit"/>
    <s v="Not Recorded"/>
    <n v="4"/>
    <x v="0"/>
    <x v="3"/>
  </r>
  <r>
    <s v="ZAR-10211"/>
    <d v="2025-08-15T00:00:00"/>
    <s v="4 AM - 8 AM"/>
    <x v="36"/>
    <s v="Puri"/>
    <s v="Men"/>
    <s v="Nehru Jacket"/>
    <s v="Manyavar"/>
    <s v="Wedding"/>
    <s v="Store"/>
    <n v="1"/>
    <n v="3350"/>
    <s v="21-30%"/>
    <n v="25"/>
    <s v="Valid"/>
    <s v="Match"/>
    <n v="3350"/>
    <n v="837.5"/>
    <n v="2512.5"/>
    <n v="1807.8"/>
    <n v="704.7"/>
    <b v="0"/>
    <n v="0"/>
    <s v="UPI"/>
    <s v="Unknown"/>
    <s v="WhatsApp"/>
    <n v="3"/>
    <x v="6"/>
    <x v="3"/>
  </r>
  <r>
    <s v="ZAR-10261"/>
    <d v="2025-11-21T00:00:00"/>
    <s v="8 AM - 12 PM"/>
    <x v="37"/>
    <s v="Balasore"/>
    <s v="Kids"/>
    <s v="Kids Lehenga"/>
    <s v="FabIndia"/>
    <s v="Casual"/>
    <s v="Store"/>
    <n v="1"/>
    <n v="11800"/>
    <s v="21-30%"/>
    <n v="25"/>
    <s v="Valid"/>
    <s v="Match"/>
    <n v="11800"/>
    <n v="2950"/>
    <n v="8850"/>
    <n v="8650.07"/>
    <n v="199.93"/>
    <b v="0"/>
    <n v="0"/>
    <s v="COD"/>
    <s v="Karan"/>
    <s v="Instagram"/>
    <n v="4"/>
    <x v="5"/>
    <x v="3"/>
  </r>
  <r>
    <s v="ZAR-10160"/>
    <d v="2025-04-16T00:00:00"/>
    <s v="8 AM - 12 PM"/>
    <x v="38"/>
    <s v="Balasore"/>
    <s v="Men"/>
    <s v="Kurta Pajama"/>
    <s v="Manyavar"/>
    <s v="Festive"/>
    <s v="Website"/>
    <n v="1"/>
    <n v="4400"/>
    <s v="0%"/>
    <n v="0"/>
    <s v="Valid"/>
    <s v="Match"/>
    <n v="4400"/>
    <n v="0"/>
    <n v="4400"/>
    <n v="2970.18"/>
    <n v="1429.82"/>
    <b v="0"/>
    <n v="0"/>
    <s v="Cash"/>
    <s v="Priya"/>
    <s v="Walk-in"/>
    <n v="4.5"/>
    <x v="7"/>
    <x v="1"/>
  </r>
  <r>
    <s v="ZAR-10497"/>
    <d v="2025-11-24T00:00:00"/>
    <s v="4 AM - 8 AM"/>
    <x v="39"/>
    <s v="Bhubaneshwar"/>
    <s v="Men"/>
    <s v="Dhoti Set"/>
    <s v="FabIndia"/>
    <s v="Family Function"/>
    <s v="Store"/>
    <n v="1"/>
    <n v="6250"/>
    <s v="1-10%"/>
    <n v="5"/>
    <s v="Valid"/>
    <s v="Match"/>
    <n v="6250"/>
    <n v="312.5"/>
    <n v="5937.5"/>
    <n v="4592.7"/>
    <n v="1344.8"/>
    <b v="0"/>
    <n v="0"/>
    <s v="COD"/>
    <s v="Neha"/>
    <s v="Referral"/>
    <n v="4.5"/>
    <x v="5"/>
    <x v="2"/>
  </r>
  <r>
    <s v="ZAR-10528"/>
    <d v="2025-04-15T00:00:00"/>
    <s v="4 AM - 8 AM"/>
    <x v="40"/>
    <s v="Bhubaneshwar"/>
    <s v="Kids"/>
    <s v="Kids Kurta"/>
    <s v="Manyavar"/>
    <s v="Casual"/>
    <s v="Store"/>
    <n v="2"/>
    <n v="950"/>
    <s v="21-30%"/>
    <n v="30"/>
    <s v="Valid"/>
    <s v="Match"/>
    <n v="1900"/>
    <n v="570"/>
    <n v="1330"/>
    <n v="1320.41"/>
    <n v="9.59"/>
    <b v="0"/>
    <n v="0"/>
    <s v="COD"/>
    <s v="Rohit"/>
    <s v="Referral"/>
    <n v="4"/>
    <x v="7"/>
    <x v="6"/>
  </r>
  <r>
    <s v="ZAR-10333"/>
    <d v="2025-10-09T00:00:00"/>
    <s v="12 AM - 4 AM"/>
    <x v="41"/>
    <s v="Rourkela"/>
    <s v="Women"/>
    <s v="Bridal Lehenga"/>
    <s v="Local Artisan"/>
    <s v="Engagement"/>
    <s v="Store"/>
    <n v="2"/>
    <n v="27950"/>
    <s v="1-10%"/>
    <n v="5"/>
    <s v="Valid"/>
    <s v="Match"/>
    <n v="55900"/>
    <n v="2795"/>
    <n v="53105"/>
    <n v="38395.32"/>
    <n v="14709.68"/>
    <b v="0"/>
    <n v="0"/>
    <s v="COD"/>
    <s v="Rohit"/>
    <s v="WhatsApp"/>
    <n v="4"/>
    <x v="3"/>
    <x v="4"/>
  </r>
  <r>
    <s v="ZAR-10956"/>
    <d v="2025-02-10T00:00:00"/>
    <s v="4 AM - 8 AM"/>
    <x v="42"/>
    <s v="Sambalpur"/>
    <s v="Kids"/>
    <s v="Kids Saree"/>
    <s v="Biba"/>
    <s v="Festive"/>
    <s v="Store"/>
    <n v="1"/>
    <n v="1750"/>
    <s v="11-20%"/>
    <n v="20"/>
    <s v="Valid"/>
    <s v="Match"/>
    <n v="1750"/>
    <n v="350"/>
    <n v="1400"/>
    <n v="991.74"/>
    <n v="408.26"/>
    <b v="0"/>
    <n v="0"/>
    <s v="COD"/>
    <s v="Karan"/>
    <s v="Referral"/>
    <n v="5"/>
    <x v="4"/>
    <x v="2"/>
  </r>
  <r>
    <s v="ZAR-10316"/>
    <d v="2025-10-07T00:00:00"/>
    <s v="4 PM - 8 PM"/>
    <x v="43"/>
    <s v="Sambalpur"/>
    <s v="Women"/>
    <s v="Blouse"/>
    <s v="Zaree Studio"/>
    <s v="Festive"/>
    <s v="Store"/>
    <n v="1"/>
    <n v="1050"/>
    <s v="11-20%"/>
    <n v="20"/>
    <s v="Valid"/>
    <s v="Match"/>
    <n v="1050"/>
    <n v="210"/>
    <n v="840"/>
    <n v="594.94000000000005"/>
    <n v="245.06"/>
    <b v="0"/>
    <n v="0"/>
    <s v="Net Banking"/>
    <s v="Neha"/>
    <s v="WhatsApp"/>
    <s v="Not Rated"/>
    <x v="3"/>
    <x v="6"/>
  </r>
  <r>
    <s v="ZAR-10296"/>
    <d v="2025-06-09T00:00:00"/>
    <s v="8 AM - 12 PM"/>
    <x v="44"/>
    <s v="Balasore"/>
    <s v="Men"/>
    <s v="Dhoti Set"/>
    <s v="Designer Collection"/>
    <s v="Festive"/>
    <s v="WhatsApp"/>
    <n v="1"/>
    <n v="5250"/>
    <s v="11-20%"/>
    <n v="15"/>
    <s v="Valid"/>
    <s v="Match"/>
    <n v="5250"/>
    <n v="787.5"/>
    <n v="4462.5"/>
    <n v="3517.07"/>
    <n v="945.43"/>
    <b v="0"/>
    <n v="0"/>
    <s v="Cash"/>
    <s v="Rohit"/>
    <s v="Referral"/>
    <n v="4"/>
    <x v="2"/>
    <x v="2"/>
  </r>
  <r>
    <s v="ZAR-10383"/>
    <d v="2025-01-03T00:00:00"/>
    <s v="12 PM - 4 PM"/>
    <x v="45"/>
    <s v="Bhubaneshwar"/>
    <s v="Women"/>
    <s v="Kurti"/>
    <s v="Local Artisan"/>
    <s v="Puja"/>
    <s v="Phone"/>
    <n v="2"/>
    <n v="4100"/>
    <s v="1-10%"/>
    <n v="5"/>
    <s v="Valid"/>
    <s v="Match"/>
    <n v="8200"/>
    <n v="410"/>
    <n v="7790"/>
    <n v="5912.41"/>
    <n v="1877.59"/>
    <b v="0"/>
    <n v="0"/>
    <s v="COD"/>
    <s v="Sanjay"/>
    <s v="Google"/>
    <n v="3"/>
    <x v="10"/>
    <x v="3"/>
  </r>
  <r>
    <s v="ZAR-10924"/>
    <d v="2025-01-09T00:00:00"/>
    <s v="4 AM - 8 AM"/>
    <x v="46"/>
    <s v="Rourkela"/>
    <s v="Men"/>
    <s v="Shirt"/>
    <s v="Aurelia"/>
    <s v="Family Function"/>
    <s v="Store"/>
    <n v="2"/>
    <n v="1250"/>
    <s v="11-20%"/>
    <n v="15"/>
    <s v="Valid"/>
    <s v="Match"/>
    <n v="2500"/>
    <n v="375"/>
    <n v="2125"/>
    <n v="1434.47"/>
    <n v="690.53"/>
    <b v="0"/>
    <n v="0"/>
    <s v="Net Banking"/>
    <s v="Rohit"/>
    <s v="Google"/>
    <n v="4"/>
    <x v="10"/>
    <x v="4"/>
  </r>
  <r>
    <s v="ZAR-10983"/>
    <d v="2025-09-25T00:00:00"/>
    <s v="12 AM - 4 AM"/>
    <x v="47"/>
    <s v="Cuttack"/>
    <s v="Women"/>
    <s v="Saree"/>
    <s v="FabIndia"/>
    <s v="Puja"/>
    <s v="Website"/>
    <n v="2"/>
    <n v="21750"/>
    <s v="11-20%"/>
    <n v="15"/>
    <s v="Valid"/>
    <s v="Match"/>
    <n v="43500"/>
    <n v="6525"/>
    <n v="36975"/>
    <n v="25368.35"/>
    <n v="11606.65"/>
    <b v="0"/>
    <n v="0"/>
    <s v="Net Banking"/>
    <s v="Sanjay"/>
    <s v="Instagram"/>
    <n v="3"/>
    <x v="11"/>
    <x v="4"/>
  </r>
  <r>
    <s v="ZAR-10879"/>
    <d v="2025-08-05T00:00:00"/>
    <s v="8 AM - 12 PM"/>
    <x v="48"/>
    <s v="Sambalpur "/>
    <s v="Men"/>
    <s v="Kurta Pajama"/>
    <s v="Designer Collection"/>
    <s v="Festive"/>
    <s v="Store"/>
    <n v="1"/>
    <n v="2150"/>
    <s v="21-30%"/>
    <n v="25"/>
    <s v="Valid"/>
    <s v="Match"/>
    <n v="2150"/>
    <n v="537.5"/>
    <n v="1612.5"/>
    <n v="1208.24"/>
    <n v="404.26"/>
    <b v="0"/>
    <n v="0"/>
    <s v="Card"/>
    <s v="Ananya"/>
    <s v="WhatsApp"/>
    <n v="3.5"/>
    <x v="6"/>
    <x v="6"/>
  </r>
  <r>
    <s v="ZAR-10623"/>
    <d v="2025-08-21T00:00:00"/>
    <s v="8 PM - 12 AM"/>
    <x v="49"/>
    <s v="Puri"/>
    <s v="Women"/>
    <s v="Lehenga"/>
    <s v="Local Artisan"/>
    <s v="Reception"/>
    <s v="Store"/>
    <n v="1"/>
    <n v="28750"/>
    <s v="30%+"/>
    <n v="55"/>
    <s v="Valid"/>
    <s v="Mismatch"/>
    <n v="28750"/>
    <n v="7187.5"/>
    <n v="21562.5"/>
    <n v="15775.72"/>
    <n v="5786.78"/>
    <b v="0"/>
    <n v="0"/>
    <s v="Cash"/>
    <s v="Karan"/>
    <s v="Instagram"/>
    <n v="3"/>
    <x v="6"/>
    <x v="4"/>
  </r>
  <r>
    <s v="ZAR-10937"/>
    <d v="2025-05-14T00:00:00"/>
    <s v="4 AM - 8 AM"/>
    <x v="50"/>
    <s v="Puri"/>
    <s v="Women"/>
    <s v="Lehenga"/>
    <s v="Biba"/>
    <s v="Reception"/>
    <s v="Instagram"/>
    <n v="1"/>
    <n v="38600"/>
    <s v="0%"/>
    <n v="0"/>
    <s v="Valid"/>
    <s v="Match"/>
    <n v="38600"/>
    <n v="0"/>
    <n v="38600"/>
    <n v="23998.16"/>
    <n v="14601.84"/>
    <b v="0"/>
    <n v="0"/>
    <s v="UPI"/>
    <s v="Sanjay"/>
    <s v="Referral"/>
    <n v="5"/>
    <x v="8"/>
    <x v="1"/>
  </r>
  <r>
    <s v="ZAR-10061"/>
    <d v="2025-10-22T00:00:00"/>
    <s v="8 AM - 12 PM"/>
    <x v="18"/>
    <s v="Sambalpur"/>
    <s v="Women"/>
    <s v="Dupatta"/>
    <s v="Zaree Studio"/>
    <s v="Casual"/>
    <s v="Store"/>
    <n v="1"/>
    <n v="4350"/>
    <s v="11-20%"/>
    <n v="15"/>
    <s v="Valid"/>
    <s v="Match"/>
    <n v="4350"/>
    <n v="652.5"/>
    <n v="3697.5"/>
    <n v="2809.33"/>
    <n v="888.17"/>
    <b v="0"/>
    <n v="0"/>
    <s v="COD"/>
    <s v="Meera"/>
    <s v="WhatsApp"/>
    <n v="4"/>
    <x v="3"/>
    <x v="1"/>
  </r>
  <r>
    <s v="ZAR-10627"/>
    <d v="2025-03-12T00:00:00"/>
    <s v="4 AM - 8 AM"/>
    <x v="51"/>
    <s v="Balasore"/>
    <s v="Women"/>
    <s v="Saree"/>
    <s v="Aurelia"/>
    <s v="Office"/>
    <s v="IG"/>
    <n v="1"/>
    <n v="9000"/>
    <s v="1-10%"/>
    <n v="5"/>
    <s v="Valid"/>
    <s v="Match"/>
    <n v="9000"/>
    <n v="450"/>
    <n v="8550"/>
    <n v="4738.41"/>
    <n v="3811.59"/>
    <b v="0"/>
    <n v="0"/>
    <s v="UPI"/>
    <s v="Priya"/>
    <s v="WhatsApp"/>
    <n v="4"/>
    <x v="9"/>
    <x v="1"/>
  </r>
  <r>
    <s v="ZAR-10560"/>
    <d v="2025-11-06T00:00:00"/>
    <s v="4 AM - 8 AM"/>
    <x v="52"/>
    <s v="Puri"/>
    <s v="Women"/>
    <s v="Kurti"/>
    <s v="Rangriti"/>
    <s v="Casual"/>
    <s v="Store"/>
    <n v="2"/>
    <n v="3400"/>
    <s v="21-30%"/>
    <n v="25"/>
    <s v="Valid"/>
    <s v="Match"/>
    <n v="6800"/>
    <n v="1700"/>
    <n v="5100"/>
    <n v="4763.4799999999996"/>
    <n v="336.52"/>
    <b v="0"/>
    <n v="0"/>
    <s v="Cash"/>
    <s v="Ananya"/>
    <s v="Repeat Customer"/>
    <n v="3"/>
    <x v="5"/>
    <x v="4"/>
  </r>
  <r>
    <s v="ZAR-10747"/>
    <d v="2025-12-10T00:00:00"/>
    <s v="12 AM - 4 AM"/>
    <x v="53"/>
    <s v="Rourkela"/>
    <s v="Women"/>
    <s v="Dupatta"/>
    <s v="Local Artisan"/>
    <s v="Office"/>
    <s v="Website"/>
    <n v="2"/>
    <n v="1750"/>
    <s v="1-10%"/>
    <n v="5"/>
    <s v="Valid"/>
    <s v="Match"/>
    <n v="3500"/>
    <n v="175"/>
    <n v="3325"/>
    <n v="2033.18"/>
    <n v="1291.82"/>
    <b v="0"/>
    <n v="0"/>
    <s v="Card"/>
    <s v="Ananya"/>
    <s v="Google"/>
    <n v="3"/>
    <x v="1"/>
    <x v="1"/>
  </r>
  <r>
    <s v="ZAR-10382"/>
    <d v="2025-09-25T00:00:00"/>
    <s v="12 PM - 4 PM"/>
    <x v="54"/>
    <s v="Cuttack"/>
    <s v="Women"/>
    <s v="Saree"/>
    <s v="Local Artisan"/>
    <s v="Office"/>
    <s v="Instagram"/>
    <n v="2"/>
    <n v="21000"/>
    <s v="1-10%"/>
    <n v="5"/>
    <s v="Valid"/>
    <s v="Match"/>
    <n v="42000"/>
    <n v="2100"/>
    <n v="39900"/>
    <n v="22639.02"/>
    <n v="17260.98"/>
    <b v="0"/>
    <n v="0"/>
    <s v="Card"/>
    <s v="Rohit"/>
    <s v="Referral"/>
    <n v="3"/>
    <x v="11"/>
    <x v="4"/>
  </r>
  <r>
    <s v="ZAR-10056"/>
    <d v="2025-11-30T00:00:00"/>
    <s v="12 AM - 4 AM"/>
    <x v="31"/>
    <s v="Bhubaneshwar"/>
    <s v="Women"/>
    <s v="Blouse"/>
    <s v="Designer Collection"/>
    <s v="Office"/>
    <s v="Store"/>
    <n v="2"/>
    <n v="5200"/>
    <s v="11-20%"/>
    <n v="15"/>
    <s v="Valid"/>
    <s v="Match"/>
    <n v="10400"/>
    <n v="1560"/>
    <n v="8840"/>
    <n v="7669.49"/>
    <n v="1170.51"/>
    <b v="0"/>
    <n v="0"/>
    <s v="UPI"/>
    <s v="Neha"/>
    <s v="Google"/>
    <n v="3"/>
    <x v="5"/>
    <x v="0"/>
  </r>
  <r>
    <s v="ZAR-10025"/>
    <d v="2025-06-30T00:00:00"/>
    <s v="12 PM - 4 PM"/>
    <x v="55"/>
    <s v="Berhampur"/>
    <s v="Women"/>
    <s v="Salwar Suit"/>
    <s v="Zaree Studio"/>
    <s v="Festive"/>
    <s v="Store"/>
    <n v="2"/>
    <n v="2100"/>
    <s v="1-10%"/>
    <n v="10"/>
    <s v="Valid"/>
    <s v="Match"/>
    <n v="4200"/>
    <n v="420"/>
    <n v="3780"/>
    <n v="2857.18"/>
    <n v="922.82"/>
    <b v="0"/>
    <n v="0"/>
    <s v="Net Banking"/>
    <s v="Ananya"/>
    <s v="Repeat Customer"/>
    <n v="4"/>
    <x v="2"/>
    <x v="6"/>
  </r>
  <r>
    <s v="ZAR-10032"/>
    <d v="2025-03-15T00:00:00"/>
    <s v="12 PM - 4 PM"/>
    <x v="56"/>
    <s v="Cuttack"/>
    <s v="Women"/>
    <s v="Saree"/>
    <s v="Zaree Studio"/>
    <s v="Puja"/>
    <s v="Website"/>
    <n v="1"/>
    <n v="25250"/>
    <s v="11-20%"/>
    <n v="15"/>
    <s v="Valid"/>
    <s v="Match"/>
    <n v="25250"/>
    <n v="3787.5"/>
    <n v="21462.5"/>
    <n v="14968.05"/>
    <n v="6494.45"/>
    <b v="0"/>
    <n v="0"/>
    <s v="COD"/>
    <s v="Sanjay"/>
    <s v="Google"/>
    <n v="5"/>
    <x v="6"/>
    <x v="1"/>
  </r>
  <r>
    <s v="ZAR-10896"/>
    <d v="2025-05-15T00:00:00"/>
    <s v="4 PM - 8 PM"/>
    <x v="57"/>
    <s v="Rourkela"/>
    <s v="Women"/>
    <s v="Gown"/>
    <s v="Designer Collection"/>
    <s v="Reception"/>
    <s v="Store"/>
    <n v="1"/>
    <n v="10450"/>
    <s v="11-20%"/>
    <n v="15"/>
    <s v="Valid"/>
    <s v="Match"/>
    <n v="10450"/>
    <n v="1567.5"/>
    <n v="8882.5"/>
    <n v="5511.1"/>
    <n v="3371.4"/>
    <b v="0"/>
    <n v="0"/>
    <s v="Net Banking"/>
    <s v="Neha"/>
    <s v="Walk-in"/>
    <n v="4"/>
    <x v="6"/>
    <x v="6"/>
  </r>
  <r>
    <s v="ZAR-10431"/>
    <d v="2025-12-17T00:00:00"/>
    <s v="8 AM - 12 PM"/>
    <x v="58"/>
    <s v="Puri"/>
    <s v="Women"/>
    <s v="Bridal Lehenga"/>
    <s v="Local Artisan"/>
    <s v="Reception"/>
    <s v="Instagram"/>
    <n v="1"/>
    <n v="91900"/>
    <s v="11-20%"/>
    <n v="15"/>
    <s v="Valid"/>
    <s v="Match"/>
    <n v="91900"/>
    <n v="13785"/>
    <n v="78115"/>
    <n v="54040.79"/>
    <n v="24074.21"/>
    <b v="0"/>
    <n v="0"/>
    <s v="UPI"/>
    <s v="Sanjay"/>
    <s v="Referral"/>
    <n v="4"/>
    <x v="1"/>
    <x v="4"/>
  </r>
  <r>
    <s v="ZAR-10012"/>
    <d v="2025-08-20T00:00:00"/>
    <s v="12 AM - 4 AM"/>
    <x v="59"/>
    <s v="Berhampur"/>
    <s v="Men"/>
    <s v="Indo-Western"/>
    <s v="Zaree Studio"/>
    <s v="Festive"/>
    <s v="Store"/>
    <n v="1"/>
    <m/>
    <s v="1-10%"/>
    <n v="5"/>
    <s v="Valid"/>
    <s v="Match"/>
    <n v="16600"/>
    <n v="830"/>
    <n v="15770"/>
    <n v="9452.59"/>
    <n v="6317.41"/>
    <b v="0"/>
    <n v="0"/>
    <s v="Card"/>
    <s v="Ananya"/>
    <s v="Instagram"/>
    <n v="5"/>
    <x v="2"/>
    <x v="2"/>
  </r>
  <r>
    <s v="ZAR-10951"/>
    <d v="2025-09-20T00:00:00"/>
    <s v="12 PM - 4 PM"/>
    <x v="60"/>
    <s v="Cuttack"/>
    <s v="Women"/>
    <s v="Gown"/>
    <s v="Rangriti"/>
    <s v="Puja"/>
    <s v="Store"/>
    <n v="2"/>
    <n v="13150"/>
    <s v="11-20%"/>
    <n v="15"/>
    <s v="Valid"/>
    <s v="Match"/>
    <n v="26300"/>
    <n v="3945"/>
    <n v="22355"/>
    <n v="14275.25"/>
    <n v="8079.75"/>
    <b v="0"/>
    <n v="0"/>
    <s v="Card"/>
    <s v="Meera"/>
    <s v="WhatsApp"/>
    <n v="5"/>
    <x v="11"/>
    <x v="5"/>
  </r>
  <r>
    <s v="ZAR-10813"/>
    <d v="2025-04-09T00:00:00"/>
    <s v="12 PM - 4 PM"/>
    <x v="61"/>
    <s v="Puri"/>
    <s v="Kids"/>
    <s v="Kids Gown"/>
    <s v="Biba"/>
    <s v="Family Function"/>
    <s v="Store"/>
    <n v="1"/>
    <n v="4400"/>
    <s v="11-20%"/>
    <n v="20"/>
    <s v="Valid"/>
    <s v="Match"/>
    <n v="4400"/>
    <n v="880"/>
    <n v="3520"/>
    <n v="3254.42"/>
    <n v="265.58"/>
    <b v="0"/>
    <n v="0"/>
    <s v="Cash"/>
    <s v="Meera"/>
    <s v="Not Recorded"/>
    <n v="5"/>
    <x v="7"/>
    <x v="1"/>
  </r>
  <r>
    <s v="ZAR-10484"/>
    <d v="2025-05-06T00:00:00"/>
    <s v="8 PM - 12 AM"/>
    <x v="62"/>
    <s v="Sambalpur"/>
    <s v="Kids"/>
    <s v="Kids Saree"/>
    <s v="Manyavar"/>
    <s v="Wedding"/>
    <s v="Store"/>
    <n v="4"/>
    <n v="2550"/>
    <s v="21-30%"/>
    <n v="25"/>
    <s v="Valid"/>
    <s v="Match"/>
    <n v="10200"/>
    <n v="2550"/>
    <n v="7650"/>
    <n v="6319.9"/>
    <n v="1330.1"/>
    <b v="0"/>
    <n v="0"/>
    <s v="UPI"/>
    <s v="Neha"/>
    <s v="Google"/>
    <n v="3"/>
    <x v="8"/>
    <x v="6"/>
  </r>
  <r>
    <s v="ZAR-10447"/>
    <d v="2025-05-03T00:00:00"/>
    <s v="12 PM - 4 PM"/>
    <x v="63"/>
    <s v="Bhubaneshwar"/>
    <s v="Men"/>
    <s v="Dhoti Set"/>
    <s v="Manyavar"/>
    <s v="Family Function"/>
    <s v="Website"/>
    <n v="1"/>
    <n v="6750"/>
    <s v="11-20%"/>
    <n v="15"/>
    <s v="Valid"/>
    <s v="Match"/>
    <n v="6750"/>
    <n v="1012.5"/>
    <n v="5737.5"/>
    <n v="3888.92"/>
    <n v="1848.58"/>
    <b v="0"/>
    <n v="0"/>
    <s v="UPI"/>
    <s v="Priya"/>
    <s v="Google"/>
    <n v="4"/>
    <x v="8"/>
    <x v="5"/>
  </r>
  <r>
    <s v="ZAR-10201"/>
    <d v="2025-07-12T00:00:00"/>
    <s v="4 AM - 8 AM"/>
    <x v="64"/>
    <s v="Bhubaneshwar"/>
    <s v="Women"/>
    <s v="Gown"/>
    <s v="Designer Collection"/>
    <s v="Wedding Guest"/>
    <s v="Store"/>
    <n v="1"/>
    <n v="5750"/>
    <s v="1-10%"/>
    <n v="10"/>
    <s v="Valid"/>
    <s v="Match"/>
    <n v="5750"/>
    <n v="575"/>
    <n v="5175"/>
    <n v="3205.18"/>
    <n v="1969.82"/>
    <b v="0"/>
    <n v="0"/>
    <s v="UPI"/>
    <s v="Sanjay"/>
    <s v="WhatsApp"/>
    <n v="4"/>
    <x v="0"/>
    <x v="5"/>
  </r>
  <r>
    <s v="ZAR-10502"/>
    <d v="2025-10-02T00:00:00"/>
    <s v="8 AM - 12 PM"/>
    <x v="65"/>
    <s v="Cuttack"/>
    <s v="Kids"/>
    <s v="Kids Kurta"/>
    <s v="Designer Collection"/>
    <s v="Wedding"/>
    <s v="Store"/>
    <n v="2"/>
    <n v="3300"/>
    <s v="11-20%"/>
    <n v="20"/>
    <s v="Valid"/>
    <s v="Match"/>
    <n v="6600"/>
    <n v="1320"/>
    <n v="5280"/>
    <n v="3706.58"/>
    <n v="1573.42"/>
    <b v="0"/>
    <n v="0"/>
    <s v="Card"/>
    <s v="Karan"/>
    <s v="Instagram"/>
    <n v="3.5"/>
    <x v="3"/>
    <x v="4"/>
  </r>
  <r>
    <s v="ZAR-10776"/>
    <d v="2025-03-19T00:00:00"/>
    <s v="4 PM - 8 PM"/>
    <x v="66"/>
    <s v="Berhampur"/>
    <s v="Kids"/>
    <s v="Kids Lehenga"/>
    <s v="Biba"/>
    <s v="Casual"/>
    <s v="Store"/>
    <n v="2"/>
    <n v="5600"/>
    <s v="11-20%"/>
    <n v="15"/>
    <s v="Valid"/>
    <s v="Match"/>
    <n v="11200"/>
    <n v="1680"/>
    <n v="9520"/>
    <n v="7855.1"/>
    <n v="1664.9"/>
    <b v="0"/>
    <n v="0"/>
    <s v="COD"/>
    <s v="Neha"/>
    <s v="Referral"/>
    <n v="4"/>
    <x v="9"/>
    <x v="1"/>
  </r>
  <r>
    <s v="ZAR-10109"/>
    <d v="2025-12-17T00:00:00"/>
    <s v="12 PM - 4 PM"/>
    <x v="67"/>
    <s v="Rourkela"/>
    <s v="Women"/>
    <s v="Bridal Lehenga"/>
    <s v="Designer Collection"/>
    <s v="Festive"/>
    <s v="Store"/>
    <n v="1"/>
    <n v="71300"/>
    <s v="1-10%"/>
    <n v="10"/>
    <s v="Valid"/>
    <s v="Match"/>
    <n v="71300"/>
    <n v="7130"/>
    <n v="64170"/>
    <n v="44651.47"/>
    <n v="19518.53"/>
    <b v="0"/>
    <n v="0"/>
    <s v="Net Banking"/>
    <s v="Rohit"/>
    <s v="Referral"/>
    <n v="4"/>
    <x v="1"/>
    <x v="1"/>
  </r>
  <r>
    <s v="ZAR-10220"/>
    <d v="2025-07-15T00:00:00"/>
    <s v="4 PM - 8 PM"/>
    <x v="68"/>
    <s v="Rourkela"/>
    <s v="Women"/>
    <s v="Lehenga"/>
    <s v="FabIndia"/>
    <s v="Reception"/>
    <s v="Store"/>
    <n v="1"/>
    <n v="24950"/>
    <s v="0%"/>
    <n v="0"/>
    <s v="Valid"/>
    <s v="Match"/>
    <n v="24950"/>
    <n v="0"/>
    <n v="24950"/>
    <n v="17735.7"/>
    <n v="7214.3"/>
    <b v="0"/>
    <n v="0"/>
    <s v="Net Banking"/>
    <s v="Neha"/>
    <s v="Google"/>
    <n v="3.5"/>
    <x v="0"/>
    <x v="6"/>
  </r>
  <r>
    <s v="ZAR-10422"/>
    <d v="2025-02-17T00:00:00"/>
    <s v="8 PM - 12 AM"/>
    <x v="69"/>
    <s v="Berhampur"/>
    <s v="Women"/>
    <s v="Salwar Suit"/>
    <s v="Designer Collection"/>
    <s v="Wedding Guest"/>
    <s v="Store"/>
    <n v="1"/>
    <n v="8950"/>
    <s v="1-10%"/>
    <n v="5"/>
    <s v="Valid"/>
    <s v="Match"/>
    <n v="8950"/>
    <n v="447.5"/>
    <n v="8502.5"/>
    <n v="5883.78"/>
    <n v="2618.7199999999998"/>
    <b v="0"/>
    <n v="0"/>
    <s v="Net Banking"/>
    <s v="Rohit"/>
    <s v="Referral"/>
    <n v="4.5"/>
    <x v="4"/>
    <x v="2"/>
  </r>
  <r>
    <s v="ZAR-10176"/>
    <d v="2025-03-09T00:00:00"/>
    <s v="12 PM - 4 PM"/>
    <x v="70"/>
    <s v="Puri"/>
    <s v="Women"/>
    <s v="Lehenga"/>
    <s v="Rangriti"/>
    <s v="Reception"/>
    <s v="Instagram"/>
    <n v="4"/>
    <n v="27050"/>
    <s v="1-10%"/>
    <n v="10"/>
    <s v="Valid"/>
    <s v="Match"/>
    <n v="108200"/>
    <n v="10820"/>
    <n v="97380"/>
    <n v="78495.14"/>
    <n v="18884.86"/>
    <b v="0"/>
    <n v="0"/>
    <s v="UPI"/>
    <s v="Neha"/>
    <s v="Not Recorded"/>
    <n v="4"/>
    <x v="9"/>
    <x v="0"/>
  </r>
  <r>
    <s v="ZAR-10723"/>
    <d v="2025-05-21T00:00:00"/>
    <s v="8 PM - 12 AM"/>
    <x v="71"/>
    <s v="Berhampur"/>
    <s v="Women"/>
    <s v="Salwar Suit"/>
    <s v="Designer Collection"/>
    <s v="Casual"/>
    <s v="Website"/>
    <n v="1"/>
    <n v="6400"/>
    <s v="21-30%"/>
    <n v="25"/>
    <s v="Valid"/>
    <s v="Match"/>
    <n v="6400"/>
    <n v="1600"/>
    <n v="4800"/>
    <n v="4319.6000000000004"/>
    <n v="480.4"/>
    <b v="0"/>
    <n v="0"/>
    <s v="Card"/>
    <s v="Sanjay"/>
    <s v="WhatsApp"/>
    <n v="4.5"/>
    <x v="8"/>
    <x v="1"/>
  </r>
  <r>
    <s v="ZAR-10521"/>
    <d v="2025-12-09T00:00:00"/>
    <s v="12 AM - 4 AM"/>
    <x v="72"/>
    <s v="Bhubaneshwar"/>
    <s v="Women"/>
    <s v="Dupatta"/>
    <s v="Rangriti"/>
    <s v="Festive"/>
    <s v="WhatsApp"/>
    <n v="1"/>
    <n v="650"/>
    <s v="21-30%"/>
    <n v="30"/>
    <s v="Valid"/>
    <s v="Match"/>
    <n v="650"/>
    <n v="195"/>
    <n v="455"/>
    <n v="365.48"/>
    <n v="89.52"/>
    <b v="0"/>
    <n v="0"/>
    <s v="Cash"/>
    <s v="Priya"/>
    <s v="Repeat Customer"/>
    <n v="4"/>
    <x v="1"/>
    <x v="6"/>
  </r>
  <r>
    <s v="ZAR-10455"/>
    <d v="2025-08-16T00:00:00"/>
    <s v="12 PM - 4 PM"/>
    <x v="73"/>
    <s v="Bhubaneshwar"/>
    <s v="Women"/>
    <s v="Dupatta"/>
    <s v="Local Artisan"/>
    <s v="Festive"/>
    <s v="Website"/>
    <n v="1"/>
    <n v="600"/>
    <s v="1-10%"/>
    <n v="5"/>
    <s v="Valid"/>
    <s v="Match"/>
    <n v="600"/>
    <n v="30"/>
    <n v="570"/>
    <n v="409.52"/>
    <n v="160.47999999999999"/>
    <b v="0"/>
    <n v="0"/>
    <s v="UPI"/>
    <s v="Priya"/>
    <s v="Instagram"/>
    <n v="4"/>
    <x v="6"/>
    <x v="5"/>
  </r>
  <r>
    <s v="ZAR-10933"/>
    <d v="2025-06-10T00:00:00"/>
    <s v="12 AM - 4 AM"/>
    <x v="74"/>
    <s v="Rourkela"/>
    <s v="Women"/>
    <s v="Kurti"/>
    <s v="Rangriti"/>
    <s v="Casual"/>
    <s v="Website"/>
    <n v="1"/>
    <n v="1300"/>
    <s v="21-30%"/>
    <n v="25"/>
    <s v="Valid"/>
    <s v="Match"/>
    <n v="1300"/>
    <n v="325"/>
    <n v="975"/>
    <n v="694.97"/>
    <n v="280.02999999999997"/>
    <b v="0"/>
    <n v="0"/>
    <s v="Cash"/>
    <s v="Rohit"/>
    <s v="Google"/>
    <n v="3.5"/>
    <x v="2"/>
    <x v="6"/>
  </r>
  <r>
    <s v="ZAR-10041"/>
    <d v="2025-04-24T00:00:00"/>
    <s v="12 PM - 4 PM"/>
    <x v="75"/>
    <s v="Cuttack"/>
    <s v="Men"/>
    <s v="Shirt"/>
    <s v="FabIndia"/>
    <s v="Family Function"/>
    <s v="Store"/>
    <n v="1"/>
    <n v="3100"/>
    <s v="0%"/>
    <n v="0"/>
    <s v="Valid"/>
    <s v="Match"/>
    <n v="3100"/>
    <n v="0"/>
    <n v="3100"/>
    <n v="1675.46"/>
    <n v="1424.54"/>
    <b v="0"/>
    <n v="0"/>
    <s v="Net Banking"/>
    <s v="Unknown"/>
    <s v="Repeat Customer"/>
    <n v="4.5"/>
    <x v="7"/>
    <x v="4"/>
  </r>
  <r>
    <s v="ZAR-10553"/>
    <d v="2025-12-10T00:00:00"/>
    <s v="8 PM - 12 AM"/>
    <x v="76"/>
    <s v="Puri"/>
    <s v="Women"/>
    <s v="Saree"/>
    <s v="Designer Collection"/>
    <s v="Casual"/>
    <s v="Store"/>
    <n v="1"/>
    <n v="23450"/>
    <s v="21-30%"/>
    <n v="25"/>
    <s v="Valid"/>
    <s v="Match"/>
    <n v="23450"/>
    <n v="5862.5"/>
    <n v="17587.5"/>
    <n v="17307.41"/>
    <n v="280.08999999999997"/>
    <b v="0"/>
    <n v="0"/>
    <s v="Cash"/>
    <s v="Ananya"/>
    <s v="Instagram"/>
    <n v="4"/>
    <x v="1"/>
    <x v="1"/>
  </r>
  <r>
    <s v="ZAR-10918"/>
    <d v="2025-01-27T00:00:00"/>
    <s v="4 PM - 8 PM"/>
    <x v="77"/>
    <s v="Puri"/>
    <s v="Women"/>
    <s v="Salwar Suit"/>
    <s v="Local Artisan"/>
    <s v="Reception"/>
    <s v="WhatsApp"/>
    <n v="1"/>
    <n v="3000"/>
    <s v="21-30%"/>
    <n v="30"/>
    <s v="Valid"/>
    <s v="Match"/>
    <n v="3000"/>
    <n v="900"/>
    <n v="2100"/>
    <n v="1620.9"/>
    <n v="479.1"/>
    <b v="0"/>
    <n v="0"/>
    <s v="Card"/>
    <s v="Rohit"/>
    <s v="Instagram"/>
    <n v="4"/>
    <x v="10"/>
    <x v="2"/>
  </r>
  <r>
    <s v="ZAR-10353"/>
    <d v="2025-10-12T00:00:00"/>
    <s v="12 PM - 4 PM"/>
    <x v="78"/>
    <s v="Sambalpur"/>
    <s v="Women"/>
    <s v="Dupatta"/>
    <s v="Manyavar"/>
    <s v="Reception"/>
    <s v="Website"/>
    <n v="2"/>
    <n v="2950"/>
    <s v="11-20%"/>
    <n v="15"/>
    <s v="Valid"/>
    <s v="Match"/>
    <n v="5900"/>
    <n v="885"/>
    <n v="5015"/>
    <n v="3248.51"/>
    <n v="1766.49"/>
    <b v="0"/>
    <n v="0"/>
    <s v="UPI"/>
    <s v="Ananya"/>
    <s v="WhatsApp"/>
    <n v="3.5"/>
    <x v="3"/>
    <x v="0"/>
  </r>
  <r>
    <s v="ZAR-10068"/>
    <d v="2025-11-25T00:00:00"/>
    <s v="8 PM - 12 AM"/>
    <x v="79"/>
    <s v="Bhubaneshwar"/>
    <s v="Women"/>
    <s v="Lehenga"/>
    <s v="Aurelia"/>
    <s v="Reception"/>
    <s v="Store"/>
    <n v="3"/>
    <n v="43050"/>
    <s v="0%"/>
    <n v="0"/>
    <s v="Valid"/>
    <s v="Match"/>
    <n v="129150"/>
    <n v="0"/>
    <n v="129150"/>
    <n v="85989.25"/>
    <n v="43160.75"/>
    <b v="0"/>
    <n v="0"/>
    <s v="UPI"/>
    <s v="Meera"/>
    <s v="Repeat Customer"/>
    <n v="4.5"/>
    <x v="5"/>
    <x v="6"/>
  </r>
  <r>
    <s v="ZAR-10279"/>
    <d v="2025-09-09T00:00:00"/>
    <s v="4 AM - 8 AM"/>
    <x v="80"/>
    <s v="Berhampur"/>
    <s v="Kids"/>
    <s v="Kids Gown"/>
    <s v="Local Artisan"/>
    <s v="Casual"/>
    <s v="Store"/>
    <n v="1"/>
    <n v="2600"/>
    <s v="11-20%"/>
    <n v="20"/>
    <s v="Valid"/>
    <s v="Match"/>
    <n v="2600"/>
    <n v="520"/>
    <n v="2080"/>
    <n v="1848.94"/>
    <n v="231.06"/>
    <b v="0"/>
    <n v="0"/>
    <s v="Net Banking"/>
    <s v="Neha"/>
    <s v="Instagram"/>
    <n v="3"/>
    <x v="11"/>
    <x v="6"/>
  </r>
  <r>
    <s v="ZAR-10069"/>
    <d v="2025-11-02T00:00:00"/>
    <s v="12 AM - 4 AM"/>
    <x v="81"/>
    <s v="Puri"/>
    <s v="Women"/>
    <s v="Kurti"/>
    <s v="Rangriti"/>
    <s v="Puja"/>
    <s v="Phone"/>
    <n v="1"/>
    <n v="3800"/>
    <s v="21-30%"/>
    <n v="30"/>
    <s v="Valid"/>
    <s v="Match"/>
    <n v="3800"/>
    <n v="1140"/>
    <n v="2660"/>
    <n v="2099.36"/>
    <n v="560.64"/>
    <b v="0"/>
    <n v="0"/>
    <s v="UPI"/>
    <s v="Rohit"/>
    <s v="Instagram"/>
    <n v="4"/>
    <x v="5"/>
    <x v="0"/>
  </r>
  <r>
    <s v="ZAR-10910"/>
    <d v="2025-04-23T00:00:00"/>
    <s v="4 PM - 8 PM"/>
    <x v="82"/>
    <s v="Berhampur"/>
    <s v="Women"/>
    <s v="Bridal Lehenga"/>
    <s v="Manyavar"/>
    <s v="Engagement"/>
    <s v="WhatsApp"/>
    <n v="1"/>
    <n v="29900"/>
    <s v="11-20%"/>
    <n v="15"/>
    <s v="Valid"/>
    <s v="Match"/>
    <n v="29900"/>
    <n v="4485"/>
    <n v="25415"/>
    <n v="17131.189999999999"/>
    <n v="8283.81"/>
    <b v="0"/>
    <n v="0"/>
    <s v="UPI"/>
    <s v="Neha"/>
    <s v="Repeat Customer"/>
    <n v="3.5"/>
    <x v="7"/>
    <x v="1"/>
  </r>
  <r>
    <s v="ZAR-10736"/>
    <d v="2025-09-02T00:00:00"/>
    <s v="4 AM - 8 AM"/>
    <x v="83"/>
    <s v="Bhubaneshwar"/>
    <s v="Women"/>
    <s v="Kurti"/>
    <s v="Local Artisan"/>
    <s v="Reception"/>
    <s v="Store"/>
    <n v="2"/>
    <n v="1300"/>
    <s v="21-30%"/>
    <n v="30"/>
    <s v="Valid"/>
    <s v="Match"/>
    <n v="2600"/>
    <n v="780"/>
    <n v="1820"/>
    <n v="1566.08"/>
    <n v="253.92"/>
    <b v="0"/>
    <n v="0"/>
    <s v="Net Banking"/>
    <s v="Karan"/>
    <s v="Walk-in"/>
    <n v="3.5"/>
    <x v="11"/>
    <x v="6"/>
  </r>
  <r>
    <s v="ZAR-10844"/>
    <d v="2025-09-07T00:00:00"/>
    <s v="8 AM - 12 PM"/>
    <x v="84"/>
    <s v="Puri"/>
    <s v="Women"/>
    <s v="Gown"/>
    <s v="Rangriti"/>
    <s v="Wedding Guest"/>
    <s v="Instagram"/>
    <n v="3"/>
    <n v="8350"/>
    <s v="1-10%"/>
    <n v="5"/>
    <s v="Valid"/>
    <s v="Match"/>
    <n v="25050"/>
    <n v="1252.5"/>
    <n v="23797.5"/>
    <n v="17228.8"/>
    <n v="6568.7"/>
    <b v="0"/>
    <n v="0"/>
    <s v="UPI"/>
    <s v="Ananya"/>
    <s v="Instagram"/>
    <n v="5"/>
    <x v="11"/>
    <x v="0"/>
  </r>
  <r>
    <s v="ZAR-10298"/>
    <d v="2025-11-17T00:00:00"/>
    <s v="12 AM - 4 AM"/>
    <x v="85"/>
    <s v="Sambalpur "/>
    <s v="Men"/>
    <s v="Kurta Pajama"/>
    <s v="Designer Collection"/>
    <s v="Festive"/>
    <s v="Instagram"/>
    <n v="1"/>
    <n v="2550"/>
    <s v="11-20%"/>
    <n v="20"/>
    <s v="Valid"/>
    <s v="Match"/>
    <n v="2550"/>
    <n v="510"/>
    <n v="2040"/>
    <n v="1515.85"/>
    <n v="524.15"/>
    <b v="0"/>
    <n v="0"/>
    <s v="Card"/>
    <s v="Priya"/>
    <s v="Repeat Customer"/>
    <n v="3.5"/>
    <x v="5"/>
    <x v="2"/>
  </r>
  <r>
    <s v="ZAR-10620"/>
    <d v="2025-01-03T00:00:00"/>
    <s v="12 PM - 4 PM"/>
    <x v="45"/>
    <s v="Bhubaneshwar"/>
    <s v="Women"/>
    <s v="Salwar Suit"/>
    <s v="FabIndia"/>
    <s v="Puja"/>
    <s v="Store"/>
    <n v="3"/>
    <n v="4000"/>
    <s v="11-20%"/>
    <n v="15"/>
    <s v="Valid"/>
    <s v="Match"/>
    <n v="12000"/>
    <n v="1800"/>
    <n v="10200"/>
    <n v="8017.51"/>
    <n v="2182.4899999999998"/>
    <b v="0"/>
    <n v="0"/>
    <s v="Cash"/>
    <s v="Rohit"/>
    <s v="Repeat Customer"/>
    <n v="5"/>
    <x v="10"/>
    <x v="3"/>
  </r>
  <r>
    <s v="ZAR-10600"/>
    <d v="2025-12-21T00:00:00"/>
    <s v="12 PM - 4 PM"/>
    <x v="86"/>
    <s v="Sambalpur"/>
    <s v="Women"/>
    <s v="Bridal Lehenga"/>
    <s v="Zaree Studio"/>
    <s v="Festive"/>
    <s v="Instagram"/>
    <n v="3"/>
    <n v="41400"/>
    <s v="11-20%"/>
    <n v="20"/>
    <s v="Valid"/>
    <s v="Match"/>
    <n v="124200"/>
    <n v="24840"/>
    <n v="99360"/>
    <n v="87582.97"/>
    <n v="11777.03"/>
    <b v="0"/>
    <n v="0"/>
    <s v="Cash"/>
    <s v="Karan"/>
    <s v="Google"/>
    <n v="3.5"/>
    <x v="1"/>
    <x v="0"/>
  </r>
  <r>
    <s v="ZAR-10819"/>
    <d v="2025-04-02T00:00:00"/>
    <s v="4 AM - 8 AM"/>
    <x v="87"/>
    <s v="Balasore"/>
    <s v="Women"/>
    <s v="Saree"/>
    <s v="Rangriti"/>
    <s v="Office"/>
    <s v="Phone"/>
    <n v="1"/>
    <n v="26100"/>
    <s v="11-20%"/>
    <n v="20"/>
    <s v="Valid"/>
    <s v="Match"/>
    <n v="26100"/>
    <n v="5220"/>
    <n v="20880"/>
    <n v="18014.78"/>
    <n v="2865.22"/>
    <b v="0"/>
    <n v="0"/>
    <s v="Net Banking"/>
    <s v="Neha"/>
    <s v="WhatsApp"/>
    <n v="3"/>
    <x v="7"/>
    <x v="1"/>
  </r>
  <r>
    <s v="ZAR-10808"/>
    <d v="2025-10-08T00:00:00"/>
    <s v="8 PM - 12 AM"/>
    <x v="88"/>
    <s v="Balasore"/>
    <s v="Kids"/>
    <s v="Kids Saree"/>
    <s v="Rangriti"/>
    <s v="Casual"/>
    <s v="Store"/>
    <n v="1"/>
    <n v="2900"/>
    <s v="11-20%"/>
    <n v="20"/>
    <s v="Valid"/>
    <s v="Match"/>
    <n v="2900"/>
    <n v="580"/>
    <n v="2320"/>
    <n v="1999.78"/>
    <n v="320.22000000000003"/>
    <b v="0"/>
    <n v="0"/>
    <s v="Cash"/>
    <s v="Priya"/>
    <s v="Repeat Customer"/>
    <n v="4"/>
    <x v="3"/>
    <x v="1"/>
  </r>
  <r>
    <s v="ZAR-10425"/>
    <d v="2025-07-30T00:00:00"/>
    <s v="8 AM - 12 PM"/>
    <x v="89"/>
    <s v="Puri"/>
    <s v="Women"/>
    <s v="Kurti"/>
    <s v="Biba"/>
    <s v="Casual"/>
    <s v="Website"/>
    <n v="0"/>
    <n v="1250"/>
    <s v="1-10%"/>
    <n v="10"/>
    <s v="Valid"/>
    <s v="Match"/>
    <n v="2500"/>
    <n v="250"/>
    <n v="2250"/>
    <n v="1764.27"/>
    <n v="485.73"/>
    <b v="0"/>
    <n v="0"/>
    <s v="Card"/>
    <s v="Priya"/>
    <s v="WhatsApp"/>
    <n v="4"/>
    <x v="0"/>
    <x v="1"/>
  </r>
  <r>
    <s v="ZAR-10760"/>
    <d v="2025-12-25T00:00:00"/>
    <s v="8 AM - 12 PM"/>
    <x v="90"/>
    <s v="Sambalpur"/>
    <s v="Men"/>
    <s v="Nehru Jacket"/>
    <s v="Biba"/>
    <s v="Casual"/>
    <s v="Instagram"/>
    <n v="2"/>
    <n v="3750"/>
    <s v="1-10%"/>
    <n v="10"/>
    <s v="Valid"/>
    <s v="Match"/>
    <n v="7500"/>
    <n v="750"/>
    <n v="6750"/>
    <n v="5199.17"/>
    <n v="1550.83"/>
    <b v="0"/>
    <n v="0"/>
    <s v="UPI"/>
    <s v="Rohit"/>
    <s v="Referral"/>
    <n v="4.5"/>
    <x v="1"/>
    <x v="4"/>
  </r>
  <r>
    <s v="ZAR-10314"/>
    <d v="2025-08-05T00:00:00"/>
    <s v="8 AM - 12 PM"/>
    <x v="91"/>
    <s v="Cuttack"/>
    <s v="Men"/>
    <s v="Nehru Jacket"/>
    <s v="Manyavar"/>
    <s v="Festive"/>
    <s v="Store"/>
    <n v="2"/>
    <n v="5700"/>
    <s v="0%"/>
    <n v="0"/>
    <s v="Valid"/>
    <s v="Match"/>
    <n v="11400"/>
    <n v="0"/>
    <n v="11400"/>
    <n v="7612.74"/>
    <n v="3787.26"/>
    <b v="0"/>
    <n v="0"/>
    <s v="Cash"/>
    <s v="Neha"/>
    <s v="Google"/>
    <n v="4"/>
    <x v="6"/>
    <x v="6"/>
  </r>
  <r>
    <s v="ZAR-10186"/>
    <d v="2025-08-11T00:00:00"/>
    <s v="8 PM - 12 AM"/>
    <x v="92"/>
    <s v="Cuttack"/>
    <s v="Women"/>
    <s v="Saree"/>
    <s v="FabIndia"/>
    <s v="Casual"/>
    <s v="Store"/>
    <n v="1"/>
    <n v="22950"/>
    <s v="11-20%"/>
    <n v="20"/>
    <s v="Valid"/>
    <s v="Match"/>
    <n v="22950"/>
    <n v="4590"/>
    <n v="18360"/>
    <n v="14800.93"/>
    <n v="3559.07"/>
    <b v="0"/>
    <n v="0"/>
    <s v="Cash"/>
    <s v="Sanjay"/>
    <s v="Referral"/>
    <n v="5"/>
    <x v="6"/>
    <x v="2"/>
  </r>
  <r>
    <s v="ZAR-10334"/>
    <d v="2025-12-19T00:00:00"/>
    <s v="4 PM - 8 PM"/>
    <x v="93"/>
    <s v="Puri"/>
    <s v="Women"/>
    <s v="Bridal Lehenga"/>
    <s v="FabIndia"/>
    <s v="Engagement"/>
    <s v="Phone"/>
    <n v="1"/>
    <n v="29700"/>
    <s v="1-10%"/>
    <n v="5"/>
    <s v="Valid"/>
    <s v="Match"/>
    <n v="29700"/>
    <n v="1485"/>
    <n v="28215"/>
    <n v="18604.25"/>
    <n v="9610.75"/>
    <b v="0"/>
    <n v="0"/>
    <s v="Card"/>
    <s v="Neha"/>
    <s v="Repeat Customer"/>
    <n v="4"/>
    <x v="1"/>
    <x v="3"/>
  </r>
  <r>
    <s v="ZAR-10090"/>
    <d v="2025-08-14T00:00:00"/>
    <s v="12 PM - 4 PM"/>
    <x v="94"/>
    <s v="Sambalpur"/>
    <s v="Kids"/>
    <s v="Kids Gown"/>
    <s v="Manyavar"/>
    <s v="Family Function"/>
    <s v="WhatsApp"/>
    <n v="1"/>
    <n v="4650"/>
    <s v="21-30%"/>
    <n v="25"/>
    <s v="Valid"/>
    <s v="Match"/>
    <n v="4650"/>
    <n v="1162.5"/>
    <n v="3487.5"/>
    <n v="3386.91"/>
    <n v="100.59"/>
    <b v="0"/>
    <n v="0"/>
    <s v="Cash"/>
    <s v="Ananya"/>
    <s v="WhatsApp"/>
    <n v="3.5"/>
    <x v="6"/>
    <x v="4"/>
  </r>
  <r>
    <s v="ZAR-10065"/>
    <d v="2025-07-15T00:00:00"/>
    <s v="8 PM - 12 AM"/>
    <x v="95"/>
    <s v="Bhubaneshwar"/>
    <s v="Women"/>
    <s v="Lehenga"/>
    <s v="Designer Collection"/>
    <s v="Engagement"/>
    <s v="Instagram"/>
    <n v="2"/>
    <n v="24300"/>
    <s v="21-30%"/>
    <n v="25"/>
    <s v="Valid"/>
    <s v="Match"/>
    <n v="48600"/>
    <n v="12150"/>
    <n v="36450"/>
    <n v="28075.03"/>
    <n v="8374.9699999999993"/>
    <b v="0"/>
    <n v="0"/>
    <s v="Cash"/>
    <s v="Karan"/>
    <s v="Google"/>
    <n v="2.5"/>
    <x v="0"/>
    <x v="6"/>
  </r>
  <r>
    <s v="ZAR-10834"/>
    <d v="2025-08-15T00:00:00"/>
    <s v="4 PM - 8 PM"/>
    <x v="96"/>
    <s v="Bhubaneshwar"/>
    <s v="Women"/>
    <s v="Lehenga"/>
    <s v="FabIndia"/>
    <s v="Reception"/>
    <s v="Instagram"/>
    <n v="2"/>
    <n v="16200"/>
    <s v="11-20%"/>
    <n v="15"/>
    <s v="Valid"/>
    <s v="Match"/>
    <n v="32400"/>
    <n v="4860"/>
    <n v="27540"/>
    <n v="22110.93"/>
    <n v="5429.07"/>
    <b v="0"/>
    <n v="0"/>
    <s v="UPI"/>
    <s v="Neha"/>
    <s v="Instagram"/>
    <n v="3.5"/>
    <x v="6"/>
    <x v="3"/>
  </r>
  <r>
    <s v="ZAR-10578"/>
    <d v="2025-10-10T00:00:00"/>
    <s v="4 AM - 8 AM"/>
    <x v="97"/>
    <s v="Sambalpur"/>
    <s v="Kids"/>
    <s v="Kids Saree"/>
    <s v="Aurelia"/>
    <s v="Wedding"/>
    <s v="WhatsApp"/>
    <n v="1"/>
    <n v="1750"/>
    <s v="21-30%"/>
    <n v="25"/>
    <s v="Valid"/>
    <s v="Match"/>
    <n v="1750"/>
    <n v="437.5"/>
    <n v="1312.5"/>
    <n v="915.26"/>
    <n v="397.24"/>
    <b v="0"/>
    <n v="0"/>
    <s v="COD"/>
    <s v="Sanjay"/>
    <s v="Instagram"/>
    <n v="3.5"/>
    <x v="3"/>
    <x v="3"/>
  </r>
  <r>
    <s v="ZAR-10217"/>
    <d v="2025-06-13T00:00:00"/>
    <s v="8 PM - 12 AM"/>
    <x v="92"/>
    <s v="Balasore"/>
    <s v="Men"/>
    <s v="Sherwani"/>
    <s v="Local Artisan"/>
    <s v="Engagement"/>
    <s v="Store"/>
    <n v="2"/>
    <n v="37600"/>
    <s v="11-20%"/>
    <n v="20"/>
    <s v="Valid"/>
    <s v="Match"/>
    <n v="75200"/>
    <n v="15040"/>
    <n v="60160"/>
    <n v="45789.4"/>
    <n v="14370.6"/>
    <b v="0"/>
    <n v="0"/>
    <s v="Net Banking"/>
    <s v="Sanjay"/>
    <s v="WhatsApp"/>
    <n v="4"/>
    <x v="2"/>
    <x v="3"/>
  </r>
  <r>
    <s v="ZAR-10606"/>
    <d v="2025-10-23T00:00:00"/>
    <s v="8 AM - 12 PM"/>
    <x v="91"/>
    <s v="Bhubaneshwar"/>
    <s v="Women"/>
    <s v="Blouse"/>
    <s v="Designer Collection"/>
    <s v="Casual"/>
    <s v="Store"/>
    <n v="3"/>
    <n v="2800"/>
    <s v="1-10%"/>
    <n v="5"/>
    <s v="Valid"/>
    <s v="Match"/>
    <n v="8400"/>
    <n v="420"/>
    <n v="7980"/>
    <n v="4493.96"/>
    <n v="3486.04"/>
    <b v="0"/>
    <n v="0"/>
    <s v="Cash"/>
    <s v="Meera"/>
    <s v="Google"/>
    <n v="4"/>
    <x v="3"/>
    <x v="4"/>
  </r>
  <r>
    <s v="ZAR-10550"/>
    <d v="2025-02-19T00:00:00"/>
    <s v="4 AM - 8 AM"/>
    <x v="98"/>
    <s v="Puri"/>
    <s v="Men"/>
    <s v="Nehru Jacket"/>
    <s v="Manyavar"/>
    <s v="Festive"/>
    <s v="WhatsApp"/>
    <n v="1"/>
    <n v="5750"/>
    <s v="21-30%"/>
    <n v="30"/>
    <s v="Valid"/>
    <s v="Match"/>
    <n v="5750"/>
    <n v="1725"/>
    <n v="4025"/>
    <n v="3683.23"/>
    <n v="341.77"/>
    <b v="0"/>
    <n v="0"/>
    <s v="Net Banking"/>
    <s v="Karan"/>
    <s v="Google"/>
    <n v="3"/>
    <x v="4"/>
    <x v="1"/>
  </r>
  <r>
    <s v="ZAR-10292"/>
    <d v="2025-12-17T00:00:00"/>
    <s v="8 AM - 12 PM"/>
    <x v="99"/>
    <s v="Balasore"/>
    <s v="Women"/>
    <s v="Kurti"/>
    <s v="Rangriti"/>
    <s v="Casual"/>
    <s v="WhatsApp"/>
    <n v="2"/>
    <n v="2650"/>
    <s v="11-20%"/>
    <n v="20"/>
    <s v="Valid"/>
    <s v="Match"/>
    <n v="5300"/>
    <n v="1060"/>
    <n v="4240"/>
    <n v="3697.63"/>
    <n v="542.37"/>
    <b v="0"/>
    <n v="0"/>
    <s v="Card"/>
    <s v="Rohit"/>
    <s v="Referral"/>
    <n v="3.5"/>
    <x v="1"/>
    <x v="1"/>
  </r>
  <r>
    <s v="ZAR-10790"/>
    <d v="2025-11-05T00:00:00"/>
    <s v="8 PM - 12 AM"/>
    <x v="100"/>
    <s v="Sambalpur"/>
    <s v="Kids"/>
    <s v="Kids Gown"/>
    <s v="FabIndia"/>
    <s v="Wedding"/>
    <s v="Store"/>
    <n v="3"/>
    <n v="4950"/>
    <s v="11-20%"/>
    <n v="20"/>
    <s v="Valid"/>
    <s v="Match"/>
    <n v="14850"/>
    <n v="2970"/>
    <n v="11880"/>
    <n v="9160.84"/>
    <n v="2719.16"/>
    <b v="0"/>
    <n v="0"/>
    <s v="COD"/>
    <s v="Priya"/>
    <s v="Repeat Customer"/>
    <n v="3.5"/>
    <x v="5"/>
    <x v="1"/>
  </r>
  <r>
    <s v="ZAR-10891"/>
    <d v="2025-11-14T00:00:00"/>
    <s v="8 AM - 12 PM"/>
    <x v="101"/>
    <s v="Rourkela"/>
    <s v="Men"/>
    <s v="Indo-Western"/>
    <s v="Designer Collection"/>
    <s v="Family Function"/>
    <s v="Phone"/>
    <n v="2"/>
    <n v="14550"/>
    <s v="11-20%"/>
    <n v="15"/>
    <s v="Valid"/>
    <s v="Match"/>
    <n v="29100"/>
    <n v="4365"/>
    <n v="24735"/>
    <n v="19540.36"/>
    <n v="5194.6400000000003"/>
    <b v="0"/>
    <n v="0"/>
    <s v="Cash"/>
    <s v="Neha"/>
    <s v="Instagram"/>
    <n v="3"/>
    <x v="5"/>
    <x v="3"/>
  </r>
  <r>
    <s v="ZAR-10969"/>
    <d v="2025-06-16T00:00:00"/>
    <s v="12 AM - 4 AM"/>
    <x v="102"/>
    <s v="Sambalpur"/>
    <s v="Women"/>
    <s v="Gown"/>
    <s v="Designer Collection"/>
    <s v="Puja"/>
    <s v="Store"/>
    <n v="1"/>
    <n v="3700"/>
    <s v="1-10%"/>
    <n v="5"/>
    <s v="Valid"/>
    <s v="Match"/>
    <n v="3700"/>
    <n v="185"/>
    <n v="3515"/>
    <n v="2648.67"/>
    <n v="866.33"/>
    <b v="0"/>
    <n v="0"/>
    <s v="Card"/>
    <s v="Sanjay"/>
    <s v="Repeat Customer"/>
    <n v="4"/>
    <x v="2"/>
    <x v="2"/>
  </r>
  <r>
    <s v="ZAR-10946"/>
    <d v="2025-08-02T00:00:00"/>
    <s v="12 AM - 4 AM"/>
    <x v="103"/>
    <s v="Puri"/>
    <s v="Women"/>
    <s v="Lehenga"/>
    <s v="Designer Collection"/>
    <s v="Engagement"/>
    <s v="Phone"/>
    <n v="1"/>
    <n v="37500"/>
    <s v="21-30%"/>
    <n v="30"/>
    <s v="Valid"/>
    <s v="Match"/>
    <n v="37500"/>
    <n v="11250"/>
    <n v="26250"/>
    <n v="26920.82"/>
    <n v="-670.82"/>
    <b v="1"/>
    <n v="670.82"/>
    <s v="COD"/>
    <s v="Rohit"/>
    <s v="Repeat Customer"/>
    <n v="4.5"/>
    <x v="6"/>
    <x v="5"/>
  </r>
  <r>
    <s v="ZAR-10829"/>
    <d v="2025-10-20T00:00:00"/>
    <s v="8 PM - 12 AM"/>
    <x v="104"/>
    <s v="Bhubaneshwar"/>
    <s v="Kids"/>
    <s v="Kids Kurta"/>
    <s v="Zaree Studio"/>
    <s v="Festive"/>
    <s v="Store"/>
    <n v="1"/>
    <n v="2700"/>
    <s v="1-10%"/>
    <n v="5"/>
    <s v="Valid"/>
    <s v="Match"/>
    <n v="2700"/>
    <n v="135"/>
    <n v="2565"/>
    <n v="1698.19"/>
    <n v="866.81"/>
    <b v="0"/>
    <n v="0"/>
    <s v="Card"/>
    <s v="Karan"/>
    <s v="Referral"/>
    <n v="4"/>
    <x v="3"/>
    <x v="2"/>
  </r>
  <r>
    <s v="ZAR-10809"/>
    <d v="2025-07-27T00:00:00"/>
    <s v="8 AM - 12 PM"/>
    <x v="84"/>
    <s v="Rourkela"/>
    <s v="Women"/>
    <s v="Kurti"/>
    <s v="Designer Collection"/>
    <s v="Festive"/>
    <s v="Instagram"/>
    <n v="1"/>
    <n v="1900"/>
    <s v="21-30%"/>
    <n v="25"/>
    <s v="Valid"/>
    <s v="Match"/>
    <n v="1900"/>
    <n v="475"/>
    <n v="1425"/>
    <n v="1025.8"/>
    <n v="399.2"/>
    <b v="0"/>
    <n v="0"/>
    <s v="Cash"/>
    <s v="Priya"/>
    <s v="Google"/>
    <n v="4"/>
    <x v="0"/>
    <x v="0"/>
  </r>
  <r>
    <s v="ZAR-10696"/>
    <d v="2025-03-28T00:00:00"/>
    <s v="12 AM - 4 AM"/>
    <x v="105"/>
    <s v="Bhubaneshwar"/>
    <s v="Kids"/>
    <s v="Kids Saree"/>
    <s v="Zaree Studio"/>
    <s v="Casual"/>
    <s v="Phone"/>
    <n v="1"/>
    <n v="1250"/>
    <s v="21-30%"/>
    <n v="30"/>
    <s v="Valid"/>
    <s v="Match"/>
    <n v="1250"/>
    <n v="375"/>
    <n v="875"/>
    <n v="789.89"/>
    <n v="85.11"/>
    <b v="0"/>
    <n v="0"/>
    <s v="Cash"/>
    <s v="Rohit"/>
    <s v="Referral"/>
    <n v="3"/>
    <x v="9"/>
    <x v="3"/>
  </r>
  <r>
    <s v="ZAR-10995"/>
    <d v="2025-01-06T00:00:00"/>
    <s v="4 AM - 8 AM"/>
    <x v="106"/>
    <s v="Puri"/>
    <s v="Women"/>
    <s v="Dupatta"/>
    <s v="FabIndia"/>
    <s v="Puja"/>
    <s v="Store"/>
    <n v="2"/>
    <n v="4000"/>
    <s v="11-20%"/>
    <n v="20"/>
    <s v="Valid"/>
    <s v="Match"/>
    <n v="8000"/>
    <n v="1600"/>
    <n v="6400"/>
    <n v="5729.61"/>
    <n v="670.39"/>
    <b v="0"/>
    <n v="0"/>
    <s v="Net Banking"/>
    <s v="Ananya"/>
    <s v="Repeat Customer"/>
    <n v="3"/>
    <x v="10"/>
    <x v="2"/>
  </r>
  <r>
    <s v="ZAR-10311"/>
    <d v="2025-11-20T00:00:00"/>
    <s v="12 PM - 4 PM"/>
    <x v="107"/>
    <s v="Sambalpur"/>
    <s v="Kids"/>
    <s v="Kids Kurta"/>
    <s v="Aurelia"/>
    <s v="Casual"/>
    <s v="Store"/>
    <n v="3"/>
    <n v="2800"/>
    <s v="0%"/>
    <n v="0"/>
    <s v="Valid"/>
    <s v="Match"/>
    <n v="8400"/>
    <n v="0"/>
    <n v="8400"/>
    <n v="5539.42"/>
    <n v="2860.58"/>
    <b v="0"/>
    <n v="0"/>
    <s v="Card"/>
    <s v="Ananya"/>
    <s v="WhatsApp"/>
    <n v="4"/>
    <x v="5"/>
    <x v="4"/>
  </r>
  <r>
    <s v="ZAR-10088"/>
    <d v="2025-04-26T00:00:00"/>
    <s v="4 AM - 8 AM"/>
    <x v="108"/>
    <s v="Bhubaneshwar"/>
    <s v="Women"/>
    <s v="Salwar Suit"/>
    <s v="Zaree Studio"/>
    <s v="Puja"/>
    <s v="Store"/>
    <n v="1"/>
    <n v="3100"/>
    <s v="21-30%"/>
    <n v="30"/>
    <s v="Valid"/>
    <s v="Match"/>
    <n v="3100"/>
    <n v="930"/>
    <n v="2170"/>
    <n v="1943.64"/>
    <n v="226.36"/>
    <b v="0"/>
    <n v="0"/>
    <s v="Cash"/>
    <s v="Meera"/>
    <s v="Repeat Customer"/>
    <n v="4.5"/>
    <x v="7"/>
    <x v="5"/>
  </r>
  <r>
    <s v="ZAR-10741"/>
    <d v="2025-08-19T00:00:00"/>
    <s v="4 PM - 8 PM"/>
    <x v="109"/>
    <s v="Puri"/>
    <s v="Women"/>
    <s v="Salwar Suit"/>
    <s v="Local Artisan"/>
    <s v="Puja"/>
    <s v="Store"/>
    <n v="1"/>
    <n v="7150"/>
    <s v="21-30%"/>
    <n v="30"/>
    <s v="Valid"/>
    <s v="Match"/>
    <n v="7150"/>
    <n v="2145"/>
    <n v="5005"/>
    <n v="4980.2"/>
    <n v="24.8"/>
    <b v="0"/>
    <n v="0"/>
    <s v="COD"/>
    <s v="Meera"/>
    <s v="Google"/>
    <n v="3"/>
    <x v="6"/>
    <x v="6"/>
  </r>
  <r>
    <s v="ZAR-10518"/>
    <d v="2025-08-25T00:00:00"/>
    <s v="12 AM - 4 AM"/>
    <x v="110"/>
    <s v="Berhampur"/>
    <s v="Women"/>
    <s v="Bridal Lehenga"/>
    <s v="Biba"/>
    <s v="Festive"/>
    <s v="Instagram"/>
    <n v="1"/>
    <n v="44800"/>
    <s v="21-30%"/>
    <n v="25"/>
    <s v="Valid"/>
    <s v="Match"/>
    <n v="44800"/>
    <n v="11200"/>
    <n v="33600"/>
    <n v="27871.599999999999"/>
    <n v="5728.4"/>
    <b v="0"/>
    <n v="0"/>
    <s v="Card"/>
    <s v="Rohit"/>
    <s v="Instagram"/>
    <n v="3.5"/>
    <x v="6"/>
    <x v="2"/>
  </r>
  <r>
    <s v="ZAR-10312"/>
    <d v="2025-04-24T00:00:00"/>
    <s v="12 PM - 4 PM"/>
    <x v="111"/>
    <s v="Puri"/>
    <s v="Men"/>
    <s v="Indo-Western"/>
    <s v="Zaree Studio"/>
    <s v="Festive"/>
    <s v="Store"/>
    <n v="2"/>
    <n v="17600"/>
    <s v="11-20%"/>
    <n v="20"/>
    <s v="Valid"/>
    <s v="Match"/>
    <n v="35200"/>
    <n v="7040"/>
    <n v="28160"/>
    <n v="22212.62"/>
    <n v="5947.38"/>
    <b v="0"/>
    <n v="0"/>
    <s v="COD"/>
    <s v="Sanjay"/>
    <s v="Referral"/>
    <n v="4"/>
    <x v="7"/>
    <x v="4"/>
  </r>
  <r>
    <s v="ZAR-10538"/>
    <d v="2025-01-04T00:00:00"/>
    <s v="8 PM - 12 AM"/>
    <x v="112"/>
    <s v="Puri"/>
    <s v="Women"/>
    <s v="Blouse"/>
    <s v="Local Artisan"/>
    <s v="Puja"/>
    <s v="Phone"/>
    <n v="2"/>
    <n v="3850"/>
    <s v="0%"/>
    <n v="0"/>
    <s v="Valid"/>
    <s v="Match"/>
    <n v="7700"/>
    <n v="0"/>
    <n v="7700"/>
    <n v="4107.43"/>
    <n v="3592.57"/>
    <b v="0"/>
    <n v="0"/>
    <s v="COD"/>
    <s v="Neha"/>
    <s v="Referral"/>
    <n v="3"/>
    <x v="10"/>
    <x v="5"/>
  </r>
  <r>
    <s v="ZAR-10138"/>
    <d v="2025-05-05T00:00:00"/>
    <s v="8 PM - 12 AM"/>
    <x v="113"/>
    <s v="Balasore"/>
    <s v="Women"/>
    <s v="Kurti"/>
    <s v="Local Artisan"/>
    <s v="Puja"/>
    <s v="Walk-in"/>
    <n v="1"/>
    <n v="4350"/>
    <s v="21-30%"/>
    <n v="30"/>
    <s v="Valid"/>
    <s v="Match"/>
    <n v="4350"/>
    <n v="1305"/>
    <n v="3045"/>
    <n v="2720.33"/>
    <n v="324.67"/>
    <b v="0"/>
    <n v="0"/>
    <s v="Net Banking"/>
    <s v="Neha"/>
    <s v="Not Recorded"/>
    <n v="4"/>
    <x v="8"/>
    <x v="2"/>
  </r>
  <r>
    <s v="ZAR-10875"/>
    <d v="2025-04-14T00:00:00"/>
    <s v="4 PM - 8 PM"/>
    <x v="114"/>
    <s v="Sambalpur"/>
    <s v="Women"/>
    <s v="Salwar Suit"/>
    <s v="Biba"/>
    <s v="Casual"/>
    <s v="Store"/>
    <n v="1"/>
    <n v="3700"/>
    <s v="11-20%"/>
    <n v="15"/>
    <s v="Valid"/>
    <s v="Match"/>
    <n v="3700"/>
    <n v="555"/>
    <n v="3145"/>
    <n v="2054.13"/>
    <n v="1090.8699999999999"/>
    <b v="0"/>
    <n v="0"/>
    <s v="Net Banking"/>
    <s v="Ananya"/>
    <s v="Google"/>
    <n v="3"/>
    <x v="7"/>
    <x v="2"/>
  </r>
  <r>
    <s v="ZAR-10467"/>
    <d v="2025-03-06T00:00:00"/>
    <s v="4 PM - 8 PM"/>
    <x v="115"/>
    <s v="Sambalpur"/>
    <s v="Women"/>
    <s v="Kurti"/>
    <s v="FabIndia"/>
    <s v="Office"/>
    <s v="Store"/>
    <n v="1"/>
    <n v="4050"/>
    <s v="11-20%"/>
    <n v="20"/>
    <s v="Valid"/>
    <s v="Match"/>
    <n v="4050"/>
    <n v="810"/>
    <n v="3240"/>
    <n v="2404.0300000000002"/>
    <n v="835.97"/>
    <b v="0"/>
    <n v="0"/>
    <s v="Card"/>
    <s v="Ananya"/>
    <s v="Instagram"/>
    <n v="4.5"/>
    <x v="9"/>
    <x v="4"/>
  </r>
  <r>
    <s v="ZAR-10904"/>
    <d v="2025-05-19T00:00:00"/>
    <s v="8 AM - 12 PM"/>
    <x v="116"/>
    <s v="Berhampur"/>
    <s v="Kids"/>
    <s v="Kids Sherwani"/>
    <s v="Aurelia"/>
    <s v="Engagement"/>
    <s v="Store"/>
    <n v="2"/>
    <n v="3950"/>
    <s v="1-10%"/>
    <n v="10"/>
    <s v="Valid"/>
    <s v="Match"/>
    <n v="7900"/>
    <n v="790"/>
    <n v="7110"/>
    <n v="5201.41"/>
    <n v="1908.59"/>
    <b v="0"/>
    <n v="0"/>
    <s v="Cash"/>
    <s v="Priya"/>
    <s v="Walk-in"/>
    <n v="3.5"/>
    <x v="8"/>
    <x v="2"/>
  </r>
  <r>
    <s v="ZAR-10263"/>
    <d v="2025-03-02T00:00:00"/>
    <s v="8 PM - 12 AM"/>
    <x v="30"/>
    <s v="Rourkela"/>
    <s v="Men"/>
    <s v="Kurta Pajama"/>
    <s v="Designer Collection"/>
    <s v="Family Function"/>
    <s v="Website"/>
    <n v="1"/>
    <n v="2500"/>
    <s v="11-20%"/>
    <n v="20"/>
    <s v="Valid"/>
    <s v="Match"/>
    <n v="2500"/>
    <n v="500"/>
    <n v="2000"/>
    <n v="1694.52"/>
    <n v="305.48"/>
    <b v="0"/>
    <n v="0"/>
    <s v="Net Banking"/>
    <s v="Rohit"/>
    <s v="Repeat Customer"/>
    <n v="5"/>
    <x v="9"/>
    <x v="0"/>
  </r>
  <r>
    <s v="ZAR-10488"/>
    <d v="2025-03-31T00:00:00"/>
    <s v="12 AM - 4 AM"/>
    <x v="117"/>
    <s v="Cuttack"/>
    <s v="Women"/>
    <s v="Kurti"/>
    <s v="Biba"/>
    <s v="Puja"/>
    <s v="WhatsApp"/>
    <n v="2"/>
    <n v="3200"/>
    <s v="21-30%"/>
    <n v="25"/>
    <s v="Valid"/>
    <s v="Match"/>
    <n v="6400"/>
    <n v="1600"/>
    <n v="4800"/>
    <n v="4176.99"/>
    <n v="623.01"/>
    <b v="0"/>
    <n v="0"/>
    <s v="Card"/>
    <s v="Meera"/>
    <s v="WhatsApp"/>
    <n v="3.5"/>
    <x v="9"/>
    <x v="2"/>
  </r>
  <r>
    <s v="ZAR-10170"/>
    <d v="2025-09-06T00:00:00"/>
    <s v="8 AM - 12 PM"/>
    <x v="118"/>
    <s v="Balasore"/>
    <s v="Women"/>
    <s v="Gown"/>
    <s v="Zaree Studio"/>
    <s v="Reception"/>
    <s v="WhatsApp"/>
    <n v="1"/>
    <n v="12850"/>
    <s v="11-20%"/>
    <n v="20"/>
    <s v="Valid"/>
    <s v="Match"/>
    <n v="12850"/>
    <n v="2570"/>
    <n v="10280"/>
    <n v="7051.19"/>
    <n v="3228.81"/>
    <b v="0"/>
    <n v="0"/>
    <s v="UPI"/>
    <s v="Meera"/>
    <s v="Walk-in"/>
    <n v="4"/>
    <x v="11"/>
    <x v="5"/>
  </r>
  <r>
    <s v="ZAR-10832"/>
    <d v="2025-02-10T00:00:00"/>
    <s v="12 AM - 4 AM"/>
    <x v="31"/>
    <s v="Balasore"/>
    <s v="Women"/>
    <s v="Lehenga"/>
    <s v="Biba"/>
    <s v="Festive"/>
    <s v="Store"/>
    <n v="3"/>
    <n v="11400"/>
    <s v="11-20%"/>
    <n v="15"/>
    <s v="Valid"/>
    <s v="Match"/>
    <n v="34200"/>
    <n v="5130"/>
    <n v="29070"/>
    <n v="18284.349999999999"/>
    <n v="10785.65"/>
    <b v="0"/>
    <n v="0"/>
    <s v="Cash"/>
    <s v="Meera"/>
    <s v="Repeat Customer"/>
    <n v="4"/>
    <x v="3"/>
    <x v="4"/>
  </r>
  <r>
    <s v="ZAR-10449"/>
    <d v="2025-06-24T00:00:00"/>
    <s v="12 PM - 4 PM"/>
    <x v="119"/>
    <s v="Cuttack"/>
    <s v="Men"/>
    <s v="Dhoti Set"/>
    <s v="Rangriti"/>
    <s v="Family Function"/>
    <s v="Instagram"/>
    <n v="2"/>
    <n v="2750"/>
    <s v="0%"/>
    <n v="0"/>
    <s v="Valid"/>
    <s v="Match"/>
    <n v="5500"/>
    <n v="0"/>
    <n v="5500"/>
    <n v="2908.93"/>
    <n v="2591.0700000000002"/>
    <b v="0"/>
    <n v="0"/>
    <s v="Cash"/>
    <s v="Sanjay"/>
    <s v="Google"/>
    <n v="4.5"/>
    <x v="2"/>
    <x v="6"/>
  </r>
  <r>
    <s v="ZAR-10141"/>
    <d v="2025-10-05T00:00:00"/>
    <s v="8 PM - 12 AM"/>
    <x v="71"/>
    <s v="Berhampur"/>
    <s v="Men"/>
    <s v="Nehru Jacket"/>
    <s v="Local Artisan"/>
    <s v="Festive"/>
    <s v="Store"/>
    <n v="2"/>
    <n v="2750"/>
    <s v="11-20%"/>
    <n v="15"/>
    <s v="Valid"/>
    <s v="Match"/>
    <n v="5500"/>
    <n v="825"/>
    <n v="4675"/>
    <n v="3082.7"/>
    <n v="1592.3"/>
    <b v="0"/>
    <n v="0"/>
    <s v="Card"/>
    <s v="Meera"/>
    <s v="WhatsApp"/>
    <n v="3"/>
    <x v="3"/>
    <x v="0"/>
  </r>
  <r>
    <s v="ZAR-10742"/>
    <d v="2025-04-12T00:00:00"/>
    <s v="4 PM - 8 PM"/>
    <x v="120"/>
    <s v="Berhampur"/>
    <s v="Kids"/>
    <s v="Kids Lehenga"/>
    <s v="Designer Collection"/>
    <s v="Festive"/>
    <s v="WhatsApp"/>
    <n v="1"/>
    <n v="3950"/>
    <s v="21-30%"/>
    <n v="25"/>
    <s v="Valid"/>
    <s v="Match"/>
    <n v="3950"/>
    <n v="987.5"/>
    <n v="2962.5"/>
    <n v="2566.84"/>
    <n v="395.66"/>
    <b v="0"/>
    <n v="0"/>
    <s v="Net Banking"/>
    <s v="Priya"/>
    <s v="Not Recorded"/>
    <n v="2.5"/>
    <x v="7"/>
    <x v="5"/>
  </r>
  <r>
    <s v="ZAR-10666"/>
    <d v="2025-05-27T00:00:00"/>
    <s v="4 AM - 8 AM"/>
    <x v="121"/>
    <s v="Balasore"/>
    <s v="Kids"/>
    <s v="Kids Sherwani"/>
    <s v="Zaree Studio"/>
    <s v="Reception"/>
    <s v="Store"/>
    <n v="1"/>
    <n v="4150"/>
    <s v="11-20%"/>
    <n v="15"/>
    <s v="Valid"/>
    <s v="Match"/>
    <n v="4150"/>
    <n v="622.5"/>
    <n v="3527.5"/>
    <n v="2557.4499999999998"/>
    <n v="970.05"/>
    <b v="0"/>
    <n v="0"/>
    <s v="UPI"/>
    <s v="Rohit"/>
    <s v="Instagram"/>
    <n v="3"/>
    <x v="8"/>
    <x v="6"/>
  </r>
  <r>
    <s v="ZAR-10857"/>
    <d v="2025-03-24T00:00:00"/>
    <s v="12 AM - 4 AM"/>
    <x v="122"/>
    <s v="Bhubaneshwar"/>
    <s v="Men"/>
    <s v="Shirt"/>
    <s v="Local Artisan"/>
    <s v="Festive"/>
    <s v="Store"/>
    <n v="1"/>
    <n v="1550"/>
    <s v="21-30%"/>
    <n v="25"/>
    <s v="Valid"/>
    <s v="Match"/>
    <n v="1550"/>
    <n v="387.5"/>
    <n v="1162.5"/>
    <n v="891.82"/>
    <n v="270.68"/>
    <b v="0"/>
    <n v="0"/>
    <s v="UPI"/>
    <s v="Karan"/>
    <s v="WhatsApp"/>
    <n v="4.5"/>
    <x v="9"/>
    <x v="2"/>
  </r>
  <r>
    <s v="ZAR-10442"/>
    <d v="2025-09-09T00:00:00"/>
    <s v="4 AM - 8 AM"/>
    <x v="123"/>
    <s v="Puri"/>
    <s v="Women"/>
    <s v="Salwar Suit"/>
    <s v="Aurelia"/>
    <s v="Casual"/>
    <s v="Phone"/>
    <n v="1"/>
    <n v="5500"/>
    <s v="1-10%"/>
    <n v="5"/>
    <s v="Valid"/>
    <s v="Match"/>
    <n v="5500"/>
    <n v="275"/>
    <n v="5225"/>
    <n v="3241.81"/>
    <n v="1983.19"/>
    <b v="0"/>
    <n v="0"/>
    <s v="Card"/>
    <s v="Ananya"/>
    <s v="Walk-in"/>
    <n v="3"/>
    <x v="11"/>
    <x v="6"/>
  </r>
  <r>
    <s v="ZAR-10871"/>
    <d v="2025-09-25T00:00:00"/>
    <s v="4 AM - 8 AM"/>
    <x v="124"/>
    <s v="Cuttack"/>
    <s v="Men"/>
    <s v="Kurta Pajama"/>
    <s v="Rangriti"/>
    <s v="Wedding"/>
    <s v="Store"/>
    <n v="3"/>
    <n v="4750"/>
    <s v="1-10%"/>
    <n v="5"/>
    <s v="Valid"/>
    <s v="Match"/>
    <n v="14250"/>
    <n v="712.5"/>
    <n v="13537.5"/>
    <n v="7885.17"/>
    <n v="5652.33"/>
    <b v="0"/>
    <n v="0"/>
    <s v="Net Banking"/>
    <s v="Priya"/>
    <s v="Instagram"/>
    <n v="4"/>
    <x v="11"/>
    <x v="4"/>
  </r>
  <r>
    <s v="ZAR-10533"/>
    <d v="2025-03-17T00:00:00"/>
    <s v="8 AM - 12 PM"/>
    <x v="125"/>
    <s v="Rourkela"/>
    <s v="Women"/>
    <s v="Bridal Lehenga"/>
    <s v="Manyavar"/>
    <s v="Reception"/>
    <s v="Phone"/>
    <n v="1"/>
    <n v="116600"/>
    <s v="21-30%"/>
    <n v="25"/>
    <s v="Valid"/>
    <s v="Match"/>
    <n v="116600"/>
    <n v="29150"/>
    <n v="87450"/>
    <n v="77707.91"/>
    <n v="9742.09"/>
    <b v="0"/>
    <n v="0"/>
    <s v="UPI"/>
    <s v="Ananya"/>
    <s v="Instagram"/>
    <n v="4.5"/>
    <x v="9"/>
    <x v="2"/>
  </r>
  <r>
    <s v="ZAR-10057"/>
    <d v="2025-05-16T00:00:00"/>
    <s v="8 AM - 12 PM"/>
    <x v="84"/>
    <s v="Balasore"/>
    <s v="Women"/>
    <s v="Saree"/>
    <s v="Local Artisan"/>
    <s v="Office"/>
    <s v="Store"/>
    <n v="2"/>
    <n v="15400"/>
    <s v="1-10%"/>
    <n v="5"/>
    <s v="Valid"/>
    <s v="Match"/>
    <n v="30800"/>
    <n v="1540"/>
    <n v="29260"/>
    <n v="16523.04"/>
    <n v="12736.96"/>
    <b v="0"/>
    <n v="0"/>
    <s v="Cash"/>
    <s v="Karan"/>
    <s v="WhatsApp"/>
    <n v="5"/>
    <x v="8"/>
    <x v="3"/>
  </r>
  <r>
    <s v="ZAR-10122"/>
    <d v="2025-09-01T00:00:00"/>
    <s v="12 PM - 4 PM"/>
    <x v="126"/>
    <s v="Cuttack"/>
    <s v="Women"/>
    <s v="Saree"/>
    <s v="Zaree Studio"/>
    <s v="Office"/>
    <s v="WhatsApp"/>
    <n v="2"/>
    <n v="1950"/>
    <s v="1-10%"/>
    <n v="5"/>
    <s v="Valid"/>
    <s v="Match"/>
    <n v="3900"/>
    <n v="195"/>
    <n v="3705"/>
    <n v="2377.13"/>
    <n v="1327.87"/>
    <b v="0"/>
    <n v="0"/>
    <s v="UPI"/>
    <s v="Karan"/>
    <s v="Repeat Customer"/>
    <n v="5"/>
    <x v="11"/>
    <x v="2"/>
  </r>
  <r>
    <s v="ZAR-10530"/>
    <d v="2025-10-11T00:00:00"/>
    <s v="4 AM - 8 AM"/>
    <x v="127"/>
    <s v="Rourkela"/>
    <s v="Women"/>
    <s v="Lehenga"/>
    <s v="Designer Collection"/>
    <s v="Festive"/>
    <s v="Store"/>
    <n v="3"/>
    <n v="35850"/>
    <s v="11-20%"/>
    <n v="20"/>
    <s v="Valid"/>
    <s v="Match"/>
    <n v="107550"/>
    <n v="21510"/>
    <n v="86040"/>
    <n v="68636.63"/>
    <n v="17403.37"/>
    <b v="0"/>
    <n v="0"/>
    <s v="UPI"/>
    <s v="Priya"/>
    <s v="Walk-in"/>
    <n v="4.5"/>
    <x v="3"/>
    <x v="5"/>
  </r>
  <r>
    <s v="ZAR-10027"/>
    <d v="2025-03-31T00:00:00"/>
    <s v="4 PM - 8 PM"/>
    <x v="128"/>
    <s v="Sambalpur"/>
    <s v="Men"/>
    <s v="Dhoti Set"/>
    <s v="Aurelia"/>
    <s v="Wedding"/>
    <s v="Store"/>
    <n v="0"/>
    <n v="2450"/>
    <s v="11-20%"/>
    <n v="15"/>
    <s v="Valid"/>
    <s v="Match"/>
    <n v="2450"/>
    <n v="367.5"/>
    <n v="2082.5"/>
    <n v="1639.07"/>
    <n v="443.43"/>
    <b v="0"/>
    <n v="0"/>
    <s v="Net Banking"/>
    <s v="Meera"/>
    <s v="Repeat Customer"/>
    <n v="4"/>
    <x v="9"/>
    <x v="2"/>
  </r>
  <r>
    <s v="ZAR-10074"/>
    <d v="2025-10-28T00:00:00"/>
    <s v="4 PM - 8 PM"/>
    <x v="129"/>
    <s v="Sambalpur"/>
    <s v="Women"/>
    <s v="Lehenga"/>
    <s v="Zaree Studio"/>
    <s v="Festive"/>
    <s v="Instagram"/>
    <n v="1"/>
    <n v="35300"/>
    <s v="1-10%"/>
    <n v="5"/>
    <s v="Valid"/>
    <s v="Match"/>
    <n v="35300"/>
    <n v="1765"/>
    <n v="33535"/>
    <n v="22676.78"/>
    <n v="10858.22"/>
    <b v="0"/>
    <n v="0"/>
    <s v="Cash"/>
    <s v="Neha"/>
    <s v="Referral"/>
    <n v="5"/>
    <x v="3"/>
    <x v="6"/>
  </r>
  <r>
    <s v="ZAR-10046"/>
    <d v="2025-03-30T00:00:00"/>
    <s v="4 PM - 8 PM"/>
    <x v="130"/>
    <s v="Cuttack"/>
    <s v="Kids"/>
    <s v="Kids Kurta"/>
    <s v="Zaree Studio"/>
    <s v="Family Function"/>
    <s v="Store"/>
    <n v="1"/>
    <n v="2450"/>
    <s v="0%"/>
    <n v="0"/>
    <s v="Valid"/>
    <s v="Match"/>
    <n v="2450"/>
    <n v="0"/>
    <n v="2450"/>
    <n v="1358.65"/>
    <n v="1091.3499999999999"/>
    <b v="0"/>
    <n v="0"/>
    <s v="Card"/>
    <s v="Priya"/>
    <s v="WhatsApp"/>
    <n v="4"/>
    <x v="9"/>
    <x v="0"/>
  </r>
  <r>
    <s v="ZAR-10251"/>
    <d v="2025-01-09T00:00:00"/>
    <s v="12 PM - 4 PM"/>
    <x v="131"/>
    <s v="Bhubaneshwar"/>
    <s v="Men"/>
    <s v="Nehru Jacket"/>
    <s v="Zaree Studio"/>
    <s v="Festive"/>
    <s v="Store"/>
    <n v="1"/>
    <n v="4100"/>
    <s v="11-20%"/>
    <n v="15"/>
    <s v="Valid"/>
    <s v="Match"/>
    <n v="4100"/>
    <n v="615"/>
    <n v="3485"/>
    <n v="2522.59"/>
    <n v="962.41"/>
    <b v="0"/>
    <n v="0"/>
    <s v="UPI"/>
    <s v="Priya"/>
    <s v="Repeat Customer"/>
    <n v="5"/>
    <x v="10"/>
    <x v="4"/>
  </r>
  <r>
    <s v="ZAR-10396"/>
    <d v="2025-02-17T00:00:00"/>
    <s v="8 AM - 12 PM"/>
    <x v="132"/>
    <s v="Berhampur"/>
    <s v="Women"/>
    <s v="Salwar Suit"/>
    <s v="Aurelia"/>
    <s v="Festive"/>
    <s v="Instagram"/>
    <n v="2"/>
    <n v="2000"/>
    <s v="1-10%"/>
    <n v="5"/>
    <s v="Valid"/>
    <s v="Match"/>
    <n v="4000"/>
    <n v="200"/>
    <n v="3800"/>
    <n v="2472.46"/>
    <n v="1327.54"/>
    <b v="0"/>
    <n v="0"/>
    <s v="UPI"/>
    <s v="Ananya"/>
    <s v="Repeat Customer"/>
    <n v="4"/>
    <x v="4"/>
    <x v="2"/>
  </r>
  <r>
    <s v="ZAR-10916"/>
    <d v="2025-05-18T00:00:00"/>
    <s v="8 AM - 12 PM"/>
    <x v="14"/>
    <s v="Sambalpur"/>
    <s v="Women"/>
    <s v="Blouse"/>
    <s v="Aurelia"/>
    <s v="Puja"/>
    <s v="Store"/>
    <n v="1"/>
    <n v="6450"/>
    <s v="1-10%"/>
    <n v="10"/>
    <s v="Valid"/>
    <s v="Match"/>
    <n v="6450"/>
    <n v="645"/>
    <n v="5805"/>
    <n v="3848.14"/>
    <n v="1956.86"/>
    <b v="0"/>
    <n v="0"/>
    <s v="UPI"/>
    <s v="Sanjay"/>
    <s v="Referral"/>
    <n v="5"/>
    <x v="8"/>
    <x v="0"/>
  </r>
  <r>
    <s v="ZAR-10902"/>
    <d v="2025-10-15T00:00:00"/>
    <s v="12 AM - 4 AM"/>
    <x v="133"/>
    <s v="Puri"/>
    <s v="Women"/>
    <s v="Blouse"/>
    <s v="Local Artisan"/>
    <s v="Office"/>
    <s v="Store"/>
    <n v="1"/>
    <n v="5600"/>
    <s v="0%"/>
    <n v="0"/>
    <s v="Valid"/>
    <s v="Match"/>
    <n v="5600"/>
    <n v="0"/>
    <n v="5600"/>
    <n v="3426.13"/>
    <n v="2173.87"/>
    <b v="0"/>
    <n v="0"/>
    <s v="Cash"/>
    <s v="Sanjay"/>
    <s v="WhatsApp"/>
    <n v="4"/>
    <x v="3"/>
    <x v="1"/>
  </r>
  <r>
    <s v="ZAR-10748"/>
    <d v="2025-04-24T00:00:00"/>
    <s v="4 AM - 8 AM"/>
    <x v="134"/>
    <s v="Balasore"/>
    <s v="Men"/>
    <s v="Nehru Jacket"/>
    <s v="Designer Collection"/>
    <s v="Wedding"/>
    <s v="Store"/>
    <n v="2"/>
    <n v="3300"/>
    <s v="21-30%"/>
    <n v="25"/>
    <s v="Valid"/>
    <s v="Match"/>
    <n v="6600"/>
    <n v="1650"/>
    <n v="4950"/>
    <n v="3893.97"/>
    <n v="1056.03"/>
    <b v="0"/>
    <n v="0"/>
    <s v="COD"/>
    <s v="Sanjay"/>
    <s v="WhatsApp"/>
    <n v="5"/>
    <x v="7"/>
    <x v="4"/>
  </r>
  <r>
    <s v="ZAR-10200"/>
    <d v="2025-09-10T00:00:00"/>
    <s v="12 PM - 4 PM"/>
    <x v="16"/>
    <s v="Berhampur"/>
    <s v="Men"/>
    <s v="Sherwani"/>
    <s v="Designer Collection"/>
    <s v="Reception"/>
    <s v="Store"/>
    <n v="2"/>
    <n v="21650"/>
    <s v="1-10%"/>
    <n v="5"/>
    <s v="Valid"/>
    <s v="Match"/>
    <n v="43300"/>
    <n v="2165"/>
    <n v="41135"/>
    <n v="30942.240000000002"/>
    <n v="10192.76"/>
    <b v="0"/>
    <n v="0"/>
    <s v="UPI"/>
    <s v="Meera"/>
    <s v="Instagram"/>
    <n v="3.5"/>
    <x v="11"/>
    <x v="1"/>
  </r>
  <r>
    <s v="ZAR-10818"/>
    <d v="2025-10-28T00:00:00"/>
    <s v="8 AM - 12 PM"/>
    <x v="89"/>
    <s v="Bhubaneshwar"/>
    <s v="Men"/>
    <s v="Dhoti Set"/>
    <s v="Rangriti"/>
    <s v="Wedding"/>
    <s v="Phone"/>
    <n v="1"/>
    <n v="6700"/>
    <s v="11-20%"/>
    <n v="20"/>
    <s v="Valid"/>
    <s v="Match"/>
    <n v="6700"/>
    <n v="1340"/>
    <n v="5360"/>
    <n v="4928.78"/>
    <n v="431.22"/>
    <b v="0"/>
    <n v="0"/>
    <s v="UPI"/>
    <s v="Neha"/>
    <s v="Instagram"/>
    <n v="4.5"/>
    <x v="3"/>
    <x v="6"/>
  </r>
  <r>
    <s v="ZAR-10357"/>
    <d v="2025-10-21T00:00:00"/>
    <s v="8 AM - 12 PM"/>
    <x v="135"/>
    <s v="Sambalpur"/>
    <s v="Women"/>
    <s v="Bridal Lehenga"/>
    <s v="Zaree Studio"/>
    <s v="Engagement"/>
    <s v="Phone"/>
    <n v="1"/>
    <n v="114700"/>
    <s v="11-20%"/>
    <n v="20"/>
    <s v="Valid"/>
    <s v="Match"/>
    <n v="114700"/>
    <n v="22940"/>
    <n v="91760"/>
    <n v="82507.39"/>
    <n v="9252.61"/>
    <b v="0"/>
    <n v="0"/>
    <s v="COD"/>
    <s v="Unknown"/>
    <s v="Referral"/>
    <n v="3.5"/>
    <x v="3"/>
    <x v="6"/>
  </r>
  <r>
    <s v="ZAR-10325"/>
    <d v="2025-01-22T00:00:00"/>
    <s v="4 PM - 8 PM"/>
    <x v="136"/>
    <s v="Puri"/>
    <s v="Women"/>
    <s v="Gown"/>
    <s v="Zaree Studio"/>
    <s v="Puja"/>
    <s v="Store"/>
    <n v="3"/>
    <n v="13350"/>
    <s v="11-20%"/>
    <n v="15"/>
    <s v="Valid"/>
    <s v="Match"/>
    <n v="40050"/>
    <n v="6007.5"/>
    <n v="34042.5"/>
    <n v="24393.279999999999"/>
    <n v="9649.2199999999993"/>
    <b v="0"/>
    <n v="0"/>
    <s v="COD"/>
    <s v="Ananya"/>
    <s v="Google"/>
    <n v="5"/>
    <x v="10"/>
    <x v="1"/>
  </r>
  <r>
    <s v="ZAR-10878"/>
    <d v="2025-05-08T00:00:00"/>
    <s v="12 AM - 4 AM"/>
    <x v="137"/>
    <s v="Bhubaneshwar"/>
    <s v="Men"/>
    <s v="Indo-Western"/>
    <s v="Zaree Studio"/>
    <s v="Festive"/>
    <s v="Website"/>
    <n v="2"/>
    <n v="10700"/>
    <s v="21-30%"/>
    <n v="30"/>
    <s v="Valid"/>
    <s v="Match"/>
    <n v="21400"/>
    <n v="6420"/>
    <n v="14980"/>
    <n v="15773.77"/>
    <n v="-793.77"/>
    <b v="1"/>
    <n v="793.77"/>
    <s v="Cash"/>
    <s v="Sanjay"/>
    <s v="Google"/>
    <n v="3"/>
    <x v="8"/>
    <x v="4"/>
  </r>
  <r>
    <s v="ZAR-10745"/>
    <d v="2025-02-21T00:00:00"/>
    <s v="12 PM - 4 PM"/>
    <x v="138"/>
    <s v="Balasore"/>
    <s v="Women"/>
    <s v="Gown"/>
    <s v="Zaree Studio"/>
    <s v="Reception"/>
    <s v="Store"/>
    <n v="1"/>
    <n v="7150"/>
    <s v="21-30%"/>
    <n v="25"/>
    <s v="Valid"/>
    <s v="Match"/>
    <n v="7150"/>
    <n v="1787.5"/>
    <n v="5362.5"/>
    <n v="4721.28"/>
    <n v="641.22"/>
    <b v="0"/>
    <n v="0"/>
    <s v="Card"/>
    <s v="Karan"/>
    <s v="Referral"/>
    <n v="4"/>
    <x v="4"/>
    <x v="3"/>
  </r>
  <r>
    <s v="ZAR-10237"/>
    <d v="2025-07-21T00:00:00"/>
    <s v="4 AM - 8 AM"/>
    <x v="139"/>
    <s v="Puri"/>
    <s v="Women"/>
    <s v="Dupatta"/>
    <s v="Zaree Studio"/>
    <s v="Wedding Guest"/>
    <s v="WhatsApp"/>
    <n v="2"/>
    <n v="1000"/>
    <s v="1-10%"/>
    <n v="5"/>
    <s v="Valid"/>
    <s v="Match"/>
    <n v="2000"/>
    <n v="100"/>
    <n v="1900"/>
    <n v="1093.1300000000001"/>
    <n v="806.87"/>
    <b v="0"/>
    <n v="0"/>
    <s v="COD"/>
    <s v="Ananya"/>
    <s v="Google"/>
    <n v="4"/>
    <x v="0"/>
    <x v="2"/>
  </r>
  <r>
    <s v="ZAR-10580"/>
    <d v="2025-10-14T00:00:00"/>
    <s v="8 AM - 12 PM"/>
    <x v="58"/>
    <s v="Sambalpur"/>
    <s v="Women"/>
    <s v="Saree"/>
    <s v="Designer Collection"/>
    <s v="Casual"/>
    <s v="Store"/>
    <n v="2"/>
    <n v="8150"/>
    <s v="1-10%"/>
    <n v="10"/>
    <s v="Valid"/>
    <s v="Match"/>
    <n v="16300"/>
    <n v="1630"/>
    <n v="14670"/>
    <n v="11673.23"/>
    <n v="2996.77"/>
    <b v="0"/>
    <n v="0"/>
    <s v="Net Banking"/>
    <s v="Neha"/>
    <s v="Repeat Customer"/>
    <n v="3"/>
    <x v="3"/>
    <x v="6"/>
  </r>
  <r>
    <s v="ZAR-10949"/>
    <d v="2025-05-19T00:00:00"/>
    <s v="4 AM - 8 AM"/>
    <x v="140"/>
    <s v="Puri"/>
    <s v="Kids"/>
    <s v="Kids Lehenga"/>
    <s v="Rangriti"/>
    <s v="Family Function"/>
    <s v="Store"/>
    <n v="1"/>
    <n v="11550"/>
    <s v="21-30%"/>
    <n v="30"/>
    <s v="Valid"/>
    <s v="Match"/>
    <n v="11550"/>
    <n v="3465"/>
    <n v="8085"/>
    <n v="8024.64"/>
    <n v="60.36"/>
    <b v="0"/>
    <n v="0"/>
    <s v="Cash"/>
    <s v="Meera"/>
    <s v="Instagram"/>
    <n v="3.5"/>
    <x v="8"/>
    <x v="2"/>
  </r>
  <r>
    <s v="ZAR-10943"/>
    <d v="2025-09-16T00:00:00"/>
    <s v="8 AM - 12 PM"/>
    <x v="141"/>
    <s v="Rourkela"/>
    <s v="Women"/>
    <s v="Kurti"/>
    <s v="Designer Collection"/>
    <s v="Puja"/>
    <s v="Website"/>
    <n v="1"/>
    <n v="1500"/>
    <s v="21-30%"/>
    <n v="25"/>
    <s v="Valid"/>
    <s v="Match"/>
    <n v="1500"/>
    <n v="375"/>
    <n v="1125"/>
    <n v="1063.07"/>
    <n v="61.93"/>
    <b v="0"/>
    <n v="0"/>
    <s v="COD"/>
    <s v="Neha"/>
    <s v="Referral"/>
    <n v="2.5"/>
    <x v="11"/>
    <x v="6"/>
  </r>
  <r>
    <s v="ZAR-10907"/>
    <d v="2025-11-07T00:00:00"/>
    <s v="12 AM - 4 AM"/>
    <x v="142"/>
    <s v="Bhubaneshwar"/>
    <s v="Women"/>
    <s v="Salwar Suit"/>
    <s v="Rangriti"/>
    <s v="Casual"/>
    <s v="Phone"/>
    <n v="1"/>
    <n v="8500"/>
    <s v="1-10%"/>
    <n v="10"/>
    <s v="Valid"/>
    <s v="Match"/>
    <n v="8500"/>
    <n v="850"/>
    <n v="7650"/>
    <n v="4693.66"/>
    <n v="2956.34"/>
    <b v="0"/>
    <n v="0"/>
    <s v="Card"/>
    <s v="Meera"/>
    <s v="Referral"/>
    <n v="3"/>
    <x v="5"/>
    <x v="3"/>
  </r>
  <r>
    <s v="ZAR-10301"/>
    <d v="2025-05-03T00:00:00"/>
    <s v="8 AM - 12 PM"/>
    <x v="143"/>
    <s v="Bhubaneshwar"/>
    <s v="Women"/>
    <s v="Saree"/>
    <s v="Designer Collection"/>
    <s v="Casual"/>
    <s v="Instagram"/>
    <n v="2"/>
    <n v="31100"/>
    <s v="1-10%"/>
    <n v="10"/>
    <s v="Valid"/>
    <s v="Match"/>
    <n v="62200"/>
    <n v="6220"/>
    <n v="55980"/>
    <n v="42963.01"/>
    <n v="13016.99"/>
    <b v="0"/>
    <n v="0"/>
    <s v="COD"/>
    <s v="Rohit"/>
    <s v="Repeat Customer"/>
    <n v="3.5"/>
    <x v="8"/>
    <x v="5"/>
  </r>
  <r>
    <s v="ZAR-10062"/>
    <d v="2025-05-27T00:00:00"/>
    <s v="4 AM - 8 AM"/>
    <x v="144"/>
    <s v="Puri"/>
    <s v="Men"/>
    <s v="Sherwani"/>
    <s v="Manyavar"/>
    <s v="Engagement"/>
    <s v="Store"/>
    <n v="2"/>
    <n v="41600"/>
    <s v="21-30%"/>
    <n v="30"/>
    <s v="Valid"/>
    <s v="Match"/>
    <n v="83200"/>
    <n v="24960"/>
    <n v="58240"/>
    <n v="59813.66"/>
    <n v="-1573.66"/>
    <b v="1"/>
    <n v="1573.66"/>
    <s v="UPI"/>
    <s v="Karan"/>
    <s v="WhatsApp"/>
    <n v="5"/>
    <x v="8"/>
    <x v="6"/>
  </r>
  <r>
    <s v="ZAR-10329"/>
    <d v="2025-06-21T00:00:00"/>
    <s v="4 PM - 8 PM"/>
    <x v="145"/>
    <s v="Balasore"/>
    <s v="Women"/>
    <s v="Saree"/>
    <s v="Zaree Studio"/>
    <s v="Festive"/>
    <s v="Website"/>
    <n v="1"/>
    <n v="14350"/>
    <s v="21-30%"/>
    <n v="30"/>
    <s v="Valid"/>
    <s v="Match"/>
    <n v="14350"/>
    <n v="4305"/>
    <n v="10045"/>
    <n v="8001.48"/>
    <n v="2043.52"/>
    <b v="0"/>
    <n v="0"/>
    <s v="Net Banking"/>
    <s v="Priya"/>
    <s v="Referral"/>
    <n v="3.5"/>
    <x v="2"/>
    <x v="5"/>
  </r>
  <r>
    <s v="ZAR-10529"/>
    <d v="2025-02-10T00:00:00"/>
    <s v="8 AM - 12 PM"/>
    <x v="146"/>
    <s v="Rourkela"/>
    <s v="Women"/>
    <s v="Blouse"/>
    <s v="Manyavar"/>
    <s v="Casual"/>
    <s v="Store"/>
    <n v="1"/>
    <n v="6800"/>
    <s v="21-30%"/>
    <n v="30"/>
    <s v="Valid"/>
    <s v="Match"/>
    <n v="6800"/>
    <n v="2040"/>
    <n v="4760"/>
    <n v="4704.8100000000004"/>
    <n v="55.19"/>
    <b v="0"/>
    <n v="0"/>
    <s v="Net Banking"/>
    <s v="Ananya"/>
    <s v="Not Recorded"/>
    <n v="4.5"/>
    <x v="4"/>
    <x v="2"/>
  </r>
  <r>
    <s v="ZAR-10601"/>
    <d v="2025-01-15T00:00:00"/>
    <s v="4 AM - 8 AM"/>
    <x v="147"/>
    <s v="Cuttack"/>
    <s v="Women"/>
    <s v="Lehenga"/>
    <s v="Zaree Studio"/>
    <s v="Wedding"/>
    <s v="Store"/>
    <n v="1"/>
    <n v="10950"/>
    <s v="21-30%"/>
    <n v="30"/>
    <s v="Valid"/>
    <s v="Match"/>
    <n v="10950"/>
    <n v="3285"/>
    <n v="7665"/>
    <n v="7733.48"/>
    <n v="-68.48"/>
    <b v="0"/>
    <n v="0"/>
    <s v="Card"/>
    <s v="Priya"/>
    <s v="Instagram"/>
    <n v="3"/>
    <x v="10"/>
    <x v="1"/>
  </r>
  <r>
    <s v="ZAR-10543"/>
    <d v="2025-04-19T00:00:00"/>
    <s v="4 AM - 8 AM"/>
    <x v="80"/>
    <s v="Balasore"/>
    <s v="Women"/>
    <s v="Blouse"/>
    <s v="Manyavar"/>
    <s v="Reception"/>
    <s v="Instagram"/>
    <n v="1"/>
    <n v="6750"/>
    <s v="11-20%"/>
    <n v="20"/>
    <s v="Valid"/>
    <s v="Match"/>
    <n v="6750"/>
    <n v="1350"/>
    <n v="5400"/>
    <n v="3867.74"/>
    <n v="1532.26"/>
    <b v="0"/>
    <n v="0"/>
    <s v="Cash"/>
    <s v="Sanjay"/>
    <s v="Referral"/>
    <n v="3"/>
    <x v="7"/>
    <x v="5"/>
  </r>
  <r>
    <s v="ZAR-10651"/>
    <d v="2025-03-05T00:00:00"/>
    <s v="12 AM - 4 AM"/>
    <x v="148"/>
    <s v="Sambalpur "/>
    <s v="Women"/>
    <s v="Salwar Suit"/>
    <s v="Biba"/>
    <s v="Wedding Guest"/>
    <s v="Store"/>
    <n v="1"/>
    <n v="1900"/>
    <s v="1-10%"/>
    <n v="10"/>
    <s v="Valid"/>
    <s v="Match"/>
    <n v="1900"/>
    <n v="190"/>
    <n v="1710"/>
    <n v="1333.05"/>
    <n v="376.95"/>
    <b v="0"/>
    <n v="0"/>
    <s v="Card"/>
    <s v="Priya"/>
    <s v="Referral"/>
    <n v="3"/>
    <x v="9"/>
    <x v="1"/>
  </r>
  <r>
    <s v="ZAR-10919"/>
    <d v="2025-04-02T00:00:00"/>
    <s v="4 PM - 8 PM"/>
    <x v="149"/>
    <s v="Puri"/>
    <s v="Men"/>
    <s v="Kurta Pajama"/>
    <s v="Manyavar"/>
    <s v="Casual"/>
    <s v="Store"/>
    <n v="1"/>
    <n v="5400"/>
    <s v="21-30%"/>
    <n v="30"/>
    <s v="Valid"/>
    <s v="Match"/>
    <n v="5400"/>
    <n v="1620"/>
    <n v="3780"/>
    <n v="2928.59"/>
    <n v="851.41"/>
    <b v="0"/>
    <n v="0"/>
    <s v="Card"/>
    <s v="Meera"/>
    <s v="Instagram"/>
    <n v="3.5"/>
    <x v="7"/>
    <x v="1"/>
  </r>
  <r>
    <s v="ZAR-10598"/>
    <d v="2025-06-22T00:00:00"/>
    <s v="12 PM - 4 PM"/>
    <x v="150"/>
    <s v="Balasore"/>
    <s v="Women"/>
    <s v="Saree"/>
    <s v="Zaree Studio"/>
    <s v="Festive"/>
    <s v="Instagram"/>
    <n v="2"/>
    <n v="26650"/>
    <s v="1-10%"/>
    <n v="10"/>
    <s v="Valid"/>
    <s v="Match"/>
    <n v="53300"/>
    <n v="5330"/>
    <n v="47970"/>
    <n v="33229.379999999997"/>
    <n v="14740.62"/>
    <b v="0"/>
    <n v="0"/>
    <s v="COD"/>
    <s v="Meera"/>
    <s v="Walk-in"/>
    <n v="3"/>
    <x v="2"/>
    <x v="0"/>
  </r>
  <r>
    <s v="ZAR-10544"/>
    <d v="2025-03-11T00:00:00"/>
    <s v="4 PM - 8 PM"/>
    <x v="151"/>
    <s v="Balasore"/>
    <s v="Women"/>
    <s v="Salwar Suit"/>
    <s v="Rangriti"/>
    <s v="Office"/>
    <s v="Store"/>
    <n v="4"/>
    <n v="6600"/>
    <s v="21-30%"/>
    <n v="25"/>
    <s v="Valid"/>
    <s v="Match"/>
    <n v="26400"/>
    <n v="6600"/>
    <n v="19800"/>
    <n v="14442.95"/>
    <n v="5357.05"/>
    <b v="0"/>
    <n v="0"/>
    <s v="Cash"/>
    <s v="Sanjay"/>
    <s v="WhatsApp"/>
    <n v="3.5"/>
    <x v="9"/>
    <x v="6"/>
  </r>
  <r>
    <s v="ZAR-10964"/>
    <d v="2025-01-02T00:00:00"/>
    <s v="12 PM - 4 PM"/>
    <x v="152"/>
    <s v="Cuttack"/>
    <s v="Kids"/>
    <s v="Kids Kurta"/>
    <s v="Designer Collection"/>
    <s v="Festive"/>
    <s v="Store"/>
    <n v="4"/>
    <n v="2050"/>
    <s v="11-20%"/>
    <n v="15"/>
    <s v="Valid"/>
    <s v="Match"/>
    <n v="8200"/>
    <n v="1230"/>
    <n v="6970"/>
    <n v="4352.28"/>
    <n v="2617.7199999999998"/>
    <b v="0"/>
    <n v="0"/>
    <s v="COD"/>
    <s v="Priya"/>
    <s v="Walk-in"/>
    <n v="5"/>
    <x v="10"/>
    <x v="4"/>
  </r>
  <r>
    <s v="ZAR-10307"/>
    <d v="2025-10-09T00:00:00"/>
    <s v="8 AM - 12 PM"/>
    <x v="153"/>
    <s v="Rourkela"/>
    <s v="Women"/>
    <s v="Gown"/>
    <s v="Biba"/>
    <s v="Reception"/>
    <s v="Store"/>
    <n v="2"/>
    <n v="10100"/>
    <s v="1-10%"/>
    <n v="5"/>
    <s v="Valid"/>
    <s v="Match"/>
    <n v="20200"/>
    <n v="1010"/>
    <n v="19190"/>
    <n v="12170.78"/>
    <n v="7019.22"/>
    <b v="0"/>
    <n v="0"/>
    <s v="COD"/>
    <s v="Ananya"/>
    <s v="Repeat Customer"/>
    <n v="3"/>
    <x v="3"/>
    <x v="4"/>
  </r>
  <r>
    <s v="ZAR-10320"/>
    <d v="2025-02-14T00:00:00"/>
    <s v="12 PM - 4 PM"/>
    <x v="154"/>
    <s v="Balasore"/>
    <s v="Kids"/>
    <s v="Kids Saree"/>
    <s v="Aurelia"/>
    <s v="Casual"/>
    <s v="Instagram"/>
    <n v="1"/>
    <n v="1500"/>
    <s v="11-20%"/>
    <n v="15"/>
    <s v="Valid"/>
    <s v="Match"/>
    <n v="1500"/>
    <n v="225"/>
    <n v="1275"/>
    <n v="996.79"/>
    <n v="278.20999999999998"/>
    <b v="0"/>
    <n v="0"/>
    <s v="COD"/>
    <s v="Rohit"/>
    <s v="Google"/>
    <n v="4"/>
    <x v="4"/>
    <x v="3"/>
  </r>
  <r>
    <s v="ZAR-10483"/>
    <d v="2025-02-15T00:00:00"/>
    <s v="12 PM - 4 PM"/>
    <x v="75"/>
    <s v="Bhubaneshwar"/>
    <s v="Women"/>
    <s v="Salwar Suit"/>
    <s v="Aurelia"/>
    <s v="Office"/>
    <s v="Website"/>
    <n v="2"/>
    <n v="2150"/>
    <s v="11-20%"/>
    <n v="20"/>
    <s v="Valid"/>
    <s v="Match"/>
    <n v="4300"/>
    <n v="860"/>
    <n v="3440"/>
    <n v="2302.16"/>
    <n v="1137.8399999999999"/>
    <b v="0"/>
    <n v="0"/>
    <s v="COD"/>
    <s v="Neha"/>
    <s v="Referral"/>
    <n v="4"/>
    <x v="4"/>
    <x v="5"/>
  </r>
  <r>
    <s v="ZAR-10495"/>
    <d v="2025-08-04T00:00:00"/>
    <s v="12 PM - 4 PM"/>
    <x v="155"/>
    <s v="Berhampur"/>
    <s v="Women"/>
    <s v="Kurti"/>
    <s v="Manyavar"/>
    <s v="Wedding Guest"/>
    <s v="Store"/>
    <n v="1"/>
    <n v="4150"/>
    <s v="11-20%"/>
    <n v="20"/>
    <s v="Valid"/>
    <s v="Match"/>
    <n v="4150"/>
    <n v="830"/>
    <n v="3320"/>
    <n v="2391.9899999999998"/>
    <n v="928.01"/>
    <b v="0"/>
    <n v="0"/>
    <s v="Cash"/>
    <s v="Neha"/>
    <s v="Google"/>
    <n v="3"/>
    <x v="6"/>
    <x v="2"/>
  </r>
  <r>
    <s v="ZAR-10267"/>
    <d v="2025-11-05T00:00:00"/>
    <s v="4 PM - 8 PM"/>
    <x v="156"/>
    <s v="Bhubaneshwar"/>
    <s v="Women"/>
    <s v="Bridal Lehenga"/>
    <s v="Local Artisan"/>
    <s v="Festive"/>
    <s v="Website"/>
    <n v="1"/>
    <n v="111900"/>
    <s v="11-20%"/>
    <n v="15"/>
    <s v="Valid"/>
    <s v="Match"/>
    <n v="111900"/>
    <n v="16785"/>
    <n v="95115"/>
    <n v="74420.929999999993"/>
    <n v="20694.07"/>
    <b v="0"/>
    <n v="0"/>
    <s v="Cash"/>
    <s v="Meera"/>
    <s v="Instagram"/>
    <n v="4.5"/>
    <x v="5"/>
    <x v="1"/>
  </r>
  <r>
    <s v="ZAR-10112"/>
    <d v="2025-01-26T00:00:00"/>
    <s v="8 AM - 12 PM"/>
    <x v="157"/>
    <s v="Berhampur"/>
    <s v="Kids"/>
    <s v="Kids Sherwani"/>
    <s v="Zaree Studio"/>
    <s v="Festive"/>
    <s v="Website"/>
    <n v="1"/>
    <n v="3700"/>
    <s v="11-20%"/>
    <n v="20"/>
    <s v="Valid"/>
    <s v="Match"/>
    <n v="3700"/>
    <n v="740"/>
    <n v="2960"/>
    <n v="2211.2600000000002"/>
    <n v="748.74"/>
    <b v="0"/>
    <n v="0"/>
    <s v="UPI"/>
    <s v="Sanjay"/>
    <s v="Walk-in"/>
    <n v="4"/>
    <x v="10"/>
    <x v="0"/>
  </r>
  <r>
    <s v="ZAR-10470"/>
    <d v="2025-02-20T00:00:00"/>
    <s v="4 AM - 8 AM"/>
    <x v="158"/>
    <s v="Rourkela"/>
    <s v="Women"/>
    <s v="Gown"/>
    <s v="Designer Collection"/>
    <s v="Wedding Guest"/>
    <s v="Website"/>
    <n v="1"/>
    <m/>
    <s v="21-30%"/>
    <n v="30"/>
    <s v="Valid"/>
    <s v="Match"/>
    <n v="8950"/>
    <n v="2685"/>
    <n v="6265"/>
    <n v="5365.34"/>
    <n v="899.66"/>
    <b v="0"/>
    <n v="0"/>
    <s v="Card"/>
    <s v="Unknown"/>
    <s v="Instagram"/>
    <n v="4"/>
    <x v="4"/>
    <x v="4"/>
  </r>
  <r>
    <s v="ZAR-10739"/>
    <d v="2025-03-19T00:00:00"/>
    <s v="8 AM - 12 PM"/>
    <x v="159"/>
    <s v="Rourkela"/>
    <s v="Women"/>
    <s v="Salwar Suit"/>
    <s v="Rangriti"/>
    <s v="Office"/>
    <s v="Instagram"/>
    <n v="1"/>
    <n v="4950"/>
    <s v="21-30%"/>
    <n v="25"/>
    <s v="Valid"/>
    <s v="Match"/>
    <n v="4950"/>
    <n v="1237.5"/>
    <n v="3712.5"/>
    <n v="2769.88"/>
    <n v="942.62"/>
    <b v="0"/>
    <n v="0"/>
    <s v="Net Banking"/>
    <s v="Meera"/>
    <s v="Not Recorded"/>
    <n v="4"/>
    <x v="9"/>
    <x v="1"/>
  </r>
  <r>
    <s v="ZAR-10527"/>
    <d v="2025-07-15T00:00:00"/>
    <s v="4 PM - 8 PM"/>
    <x v="160"/>
    <s v="Cuttack"/>
    <s v="Women"/>
    <s v="Kurti"/>
    <s v="Aurelia"/>
    <s v="Casual"/>
    <s v="Store"/>
    <n v="2"/>
    <n v="3750"/>
    <s v="1-10%"/>
    <n v="5"/>
    <s v="Valid"/>
    <s v="Match"/>
    <n v="7500"/>
    <n v="375"/>
    <n v="7125"/>
    <n v="4903.3"/>
    <n v="2221.6999999999998"/>
    <b v="0"/>
    <n v="0"/>
    <s v="UPI"/>
    <s v="Karan"/>
    <s v="Walk-in"/>
    <n v="3"/>
    <x v="0"/>
    <x v="6"/>
  </r>
  <r>
    <s v="ZAR-10258"/>
    <d v="2025-10-25T00:00:00"/>
    <s v="4 PM - 8 PM"/>
    <x v="161"/>
    <s v="Puri"/>
    <s v="Women"/>
    <s v="Lehenga"/>
    <s v="Designer Collection"/>
    <s v="Engagement"/>
    <s v="Instagram"/>
    <n v="3"/>
    <n v="40900"/>
    <s v="21-30%"/>
    <n v="25"/>
    <s v="Valid"/>
    <s v="Match"/>
    <n v="122700"/>
    <n v="30675"/>
    <n v="92025"/>
    <n v="64646.06"/>
    <n v="27378.94"/>
    <b v="0"/>
    <n v="0"/>
    <s v="Card"/>
    <s v="Priya"/>
    <s v="Google"/>
    <n v="4.5"/>
    <x v="3"/>
    <x v="5"/>
  </r>
  <r>
    <s v="ZAR-10262"/>
    <d v="2025-06-26T00:00:00"/>
    <s v="12 PM - 4 PM"/>
    <x v="162"/>
    <s v="Rourkela"/>
    <s v="Women"/>
    <s v="Dupatta"/>
    <s v="Manyavar"/>
    <s v="Festive"/>
    <s v="Website"/>
    <n v="1"/>
    <n v="4900"/>
    <s v="11-20%"/>
    <n v="15"/>
    <s v="Valid"/>
    <s v="Match"/>
    <n v="4900"/>
    <n v="735"/>
    <n v="4165"/>
    <n v="2928.42"/>
    <n v="1236.58"/>
    <b v="0"/>
    <n v="0"/>
    <s v="Card"/>
    <s v="Ananya"/>
    <s v="Repeat Customer"/>
    <n v="4"/>
    <x v="2"/>
    <x v="4"/>
  </r>
  <r>
    <s v="ZAR-10546"/>
    <d v="2025-10-30T00:00:00"/>
    <s v="4 PM - 8 PM"/>
    <x v="163"/>
    <s v="Puri"/>
    <s v="Women"/>
    <s v="Gown"/>
    <s v="Manyavar"/>
    <s v="Office"/>
    <s v="Store"/>
    <n v="2"/>
    <n v="14450"/>
    <s v="0%"/>
    <n v="0"/>
    <s v="Valid"/>
    <s v="Match"/>
    <n v="28900"/>
    <n v="0"/>
    <n v="28900"/>
    <n v="17004.060000000001"/>
    <n v="11895.94"/>
    <b v="0"/>
    <n v="0"/>
    <s v="COD"/>
    <s v="Karan"/>
    <s v="Repeat Customer"/>
    <n v="5"/>
    <x v="3"/>
    <x v="4"/>
  </r>
  <r>
    <s v="ZAR-10407"/>
    <d v="2025-02-27T00:00:00"/>
    <s v="12 AM - 4 AM"/>
    <x v="164"/>
    <s v="Puri"/>
    <s v="Women"/>
    <s v="Kurti"/>
    <s v="Designer Collection"/>
    <s v="Festive"/>
    <s v="Walk-in"/>
    <n v="1"/>
    <n v="1200"/>
    <s v="21-30%"/>
    <n v="25"/>
    <s v="Valid"/>
    <s v="Match"/>
    <n v="1200"/>
    <n v="300"/>
    <n v="900"/>
    <n v="825.44"/>
    <n v="74.56"/>
    <b v="0"/>
    <n v="0"/>
    <s v="UPI"/>
    <s v="Priya"/>
    <s v="Instagram"/>
    <n v="2.5"/>
    <x v="4"/>
    <x v="4"/>
  </r>
  <r>
    <s v="ZAR-10430"/>
    <d v="2025-12-16T00:00:00"/>
    <s v="4 AM - 8 AM"/>
    <x v="165"/>
    <s v="Puri"/>
    <s v="Women"/>
    <s v="Gown"/>
    <s v="Biba"/>
    <s v="Reception"/>
    <s v="Phone"/>
    <n v="1"/>
    <n v="11250"/>
    <s v="11-20%"/>
    <n v="20"/>
    <s v="Valid"/>
    <s v="Match"/>
    <n v="11250"/>
    <n v="2250"/>
    <n v="9000"/>
    <n v="6898.86"/>
    <n v="2101.14"/>
    <b v="0"/>
    <n v="0"/>
    <s v="UPI"/>
    <s v="Karan"/>
    <s v="Repeat Customer"/>
    <n v="4"/>
    <x v="1"/>
    <x v="6"/>
  </r>
  <r>
    <s v="ZAR-10630"/>
    <d v="2025-11-27T00:00:00"/>
    <s v="4 PM - 8 PM"/>
    <x v="166"/>
    <s v="Rourkela"/>
    <s v="Kids"/>
    <s v="Kids Sherwani"/>
    <s v="Manyavar"/>
    <s v="Engagement"/>
    <s v="Store"/>
    <n v="1"/>
    <n v="2850"/>
    <s v="11-20%"/>
    <n v="20"/>
    <s v="Valid"/>
    <s v="Match"/>
    <n v="2850"/>
    <n v="570"/>
    <n v="2280"/>
    <n v="2000.33"/>
    <n v="279.67"/>
    <b v="0"/>
    <n v="0"/>
    <s v="Cash"/>
    <s v="Rohit"/>
    <s v="Instagram"/>
    <n v="4"/>
    <x v="5"/>
    <x v="4"/>
  </r>
  <r>
    <s v="ZAR-10503"/>
    <d v="2025-11-27T00:00:00"/>
    <s v="4 PM - 8 PM"/>
    <x v="109"/>
    <s v="Rourkela"/>
    <s v="Men"/>
    <s v="Shirt"/>
    <s v="Designer Collection"/>
    <s v="Wedding"/>
    <s v="Store"/>
    <n v="1"/>
    <n v="2750"/>
    <s v="11-20%"/>
    <n v="15"/>
    <s v="Valid"/>
    <s v="Match"/>
    <n v="2750"/>
    <n v="412.5"/>
    <n v="2337.5"/>
    <n v="1884.54"/>
    <n v="452.96"/>
    <b v="0"/>
    <n v="0"/>
    <s v="Net Banking"/>
    <s v="Sanjay"/>
    <s v="Referral"/>
    <n v="4.5"/>
    <x v="5"/>
    <x v="4"/>
  </r>
  <r>
    <s v="ZAR-10434"/>
    <d v="2025-04-13T00:00:00"/>
    <s v="8 PM - 12 AM"/>
    <x v="167"/>
    <s v="Sambalpur"/>
    <s v="Men"/>
    <s v="Kurta Pajama"/>
    <s v="Manyavar"/>
    <s v="Casual"/>
    <s v="Instagram"/>
    <n v="2"/>
    <n v="5600"/>
    <s v="1-10%"/>
    <n v="5"/>
    <s v="Valid"/>
    <s v="Match"/>
    <n v="11200"/>
    <n v="560"/>
    <n v="10640"/>
    <n v="5831.58"/>
    <n v="4808.42"/>
    <b v="0"/>
    <n v="0"/>
    <s v="COD"/>
    <s v="Karan"/>
    <s v="Google"/>
    <n v="4.5"/>
    <x v="7"/>
    <x v="0"/>
  </r>
  <r>
    <s v="ZAR-10734"/>
    <d v="2025-03-25T00:00:00"/>
    <s v="4 PM - 8 PM"/>
    <x v="168"/>
    <s v="Sambalpur"/>
    <s v="Women"/>
    <s v="Dupatta"/>
    <s v="Manyavar"/>
    <s v="Puja"/>
    <s v="Website"/>
    <n v="4"/>
    <n v="4000"/>
    <s v="11-20%"/>
    <n v="15"/>
    <s v="Valid"/>
    <s v="Match"/>
    <n v="16000"/>
    <n v="2400"/>
    <n v="13600"/>
    <n v="10407.629999999999"/>
    <n v="3192.37"/>
    <b v="0"/>
    <n v="0"/>
    <s v="Card"/>
    <s v="Karan"/>
    <s v="Referral"/>
    <n v="3.5"/>
    <x v="9"/>
    <x v="6"/>
  </r>
  <r>
    <s v="ZAR-10139"/>
    <d v="2025-08-29T00:00:00"/>
    <s v="8 AM - 12 PM"/>
    <x v="12"/>
    <s v="Cuttack"/>
    <s v="Women"/>
    <s v="Salwar Suit"/>
    <s v="Manyavar"/>
    <s v="Puja"/>
    <s v="Store"/>
    <n v="3"/>
    <n v="4400"/>
    <s v="11-20%"/>
    <n v="15"/>
    <s v="Valid"/>
    <s v="Match"/>
    <n v="13200"/>
    <n v="1980"/>
    <n v="11220"/>
    <n v="7150.36"/>
    <n v="4069.64"/>
    <b v="0"/>
    <n v="0"/>
    <s v="UPI"/>
    <s v="Priya"/>
    <s v="Repeat Customer"/>
    <n v="3.5"/>
    <x v="6"/>
    <x v="3"/>
  </r>
  <r>
    <s v="ZAR-10359"/>
    <d v="2025-03-31T00:00:00"/>
    <s v="4 PM - 8 PM"/>
    <x v="169"/>
    <s v="Cuttack"/>
    <s v="Women"/>
    <s v="Salwar Suit"/>
    <s v="Aurelia"/>
    <s v="Festive"/>
    <s v="Instagram"/>
    <n v="1"/>
    <n v="3800"/>
    <s v="21-30%"/>
    <n v="25"/>
    <s v="Valid"/>
    <s v="Match"/>
    <n v="3800"/>
    <n v="950"/>
    <n v="2850"/>
    <n v="2069.2600000000002"/>
    <n v="780.74"/>
    <b v="0"/>
    <n v="0"/>
    <s v="Net Banking"/>
    <s v="Rohit"/>
    <s v="Repeat Customer"/>
    <n v="4"/>
    <x v="9"/>
    <x v="2"/>
  </r>
  <r>
    <s v="ZAR-10932"/>
    <d v="2025-04-23T00:00:00"/>
    <s v="4 AM - 8 AM"/>
    <x v="170"/>
    <s v="Cuttack"/>
    <s v="Men"/>
    <s v="Nehru Jacket"/>
    <s v="Local Artisan"/>
    <s v="Wedding"/>
    <s v="Phone"/>
    <n v="1"/>
    <n v="2400"/>
    <s v="1-10%"/>
    <n v="5"/>
    <s v="Valid"/>
    <s v="Match"/>
    <n v="2400"/>
    <n v="120"/>
    <n v="2280"/>
    <n v="1693.89"/>
    <n v="586.11"/>
    <b v="0"/>
    <n v="0"/>
    <s v="Net Banking"/>
    <s v="Neha"/>
    <s v="Referral"/>
    <n v="4"/>
    <x v="7"/>
    <x v="1"/>
  </r>
  <r>
    <s v="ZAR-10223"/>
    <d v="2025-03-27T00:00:00"/>
    <s v="12 AM - 4 AM"/>
    <x v="171"/>
    <s v="Bhubaneshwar"/>
    <s v="Women"/>
    <s v="Gown"/>
    <s v="FabIndia"/>
    <s v="Reception"/>
    <s v="Store"/>
    <n v="1"/>
    <n v="6400"/>
    <s v="11-20%"/>
    <n v="20"/>
    <s v="Valid"/>
    <s v="Match"/>
    <n v="6400"/>
    <n v="1280"/>
    <n v="5120"/>
    <n v="4156.8500000000004"/>
    <n v="963.15"/>
    <b v="0"/>
    <n v="0"/>
    <s v="Net Banking"/>
    <s v="Karan"/>
    <s v="Walk-in"/>
    <n v="4.5"/>
    <x v="9"/>
    <x v="4"/>
  </r>
  <r>
    <s v="ZAR-10756"/>
    <d v="2025-08-25T00:00:00"/>
    <s v="12 PM - 4 PM"/>
    <x v="172"/>
    <s v="Balasore"/>
    <s v="Kids"/>
    <s v="Kids Saree"/>
    <s v="Rangriti"/>
    <s v="Casual"/>
    <s v="Instagram"/>
    <n v="1"/>
    <n v="1250"/>
    <s v="0%"/>
    <n v="0"/>
    <s v="Valid"/>
    <s v="Match"/>
    <n v="1250"/>
    <n v="0"/>
    <n v="1250"/>
    <n v="706.93"/>
    <n v="543.07000000000005"/>
    <b v="0"/>
    <n v="0"/>
    <s v="COD"/>
    <s v="Meera"/>
    <s v="Referral"/>
    <n v="4"/>
    <x v="6"/>
    <x v="2"/>
  </r>
  <r>
    <s v="ZAR-10596"/>
    <d v="2025-08-04T00:00:00"/>
    <s v="4 AM - 8 AM"/>
    <x v="173"/>
    <s v="Puri"/>
    <s v="Women"/>
    <s v="Saree"/>
    <s v="Local Artisan"/>
    <s v="Wedding Guest"/>
    <s v="Store"/>
    <n v="1"/>
    <n v="11600"/>
    <s v="21-30%"/>
    <n v="30"/>
    <s v="Valid"/>
    <s v="Match"/>
    <n v="11600"/>
    <n v="3480"/>
    <n v="8120"/>
    <n v="7439.43"/>
    <n v="680.57"/>
    <b v="0"/>
    <n v="0"/>
    <s v="UPI"/>
    <s v="Karan"/>
    <s v="Google"/>
    <n v="5"/>
    <x v="6"/>
    <x v="2"/>
  </r>
  <r>
    <s v="ZAR-10559"/>
    <d v="2025-03-25T00:00:00"/>
    <s v="12 PM - 4 PM"/>
    <x v="174"/>
    <s v="Bhubaneshwar"/>
    <s v="Women"/>
    <s v="Dupatta"/>
    <s v="Aurelia"/>
    <s v="Reception"/>
    <s v="Phone"/>
    <n v="1"/>
    <n v="850"/>
    <s v="11-20%"/>
    <n v="15"/>
    <s v="Valid"/>
    <s v="Match"/>
    <n v="850"/>
    <n v="127.5"/>
    <n v="722.5"/>
    <n v="563.51"/>
    <n v="158.99"/>
    <b v="0"/>
    <n v="0"/>
    <s v="UPI"/>
    <s v="Karan"/>
    <s v="WhatsApp"/>
    <n v="3.5"/>
    <x v="9"/>
    <x v="6"/>
  </r>
  <r>
    <s v="ZAR-10365"/>
    <d v="2025-12-05T00:00:00"/>
    <s v="12 AM - 4 AM"/>
    <x v="175"/>
    <s v="Rourkela"/>
    <s v="Women"/>
    <s v="Saree"/>
    <s v="FabIndia"/>
    <s v="Casual"/>
    <s v="Phone"/>
    <n v="2"/>
    <n v="31550"/>
    <s v="1-10%"/>
    <n v="10"/>
    <s v="Valid"/>
    <s v="Match"/>
    <n v="63100"/>
    <n v="6310"/>
    <n v="56790"/>
    <n v="36901.199999999997"/>
    <n v="19888.8"/>
    <b v="0"/>
    <n v="0"/>
    <s v="Cash"/>
    <s v="Rohit"/>
    <s v="Instagram"/>
    <n v="5"/>
    <x v="1"/>
    <x v="3"/>
  </r>
  <r>
    <s v="ZAR-10525"/>
    <d v="2025-05-05T00:00:00"/>
    <s v="4 PM - 8 PM"/>
    <x v="176"/>
    <s v="Bhubaneshwar"/>
    <s v="Women"/>
    <s v="Bridal Lehenga"/>
    <s v="Zaree Studio"/>
    <s v="Reception"/>
    <s v="Store"/>
    <n v="1"/>
    <n v="42900"/>
    <s v="21-30%"/>
    <n v="25"/>
    <s v="Valid"/>
    <s v="Match"/>
    <n v="42900"/>
    <n v="10725"/>
    <n v="32175"/>
    <n v="26352.16"/>
    <n v="5822.84"/>
    <b v="0"/>
    <n v="0"/>
    <s v="Card"/>
    <s v="Karan"/>
    <s v="Repeat Customer"/>
    <n v="3.5"/>
    <x v="8"/>
    <x v="2"/>
  </r>
  <r>
    <s v="ZAR-10210"/>
    <d v="2025-06-05T00:00:00"/>
    <s v="8 AM - 12 PM"/>
    <x v="177"/>
    <s v="Puri"/>
    <s v="Women"/>
    <s v="Blouse"/>
    <s v="Manyavar"/>
    <s v="Wedding Guest"/>
    <s v="Store"/>
    <n v="3"/>
    <n v="6500"/>
    <s v="0%"/>
    <n v="0"/>
    <s v="Valid"/>
    <s v="Match"/>
    <n v="19500"/>
    <n v="0"/>
    <n v="19500"/>
    <n v="11589.45"/>
    <n v="7910.55"/>
    <b v="0"/>
    <n v="0"/>
    <s v="Cash"/>
    <s v="Karan"/>
    <s v="Google"/>
    <n v="3.5"/>
    <x v="2"/>
    <x v="4"/>
  </r>
  <r>
    <s v="ZAR-10859"/>
    <d v="2025-01-22T00:00:00"/>
    <s v="8 PM - 12 AM"/>
    <x v="178"/>
    <s v="Rourkela"/>
    <s v="Men"/>
    <s v="Nehru Jacket"/>
    <s v="Designer Collection"/>
    <s v="Family Function"/>
    <s v="Store"/>
    <n v="2"/>
    <n v="4900"/>
    <s v="1-10%"/>
    <n v="5"/>
    <s v="Valid"/>
    <s v="Match"/>
    <n v="9800"/>
    <n v="490"/>
    <n v="9310"/>
    <n v="6362.07"/>
    <n v="2947.93"/>
    <b v="0"/>
    <n v="0"/>
    <s v="Net Banking"/>
    <s v="Rohit"/>
    <s v="Walk-in"/>
    <n v="4"/>
    <x v="10"/>
    <x v="1"/>
  </r>
  <r>
    <s v="ZAR-10336"/>
    <d v="2025-12-20T00:00:00"/>
    <s v="8 AM - 12 PM"/>
    <x v="179"/>
    <s v="Puri"/>
    <s v="Women"/>
    <s v="Gown"/>
    <s v="Zaree Studio"/>
    <s v="Puja"/>
    <s v="Store"/>
    <n v="2"/>
    <n v="9500"/>
    <s v="0%"/>
    <n v="0"/>
    <s v="Valid"/>
    <s v="Match"/>
    <n v="19000"/>
    <n v="0"/>
    <n v="19000"/>
    <n v="12557.78"/>
    <n v="6442.22"/>
    <b v="0"/>
    <n v="0"/>
    <s v="UPI"/>
    <s v="Karan"/>
    <s v="Referral"/>
    <n v="4"/>
    <x v="1"/>
    <x v="5"/>
  </r>
  <r>
    <s v="ZAR-10212"/>
    <d v="2025-04-09T00:00:00"/>
    <s v="4 AM - 8 AM"/>
    <x v="180"/>
    <s v="Bhubaneshwar"/>
    <s v="Women"/>
    <s v="Saree"/>
    <s v="Aurelia"/>
    <s v="Office"/>
    <s v="Store"/>
    <n v="1"/>
    <n v="27700"/>
    <s v="11-20%"/>
    <n v="20"/>
    <s v="Valid"/>
    <s v="Match"/>
    <n v="27700"/>
    <n v="5540"/>
    <n v="22160"/>
    <n v="14580.41"/>
    <n v="7579.59"/>
    <b v="0"/>
    <n v="0"/>
    <s v="Cash"/>
    <s v="Priya"/>
    <s v="Not Recorded"/>
    <n v="5"/>
    <x v="7"/>
    <x v="1"/>
  </r>
  <r>
    <s v="ZAR-10352"/>
    <d v="2025-10-14T00:00:00"/>
    <s v="8 AM - 12 PM"/>
    <x v="181"/>
    <s v="Puri"/>
    <s v="Men"/>
    <s v="Nehru Jacket"/>
    <s v="Local Artisan"/>
    <s v="Family Function"/>
    <s v="Store"/>
    <n v="3"/>
    <n v="2150"/>
    <s v="0%"/>
    <n v="0"/>
    <s v="Valid"/>
    <s v="Match"/>
    <n v="6450"/>
    <n v="0"/>
    <n v="6450"/>
    <n v="3355.2"/>
    <n v="3094.8"/>
    <b v="0"/>
    <n v="0"/>
    <s v="Cash"/>
    <s v="Karan"/>
    <s v="Google"/>
    <n v="5"/>
    <x v="3"/>
    <x v="6"/>
  </r>
  <r>
    <s v="ZAR-10080"/>
    <d v="2025-02-09T00:00:00"/>
    <s v="8 AM - 12 PM"/>
    <x v="182"/>
    <s v="Rourkela"/>
    <s v="Men"/>
    <s v="Sherwani"/>
    <s v="Rangriti"/>
    <s v="Festive"/>
    <s v="Instagram"/>
    <n v="2"/>
    <n v="22100"/>
    <s v="11-20%"/>
    <n v="15"/>
    <s v="Valid"/>
    <s v="Match"/>
    <n v="44200"/>
    <n v="6630"/>
    <n v="37570"/>
    <n v="23166.240000000002"/>
    <n v="14403.76"/>
    <b v="0"/>
    <n v="0"/>
    <s v="Net Banking"/>
    <s v="Ananya"/>
    <s v="Referral"/>
    <n v="4"/>
    <x v="4"/>
    <x v="0"/>
  </r>
  <r>
    <s v="ZAR-10031"/>
    <d v="2025-09-24T00:00:00"/>
    <s v="12 PM - 4 PM"/>
    <x v="183"/>
    <s v="Cuttack"/>
    <s v="Men"/>
    <s v="Indo-Western"/>
    <s v="Rangriti"/>
    <s v="Wedding"/>
    <s v="Walk-in"/>
    <n v="2"/>
    <s v="10300.0"/>
    <s v="21-30%"/>
    <n v="30"/>
    <s v="Valid"/>
    <s v="Match"/>
    <n v="20600"/>
    <n v="6180"/>
    <n v="14420"/>
    <n v="13601.88"/>
    <n v="818.12"/>
    <b v="0"/>
    <n v="0"/>
    <s v="Card"/>
    <s v="Rohit"/>
    <s v="Walk-in"/>
    <n v="3.5"/>
    <x v="11"/>
    <x v="1"/>
  </r>
  <r>
    <s v="ZAR-10282"/>
    <d v="2025-08-10T00:00:00"/>
    <s v="12 PM - 4 PM"/>
    <x v="184"/>
    <s v="Cuttack"/>
    <s v="Women"/>
    <s v="Kurti"/>
    <s v="Manyavar"/>
    <s v="Casual"/>
    <s v="Website"/>
    <n v="2"/>
    <n v="3800"/>
    <s v="21-30%"/>
    <n v="30"/>
    <s v="Valid"/>
    <s v="Match"/>
    <n v="7600"/>
    <n v="2280"/>
    <n v="5320"/>
    <n v="4346.2700000000004"/>
    <n v="973.73"/>
    <b v="0"/>
    <n v="0"/>
    <s v="COD"/>
    <s v="Neha"/>
    <s v="Not Recorded"/>
    <n v="4"/>
    <x v="6"/>
    <x v="0"/>
  </r>
  <r>
    <s v="ZAR-10509"/>
    <d v="2025-03-07T00:00:00"/>
    <s v="8 AM - 12 PM"/>
    <x v="185"/>
    <s v="Bhubaneshwar"/>
    <s v="Women"/>
    <s v="Blouse"/>
    <s v="Aurelia"/>
    <s v="Office"/>
    <s v="Store"/>
    <n v="2"/>
    <n v="3650"/>
    <s v="1-10%"/>
    <n v="10"/>
    <s v="Valid"/>
    <s v="Match"/>
    <n v="7300"/>
    <n v="730"/>
    <n v="6570"/>
    <n v="4019.15"/>
    <n v="2550.85"/>
    <b v="0"/>
    <n v="0"/>
    <s v="Net Banking"/>
    <s v="Sanjay"/>
    <s v="WhatsApp"/>
    <n v="4"/>
    <x v="9"/>
    <x v="3"/>
  </r>
  <r>
    <s v="ZAR-10654"/>
    <d v="2025-08-25T00:00:00"/>
    <s v="4 PM - 8 PM"/>
    <x v="186"/>
    <s v="Rourkela"/>
    <s v="Women"/>
    <s v="Kurti"/>
    <s v="Designer Collection"/>
    <s v="Wedding Guest"/>
    <s v="WhatsApp"/>
    <n v="1"/>
    <n v="1850"/>
    <s v="11-20%"/>
    <n v="20"/>
    <s v="Valid"/>
    <s v="Match"/>
    <n v="1850"/>
    <n v="370"/>
    <n v="1480"/>
    <n v="1339.34"/>
    <n v="140.66"/>
    <b v="0"/>
    <n v="0"/>
    <s v="Cash"/>
    <s v="Neha"/>
    <s v="WhatsApp"/>
    <n v="3.5"/>
    <x v="6"/>
    <x v="2"/>
  </r>
  <r>
    <s v="ZAR-10950"/>
    <d v="2025-11-14T00:00:00"/>
    <s v="12 AM - 4 AM"/>
    <x v="187"/>
    <s v="Cuttack"/>
    <s v="Women"/>
    <s v="Dupatta"/>
    <s v="Aurelia"/>
    <s v="Reception"/>
    <s v="Store"/>
    <n v="2"/>
    <n v="4150"/>
    <s v="1-10%"/>
    <n v="10"/>
    <s v="Valid"/>
    <s v="Match"/>
    <n v="8300"/>
    <n v="830"/>
    <n v="7470"/>
    <n v="5640.43"/>
    <n v="1829.57"/>
    <b v="0"/>
    <n v="0"/>
    <s v="Net Banking"/>
    <s v="Meera"/>
    <s v="WhatsApp"/>
    <n v="4.5"/>
    <x v="5"/>
    <x v="3"/>
  </r>
  <r>
    <s v="ZAR-10291"/>
    <d v="2025-07-11T00:00:00"/>
    <s v="4 AM - 8 AM"/>
    <x v="188"/>
    <s v="Berhampur"/>
    <s v="Women"/>
    <s v="Dupatta"/>
    <s v="Local Artisan"/>
    <s v="Reception"/>
    <s v="Store"/>
    <n v="2"/>
    <n v="4100"/>
    <s v="21-30%"/>
    <n v="30"/>
    <s v="Valid"/>
    <s v="Match"/>
    <n v="8200"/>
    <n v="2460"/>
    <n v="5740"/>
    <n v="4277.0200000000004"/>
    <n v="1462.98"/>
    <b v="0"/>
    <n v="0"/>
    <s v="Card"/>
    <s v="Priya"/>
    <s v="Instagram"/>
    <n v="5"/>
    <x v="0"/>
    <x v="3"/>
  </r>
  <r>
    <s v="ZAR-10167"/>
    <d v="2025-10-21T00:00:00"/>
    <s v="8 AM - 12 PM"/>
    <x v="189"/>
    <s v="Berhampur"/>
    <s v="Women"/>
    <s v="Salwar Suit"/>
    <s v="Local Artisan"/>
    <s v="Wedding Guest"/>
    <s v="Phone"/>
    <n v="1"/>
    <n v="6100"/>
    <s v="21-30%"/>
    <n v="25"/>
    <s v="Valid"/>
    <s v="Match"/>
    <n v="6100"/>
    <n v="1525"/>
    <n v="4575"/>
    <n v="3564.72"/>
    <n v="1010.28"/>
    <b v="0"/>
    <n v="0"/>
    <s v="UPI"/>
    <s v="Priya"/>
    <s v="WhatsApp"/>
    <n v="3.5"/>
    <x v="3"/>
    <x v="6"/>
  </r>
  <r>
    <s v="ZAR-10764"/>
    <d v="2025-04-11T00:00:00"/>
    <s v="8 AM - 12 PM"/>
    <x v="190"/>
    <s v="Rourkela"/>
    <s v="Women"/>
    <s v="Saree"/>
    <s v="Aurelia"/>
    <s v="Wedding Guest"/>
    <s v="Instagram"/>
    <n v="2"/>
    <n v="11050"/>
    <s v="21-30%"/>
    <n v="30"/>
    <s v="Valid"/>
    <s v="Match"/>
    <n v="22100"/>
    <n v="6630"/>
    <n v="15470"/>
    <n v="12073.45"/>
    <n v="3396.55"/>
    <b v="0"/>
    <n v="0"/>
    <s v="Card"/>
    <s v="Priya"/>
    <s v="WhatsApp"/>
    <n v="5"/>
    <x v="7"/>
    <x v="3"/>
  </r>
  <r>
    <s v="ZAR-10499"/>
    <d v="2025-04-10T00:00:00"/>
    <s v="8 PM - 12 AM"/>
    <x v="191"/>
    <s v="Puri"/>
    <s v="Women"/>
    <s v="Bridal Lehenga"/>
    <s v="Biba"/>
    <s v="Reception"/>
    <s v="Store"/>
    <n v="1"/>
    <n v="56800"/>
    <s v="1-10%"/>
    <n v="10"/>
    <s v="Valid"/>
    <s v="Match"/>
    <n v="56800"/>
    <n v="5680"/>
    <n v="51120"/>
    <n v="33167.040000000001"/>
    <n v="17952.96"/>
    <b v="0"/>
    <n v="0"/>
    <s v="Card"/>
    <s v="Rohit"/>
    <s v="Referral"/>
    <n v="3.5"/>
    <x v="7"/>
    <x v="4"/>
  </r>
  <r>
    <s v="ZAR-10464"/>
    <d v="2025-03-12T00:00:00"/>
    <s v="12 PM - 4 PM"/>
    <x v="192"/>
    <s v="Rourkela"/>
    <s v="Women"/>
    <s v="Kurti"/>
    <s v="FabIndia"/>
    <s v="Puja"/>
    <s v="Website"/>
    <n v="2"/>
    <n v="1300"/>
    <s v="11-20%"/>
    <n v="15"/>
    <s v="Valid"/>
    <s v="Match"/>
    <n v="2600"/>
    <n v="390"/>
    <n v="2210"/>
    <n v="1802.29"/>
    <n v="407.71"/>
    <b v="0"/>
    <n v="0"/>
    <s v="UPI"/>
    <s v="Sanjay"/>
    <s v="Walk-in"/>
    <n v="5"/>
    <x v="9"/>
    <x v="1"/>
  </r>
  <r>
    <s v="ZAR-10067"/>
    <d v="2025-04-22T00:00:00"/>
    <s v="12 PM - 4 PM"/>
    <x v="193"/>
    <s v="Cuttack"/>
    <s v="Men"/>
    <s v="Dhoti Set"/>
    <s v="FabIndia"/>
    <s v="Wedding"/>
    <s v="Website"/>
    <n v="4"/>
    <n v="3900"/>
    <s v="0%"/>
    <n v="0"/>
    <s v="Valid"/>
    <s v="Match"/>
    <n v="15600"/>
    <n v="0"/>
    <n v="15600"/>
    <n v="10481.040000000001"/>
    <n v="5118.96"/>
    <b v="0"/>
    <n v="0"/>
    <s v="UPI"/>
    <s v="Sanjay"/>
    <s v="Referral"/>
    <n v="4.5"/>
    <x v="7"/>
    <x v="6"/>
  </r>
  <r>
    <s v="ZAR-10143"/>
    <d v="2025-09-08T00:00:00"/>
    <s v="12 AM - 4 AM"/>
    <x v="31"/>
    <s v="Bhubaneshwar"/>
    <s v="Men"/>
    <s v="Dhoti Set"/>
    <s v="Rangriti"/>
    <s v="Wedding"/>
    <s v="Store"/>
    <n v="1"/>
    <n v="6900"/>
    <s v="21-30%"/>
    <n v="30"/>
    <s v="Valid"/>
    <s v="Match"/>
    <n v="6900"/>
    <n v="2070"/>
    <n v="4830"/>
    <n v="4647.3500000000004"/>
    <n v="182.65"/>
    <b v="0"/>
    <n v="0"/>
    <s v="Cash"/>
    <s v="Sanjay"/>
    <s v="Google"/>
    <n v="4"/>
    <x v="6"/>
    <x v="5"/>
  </r>
  <r>
    <s v="ZAR-10277"/>
    <d v="2025-06-25T00:00:00"/>
    <s v="12 AM - 4 AM"/>
    <x v="194"/>
    <s v="Cuttack"/>
    <s v="Women"/>
    <s v="Bridal Lehenga"/>
    <s v="Aurelia"/>
    <s v="Engagement"/>
    <s v="Store"/>
    <n v="1"/>
    <n v="93000"/>
    <s v="21-30%"/>
    <n v="25"/>
    <s v="Valid"/>
    <s v="Match"/>
    <n v="93000"/>
    <n v="23250"/>
    <n v="69750"/>
    <n v="63680.21"/>
    <n v="6069.79"/>
    <b v="0"/>
    <n v="0"/>
    <s v="Net Banking"/>
    <s v="Karan"/>
    <s v="Walk-in"/>
    <n v="3.5"/>
    <x v="2"/>
    <x v="1"/>
  </r>
  <r>
    <s v="ZAR-10835"/>
    <d v="2025-04-13T00:00:00"/>
    <s v="8 PM - 12 AM"/>
    <x v="71"/>
    <s v="Rourkela"/>
    <s v="Kids"/>
    <s v="Kids Saree"/>
    <s v="Manyavar"/>
    <s v="Festive"/>
    <s v="Store"/>
    <n v="1"/>
    <n v="3150"/>
    <s v="1-10%"/>
    <n v="5"/>
    <s v="Valid"/>
    <s v="Match"/>
    <n v="3150"/>
    <n v="157.5"/>
    <n v="2992.5"/>
    <n v="1880.63"/>
    <n v="1111.8699999999999"/>
    <b v="0"/>
    <n v="0"/>
    <s v="Card"/>
    <s v="Priya"/>
    <s v="WhatsApp"/>
    <n v="3.5"/>
    <x v="7"/>
    <x v="0"/>
  </r>
  <r>
    <s v="ZAR-10584"/>
    <d v="2025-05-16T00:00:00"/>
    <s v="4 AM - 8 AM"/>
    <x v="195"/>
    <s v="Berhampur"/>
    <s v="Women"/>
    <s v="Bridal Lehenga"/>
    <s v="Manyavar"/>
    <s v="Wedding"/>
    <s v="Store"/>
    <n v="1"/>
    <n v="87400"/>
    <s v="21-30%"/>
    <n v="25"/>
    <s v="Valid"/>
    <s v="Match"/>
    <n v="87400"/>
    <n v="21850"/>
    <n v="65550"/>
    <n v="62445.29"/>
    <n v="3104.71"/>
    <b v="0"/>
    <n v="0"/>
    <s v="Cash"/>
    <s v="Ananya"/>
    <s v="Repeat Customer"/>
    <n v="3.5"/>
    <x v="8"/>
    <x v="3"/>
  </r>
  <r>
    <s v="ZAR-10466"/>
    <d v="2025-05-24T00:00:00"/>
    <s v="4 PM - 8 PM"/>
    <x v="196"/>
    <s v="Cuttack"/>
    <s v="Women"/>
    <s v="Salwar Suit"/>
    <s v="Designer Collection"/>
    <s v="Festive"/>
    <s v="WhatsApp"/>
    <n v="1"/>
    <n v="7000"/>
    <s v="1-10%"/>
    <n v="10"/>
    <s v="Valid"/>
    <s v="Match"/>
    <n v="7000"/>
    <n v="700"/>
    <n v="6300"/>
    <n v="3652.17"/>
    <n v="2647.83"/>
    <b v="0"/>
    <n v="0"/>
    <s v="Cash"/>
    <s v="Meera"/>
    <s v="WhatsApp"/>
    <n v="4.5"/>
    <x v="8"/>
    <x v="5"/>
  </r>
  <r>
    <s v="ZAR-10670"/>
    <d v="2025-01-17T00:00:00"/>
    <s v="8 AM - 12 PM"/>
    <x v="135"/>
    <s v="Sambalpur"/>
    <s v="Women"/>
    <s v="Bridal Lehenga"/>
    <s v="Aurelia"/>
    <s v="Wedding"/>
    <s v="Store"/>
    <n v="1"/>
    <n v="76400"/>
    <s v="1-10%"/>
    <n v="10"/>
    <s v="Valid"/>
    <s v="Match"/>
    <n v="76400"/>
    <n v="7640"/>
    <n v="68760"/>
    <n v="50707.519999999997"/>
    <n v="18052.48"/>
    <b v="0"/>
    <n v="0"/>
    <s v="COD"/>
    <s v="Meera"/>
    <s v="WhatsApp"/>
    <n v="3.5"/>
    <x v="10"/>
    <x v="3"/>
  </r>
  <r>
    <s v="ZAR-10321"/>
    <d v="2025-10-25T00:00:00"/>
    <s v="4 PM - 8 PM"/>
    <x v="197"/>
    <s v="Puri"/>
    <s v="Kids"/>
    <s v="Kids Sherwani"/>
    <s v="Manyavar"/>
    <s v="Reception"/>
    <s v="Store"/>
    <n v="2"/>
    <n v="3200"/>
    <s v="1-10%"/>
    <n v="5"/>
    <s v="Valid"/>
    <s v="Match"/>
    <n v="6400"/>
    <n v="320"/>
    <n v="6080"/>
    <n v="4246.68"/>
    <n v="1833.32"/>
    <b v="0"/>
    <n v="0"/>
    <s v="COD"/>
    <s v="Rohit"/>
    <s v="Not Recorded"/>
    <n v="4"/>
    <x v="3"/>
    <x v="5"/>
  </r>
  <r>
    <s v="ZAR-10718"/>
    <d v="2025-04-02T00:00:00"/>
    <s v="8 AM - 12 PM"/>
    <x v="90"/>
    <s v="Bhubaneshwar"/>
    <s v="Men"/>
    <s v="Kurta Pajama"/>
    <s v="Biba"/>
    <s v="Family Function"/>
    <s v="Store"/>
    <n v="1"/>
    <n v="2000"/>
    <s v="21-30%"/>
    <n v="25"/>
    <s v="Valid"/>
    <s v="Match"/>
    <n v="2000"/>
    <n v="500"/>
    <n v="1500"/>
    <n v="1135.23"/>
    <n v="364.77"/>
    <b v="0"/>
    <n v="0"/>
    <s v="COD"/>
    <s v="Karan"/>
    <s v="Google"/>
    <n v="4"/>
    <x v="7"/>
    <x v="1"/>
  </r>
  <r>
    <s v="ZAR-10308"/>
    <d v="2025-01-12T00:00:00"/>
    <s v="8 PM - 12 AM"/>
    <x v="198"/>
    <s v="Sambalpur"/>
    <s v="Women"/>
    <s v="Salwar Suit"/>
    <s v="Manyavar"/>
    <s v="Puja"/>
    <s v="Website"/>
    <n v="5"/>
    <n v="1850"/>
    <s v="1-10%"/>
    <n v="5"/>
    <s v="Valid"/>
    <s v="Match"/>
    <n v="9250"/>
    <n v="462.5"/>
    <n v="8787.5"/>
    <n v="6551.39"/>
    <n v="2236.11"/>
    <b v="0"/>
    <n v="0"/>
    <s v="UPI"/>
    <s v="Unknown"/>
    <s v="Google"/>
    <n v="4.5"/>
    <x v="10"/>
    <x v="0"/>
  </r>
  <r>
    <s v="ZAR-10309"/>
    <d v="2025-06-03T00:00:00"/>
    <s v="12 AM - 4 AM"/>
    <x v="1"/>
    <s v="Rourkela"/>
    <s v="Women"/>
    <s v="Saree"/>
    <s v="FabIndia"/>
    <s v="Wedding Guest"/>
    <s v="Instagram"/>
    <n v="3"/>
    <n v="10600"/>
    <s v="1-10%"/>
    <n v="5"/>
    <s v="Valid"/>
    <s v="Match"/>
    <n v="31800"/>
    <n v="1590"/>
    <n v="30210"/>
    <n v="18166.03"/>
    <n v="12043.97"/>
    <b v="0"/>
    <n v="0"/>
    <s v="Net Banking"/>
    <s v="Rohit"/>
    <s v="Google"/>
    <n v="5"/>
    <x v="2"/>
    <x v="6"/>
  </r>
  <r>
    <s v="ZAR-10828"/>
    <d v="2025-12-17T00:00:00"/>
    <s v="12 PM - 4 PM"/>
    <x v="199"/>
    <s v="Berhampur"/>
    <s v="Women"/>
    <s v="Bridal Lehenga"/>
    <s v="Zaree Studio"/>
    <s v="Engagement"/>
    <s v="Store"/>
    <n v="3"/>
    <n v="121450"/>
    <s v="1-10%"/>
    <n v="5"/>
    <s v="Valid"/>
    <s v="Match"/>
    <n v="364350"/>
    <n v="18217.5"/>
    <n v="346132.5"/>
    <n v="255491.02"/>
    <n v="90641.48"/>
    <b v="0"/>
    <n v="0"/>
    <s v="Card"/>
    <s v="Ananya"/>
    <s v="Google"/>
    <n v="5"/>
    <x v="1"/>
    <x v="1"/>
  </r>
  <r>
    <s v="ZAR-10335"/>
    <d v="2025-05-29T00:00:00"/>
    <s v="4 AM - 8 AM"/>
    <x v="200"/>
    <s v="Bhubaneshwar"/>
    <s v="Women"/>
    <s v="Blouse"/>
    <s v="Aurelia"/>
    <s v="Wedding Guest"/>
    <s v="Store"/>
    <n v="1"/>
    <n v="3900"/>
    <s v="11-20%"/>
    <n v="20"/>
    <s v="Valid"/>
    <s v="Match"/>
    <n v="3900"/>
    <n v="780"/>
    <n v="3120"/>
    <n v="2227.6799999999998"/>
    <n v="892.32"/>
    <b v="0"/>
    <n v="0"/>
    <s v="COD"/>
    <s v="Sanjay"/>
    <s v="Google"/>
    <n v="5"/>
    <x v="8"/>
    <x v="4"/>
  </r>
  <r>
    <s v="ZAR-10051"/>
    <d v="2025-07-26T00:00:00"/>
    <s v="4 PM - 8 PM"/>
    <x v="120"/>
    <s v="Bhubaneshwar"/>
    <s v="Men"/>
    <s v="Dhoti Set"/>
    <s v="Aurelia"/>
    <s v="Family Function"/>
    <s v="Instagram"/>
    <n v="1"/>
    <n v="2000"/>
    <s v="1-10%"/>
    <n v="10"/>
    <s v="Valid"/>
    <s v="Match"/>
    <n v="2000"/>
    <n v="200"/>
    <n v="1800"/>
    <n v="1182.24"/>
    <n v="617.76"/>
    <b v="0"/>
    <n v="0"/>
    <s v="COD"/>
    <s v="Priya"/>
    <s v="Repeat Customer"/>
    <n v="3"/>
    <x v="0"/>
    <x v="5"/>
  </r>
  <r>
    <s v="ZAR-10733"/>
    <d v="2025-08-31T00:00:00"/>
    <s v="4 AM - 8 AM"/>
    <x v="201"/>
    <s v="Balasore"/>
    <s v="Women"/>
    <s v="Bridal Lehenga"/>
    <s v="Zaree Studio"/>
    <s v="Festive"/>
    <s v="Store"/>
    <n v="1"/>
    <n v="64950"/>
    <s v="11-20%"/>
    <n v="15"/>
    <s v="Valid"/>
    <s v="Match"/>
    <n v="64950"/>
    <n v="9742.5"/>
    <n v="55207.5"/>
    <n v="44218.61"/>
    <n v="10988.89"/>
    <b v="0"/>
    <n v="0"/>
    <s v="Card"/>
    <s v="Meera"/>
    <s v="Repeat Customer"/>
    <n v="4"/>
    <x v="6"/>
    <x v="0"/>
  </r>
  <r>
    <s v="ZAR-10004"/>
    <d v="2025-07-13T00:00:00"/>
    <s v="12 AM - 4 AM"/>
    <x v="194"/>
    <s v="Sambalpur"/>
    <s v="Men"/>
    <s v="Dhoti Set"/>
    <s v="Aurelia"/>
    <s v="Wedding"/>
    <s v="Website"/>
    <n v="1"/>
    <n v="3200"/>
    <s v="11-20%"/>
    <n v="15"/>
    <s v="Valid"/>
    <s v="Match"/>
    <n v="3200"/>
    <n v="480"/>
    <n v="2720"/>
    <n v="2041.5"/>
    <n v="678.5"/>
    <b v="0"/>
    <n v="0"/>
    <s v="UPI"/>
    <s v="Ananya"/>
    <s v="WhatsApp"/>
    <n v="4.5"/>
    <x v="0"/>
    <x v="0"/>
  </r>
  <r>
    <s v="ZAR-10788"/>
    <d v="2025-02-26T00:00:00"/>
    <s v="4 AM - 8 AM"/>
    <x v="87"/>
    <s v="Rourkela"/>
    <s v="Women"/>
    <s v="Saree"/>
    <s v="FabIndia"/>
    <s v="Office"/>
    <s v="Store"/>
    <n v="2"/>
    <n v="26450"/>
    <s v="1-10%"/>
    <n v="5"/>
    <s v="Valid"/>
    <s v="Match"/>
    <n v="52900"/>
    <n v="2645"/>
    <n v="50255"/>
    <n v="31756.66"/>
    <n v="18498.34"/>
    <b v="0"/>
    <n v="0"/>
    <s v="UPI"/>
    <s v="Meera"/>
    <s v="Instagram"/>
    <n v="4"/>
    <x v="4"/>
    <x v="1"/>
  </r>
  <r>
    <s v="ZAR-10354"/>
    <d v="2025-11-25T00:00:00"/>
    <s v="12 PM - 4 PM"/>
    <x v="202"/>
    <s v="Rourkela"/>
    <s v="Women"/>
    <s v="Blouse"/>
    <s v="Manyavar"/>
    <s v="Casual"/>
    <s v="Website"/>
    <n v="4"/>
    <n v="4900"/>
    <s v="1-10%"/>
    <n v="5"/>
    <s v="Valid"/>
    <s v="Match"/>
    <n v="19600"/>
    <n v="980"/>
    <n v="18620"/>
    <n v="10557.07"/>
    <n v="8062.93"/>
    <b v="0"/>
    <n v="0"/>
    <s v="Net Banking"/>
    <s v="Neha"/>
    <s v="Google"/>
    <n v="4.5"/>
    <x v="5"/>
    <x v="6"/>
  </r>
  <r>
    <s v="ZAR-10912"/>
    <d v="2025-01-02T00:00:00"/>
    <s v="4 AM - 8 AM"/>
    <x v="203"/>
    <s v="Sambalpur"/>
    <s v="Women"/>
    <s v="Blouse"/>
    <s v="Aurelia"/>
    <s v="Casual"/>
    <s v="Store"/>
    <n v="3"/>
    <n v="4600"/>
    <s v="1-10%"/>
    <n v="5"/>
    <s v="Valid"/>
    <s v="Match"/>
    <n v="13800"/>
    <n v="690"/>
    <n v="13110"/>
    <n v="8024.47"/>
    <n v="5085.53"/>
    <b v="0"/>
    <n v="0"/>
    <s v="Card"/>
    <s v="Ananya"/>
    <s v="Instagram"/>
    <n v="4"/>
    <x v="10"/>
    <x v="4"/>
  </r>
  <r>
    <s v="ZAR-10540"/>
    <d v="2025-03-13T00:00:00"/>
    <s v="12 AM - 4 AM"/>
    <x v="105"/>
    <s v="Bhubaneshwar"/>
    <s v="Men"/>
    <s v="Sherwani"/>
    <s v="Designer Collection"/>
    <s v="Reception"/>
    <s v="Website"/>
    <n v="2"/>
    <n v="24350"/>
    <s v="21-30%"/>
    <n v="25"/>
    <s v="Valid"/>
    <s v="Match"/>
    <n v="48700"/>
    <n v="12175"/>
    <n v="36525"/>
    <n v="34274.699999999997"/>
    <n v="2250.3000000000002"/>
    <b v="0"/>
    <n v="0"/>
    <s v="COD"/>
    <s v="Sanjay"/>
    <s v="WhatsApp"/>
    <n v="4"/>
    <x v="9"/>
    <x v="4"/>
  </r>
  <r>
    <s v="ZAR-10348"/>
    <d v="2025-07-16T00:00:00"/>
    <s v="12 AM - 4 AM"/>
    <x v="204"/>
    <s v="Cuttack"/>
    <s v="Women"/>
    <s v="Dupatta"/>
    <s v="FabIndia"/>
    <s v="Casual"/>
    <s v="Website"/>
    <n v="1"/>
    <n v="1550"/>
    <s v="1-10%"/>
    <n v="5"/>
    <s v="Valid"/>
    <s v="Match"/>
    <n v="1550"/>
    <n v="77.5"/>
    <n v="1472.5"/>
    <n v="1138.0999999999999"/>
    <n v="334.4"/>
    <b v="0"/>
    <n v="0"/>
    <s v="COD"/>
    <s v="Karan"/>
    <s v="Walk-in"/>
    <n v="4.5"/>
    <x v="0"/>
    <x v="1"/>
  </r>
  <r>
    <s v="ZAR-10895"/>
    <d v="2025-03-01T00:00:00"/>
    <s v="12 AM - 4 AM"/>
    <x v="205"/>
    <s v="Cuttack"/>
    <s v="Women"/>
    <s v="Blouse"/>
    <s v="FabIndia"/>
    <s v="Puja"/>
    <s v="Store"/>
    <s v="1"/>
    <n v="2300"/>
    <s v="21-30%"/>
    <n v="25"/>
    <s v="Valid"/>
    <s v="Match"/>
    <n v="2300"/>
    <n v="575"/>
    <n v="1725"/>
    <n v="1675.71"/>
    <n v="49.29"/>
    <b v="0"/>
    <n v="0"/>
    <s v="Net Banking"/>
    <s v="Ananya"/>
    <s v="WhatsApp"/>
    <n v="4"/>
    <x v="9"/>
    <x v="5"/>
  </r>
  <r>
    <s v="ZAR-10485"/>
    <d v="2025-11-29T00:00:00"/>
    <s v="8 PM - 12 AM"/>
    <x v="206"/>
    <s v="Berhampur"/>
    <s v="Women"/>
    <s v="Bridal Lehenga"/>
    <s v="Rangriti"/>
    <s v="Festive"/>
    <s v="Store"/>
    <n v="1"/>
    <n v="90000"/>
    <s v="11-20%"/>
    <n v="15"/>
    <s v="Valid"/>
    <s v="Match"/>
    <n v="90000"/>
    <n v="13500"/>
    <n v="76500"/>
    <n v="57455"/>
    <n v="19045"/>
    <b v="0"/>
    <n v="0"/>
    <s v="Cash"/>
    <s v="Meera"/>
    <s v="Google"/>
    <n v="5"/>
    <x v="5"/>
    <x v="5"/>
  </r>
  <r>
    <s v="ZAR-10662"/>
    <d v="2025-12-28T00:00:00"/>
    <s v="4 PM - 8 PM"/>
    <x v="207"/>
    <s v="Berhampur"/>
    <s v="Women"/>
    <s v="Bridal Lehenga"/>
    <s v="FabIndia"/>
    <s v="Engagement"/>
    <s v="Store"/>
    <n v="2"/>
    <n v="123050"/>
    <s v="1-10%"/>
    <n v="10"/>
    <s v="Valid"/>
    <s v="Match"/>
    <n v="246100"/>
    <n v="24610"/>
    <n v="221490"/>
    <n v="146858.57"/>
    <n v="74631.429999999993"/>
    <b v="0"/>
    <n v="0"/>
    <s v="Net Banking"/>
    <s v="Karan"/>
    <s v="Not Recorded"/>
    <n v="5"/>
    <x v="1"/>
    <x v="0"/>
  </r>
  <r>
    <s v="ZAR-10035"/>
    <d v="2025-02-11T00:00:00"/>
    <s v="12 PM - 4 PM"/>
    <x v="208"/>
    <s v="Balasore"/>
    <s v="Women"/>
    <s v="Dupatta"/>
    <s v="Rangriti"/>
    <s v="Office"/>
    <s v="Store"/>
    <s v="4"/>
    <n v="1750"/>
    <s v="11-20%"/>
    <n v="15"/>
    <s v="Valid"/>
    <s v="Match"/>
    <n v="7000"/>
    <n v="1050"/>
    <n v="5950"/>
    <n v="4028.5"/>
    <n v="1921.5"/>
    <b v="0"/>
    <n v="0"/>
    <s v="UPI"/>
    <s v="Meera"/>
    <s v="Instagram"/>
    <n v="3.5"/>
    <x v="4"/>
    <x v="6"/>
  </r>
  <r>
    <s v="ZAR-10033"/>
    <d v="2025-10-07T00:00:00"/>
    <s v="4 PM - 8 PM"/>
    <x v="209"/>
    <s v="Cuttack"/>
    <s v="Women"/>
    <s v="Gown"/>
    <s v="Local Artisan"/>
    <s v="Casual"/>
    <s v="Store"/>
    <n v="1"/>
    <n v="6250"/>
    <s v="21-30%"/>
    <n v="30"/>
    <s v="Valid"/>
    <s v="Match"/>
    <n v="6250"/>
    <n v="1875"/>
    <n v="4375"/>
    <n v="3826.15"/>
    <n v="548.85"/>
    <b v="0"/>
    <n v="0"/>
    <s v="Card"/>
    <s v="Meera"/>
    <s v="Google"/>
    <n v="3"/>
    <x v="3"/>
    <x v="6"/>
  </r>
  <r>
    <s v="ZAR-10233"/>
    <d v="2025-08-29T00:00:00"/>
    <s v="12 PM - 4 PM"/>
    <x v="54"/>
    <s v="Cuttack"/>
    <s v="Kids"/>
    <s v="Kids Sherwani"/>
    <s v="Biba"/>
    <s v="Reception"/>
    <s v="Store"/>
    <n v="2"/>
    <n v="2050"/>
    <s v="1-10%"/>
    <n v="5"/>
    <s v="Valid"/>
    <s v="Match"/>
    <n v="4100"/>
    <n v="205"/>
    <n v="3895"/>
    <n v="2588.02"/>
    <n v="1306.98"/>
    <b v="0"/>
    <n v="0"/>
    <s v="UPI"/>
    <s v="Neha"/>
    <s v="Walk-in"/>
    <n v="4"/>
    <x v="6"/>
    <x v="3"/>
  </r>
  <r>
    <s v="ZAR-10754"/>
    <d v="2025-03-08T00:00:00"/>
    <s v="12 AM - 4 AM"/>
    <x v="31"/>
    <s v="Cuttack"/>
    <s v="Men"/>
    <s v="Shirt"/>
    <s v="Rangriti"/>
    <s v="Casual"/>
    <s v="Instagram"/>
    <n v="3"/>
    <n v="1350"/>
    <s v="11-20%"/>
    <n v="15"/>
    <s v="Valid"/>
    <s v="Match"/>
    <n v="4050"/>
    <n v="607.5"/>
    <n v="3442.5"/>
    <n v="2622.92"/>
    <n v="819.58"/>
    <b v="0"/>
    <n v="0"/>
    <s v="COD"/>
    <s v="Neha"/>
    <s v="WhatsApp"/>
    <n v="4.5"/>
    <x v="6"/>
    <x v="0"/>
  </r>
  <r>
    <s v="ZAR-10194"/>
    <d v="2025-03-30T00:00:00"/>
    <s v="4 AM - 8 AM"/>
    <x v="210"/>
    <s v="Berhampur"/>
    <s v="Women"/>
    <s v="Bridal Lehenga"/>
    <s v="Zaree Studio"/>
    <s v="Engagement"/>
    <s v="Store"/>
    <n v="2"/>
    <n v="99750"/>
    <s v="11-20%"/>
    <n v="15"/>
    <s v="Valid"/>
    <s v="Match"/>
    <n v="199500"/>
    <n v="29925"/>
    <n v="169575"/>
    <n v="119312.38"/>
    <n v="50262.62"/>
    <b v="0"/>
    <n v="0"/>
    <s v="Cash"/>
    <s v="Neha"/>
    <s v="Repeat Customer"/>
    <n v="4.5"/>
    <x v="9"/>
    <x v="0"/>
  </r>
  <r>
    <s v="ZAR-10515"/>
    <d v="2025-11-10T00:00:00"/>
    <s v="4 AM - 8 AM"/>
    <x v="52"/>
    <s v="Cuttack"/>
    <s v="Kids"/>
    <s v="Kids Gown"/>
    <s v="Manyavar"/>
    <s v="Family Function"/>
    <s v="Store"/>
    <n v="3"/>
    <n v="2500"/>
    <s v="21-30%"/>
    <n v="30"/>
    <s v="Valid"/>
    <s v="Match"/>
    <n v="7500"/>
    <n v="2250"/>
    <n v="5250"/>
    <n v="4390.79"/>
    <n v="859.21"/>
    <b v="0"/>
    <n v="0"/>
    <s v="COD"/>
    <s v="Ananya"/>
    <s v="Not Recorded"/>
    <n v="4"/>
    <x v="5"/>
    <x v="2"/>
  </r>
  <r>
    <s v="ZAR-10005"/>
    <d v="2025-05-23T00:00:00"/>
    <s v="12 PM - 4 PM"/>
    <x v="211"/>
    <s v="Puri"/>
    <s v="Women"/>
    <s v="Salwar Suit"/>
    <s v="Manyavar"/>
    <s v="Festive"/>
    <s v="Store"/>
    <n v="3"/>
    <n v="8900"/>
    <s v="21-30%"/>
    <n v="30"/>
    <s v="Valid"/>
    <s v="Match"/>
    <n v="26700"/>
    <n v="8010"/>
    <n v="18690"/>
    <n v="14477.28"/>
    <n v="4212.72"/>
    <b v="0"/>
    <n v="0"/>
    <s v="COD"/>
    <s v="Karan"/>
    <s v="Walk-in"/>
    <n v="2.5"/>
    <x v="8"/>
    <x v="3"/>
  </r>
  <r>
    <s v="ZAR-10206"/>
    <d v="2025-01-18T00:00:00"/>
    <s v="4 PM - 8 PM"/>
    <x v="212"/>
    <s v="Berhampur"/>
    <s v="Men"/>
    <s v="Indo-Western"/>
    <s v="Designer Collection"/>
    <s v="Casual"/>
    <s v="Website"/>
    <n v="1"/>
    <n v="12000"/>
    <s v="1-10%"/>
    <n v="10"/>
    <s v="Valid"/>
    <s v="Match"/>
    <n v="12000"/>
    <n v="1200"/>
    <n v="10800"/>
    <n v="6448.44"/>
    <n v="4351.5600000000004"/>
    <b v="0"/>
    <n v="0"/>
    <s v="Card"/>
    <s v="Rohit"/>
    <s v="Walk-in"/>
    <n v="3"/>
    <x v="10"/>
    <x v="5"/>
  </r>
  <r>
    <s v="ZAR-10435"/>
    <d v="2025-12-18T00:00:00"/>
    <s v="4 PM - 8 PM"/>
    <x v="213"/>
    <s v="Sambalpur"/>
    <s v="Men"/>
    <s v="Nehru Jacket"/>
    <s v="Manyavar"/>
    <s v="Family Function"/>
    <s v="WhatsApp"/>
    <n v="3"/>
    <n v="4350"/>
    <s v="1-10%"/>
    <n v="5"/>
    <s v="Valid"/>
    <s v="Match"/>
    <n v="13050"/>
    <n v="652.5"/>
    <n v="12397.5"/>
    <n v="7534.41"/>
    <n v="4863.09"/>
    <b v="0"/>
    <n v="0"/>
    <s v="Net Banking"/>
    <s v="Sanjay"/>
    <s v="Repeat Customer"/>
    <n v="4"/>
    <x v="1"/>
    <x v="4"/>
  </r>
  <r>
    <s v="ZAR-10810"/>
    <d v="2025-06-08T00:00:00"/>
    <s v="4 PM - 8 PM"/>
    <x v="214"/>
    <s v="Balasore"/>
    <s v="Kids"/>
    <s v="Kids Kurta"/>
    <s v="Rangriti"/>
    <s v="Casual"/>
    <s v="Instagram"/>
    <s v="1"/>
    <n v="3400"/>
    <s v="0%"/>
    <n v="0"/>
    <s v="Valid"/>
    <s v="Match"/>
    <n v="3400"/>
    <n v="0"/>
    <n v="3400"/>
    <n v="1909.96"/>
    <n v="1490.04"/>
    <b v="0"/>
    <n v="0"/>
    <s v="Card"/>
    <s v="Ananya"/>
    <s v="Instagram"/>
    <n v="4"/>
    <x v="2"/>
    <x v="0"/>
  </r>
  <r>
    <s v="ZAR-10988"/>
    <d v="2025-12-11T00:00:00"/>
    <s v="12 AM - 4 AM"/>
    <x v="47"/>
    <s v="Balasore"/>
    <s v="Women"/>
    <s v="Kurti"/>
    <s v="Biba"/>
    <s v="Reception"/>
    <s v="Walk-in"/>
    <n v="1"/>
    <n v="2700"/>
    <s v="1-10%"/>
    <n v="10"/>
    <s v="Valid"/>
    <s v="Match"/>
    <n v="2700"/>
    <n v="270"/>
    <n v="2430"/>
    <n v="1547.88"/>
    <n v="882.12"/>
    <b v="0"/>
    <n v="0"/>
    <s v="Net Banking"/>
    <s v="Priya"/>
    <s v="Walk-in"/>
    <n v="3.5"/>
    <x v="1"/>
    <x v="4"/>
  </r>
  <r>
    <s v="ZAR-10111"/>
    <d v="2025-06-17T00:00:00"/>
    <s v="4 PM - 8 PM"/>
    <x v="4"/>
    <s v="Sambalpur"/>
    <s v="Women"/>
    <s v="Dupatta"/>
    <s v="Biba"/>
    <s v="Puja"/>
    <s v="Store"/>
    <n v="1"/>
    <n v="4400"/>
    <s v="21-30%"/>
    <n v="30"/>
    <s v="Valid"/>
    <s v="Match"/>
    <n v="4400"/>
    <n v="1320"/>
    <n v="3080"/>
    <n v="3161.44"/>
    <n v="-81.44"/>
    <b v="0"/>
    <n v="0"/>
    <s v="Net Banking"/>
    <s v="Ananya"/>
    <s v="Instagram"/>
    <n v="4"/>
    <x v="2"/>
    <x v="6"/>
  </r>
  <r>
    <s v="ZAR-10944"/>
    <d v="2025-02-02T00:00:00"/>
    <s v="12 PM - 4 PM"/>
    <x v="215"/>
    <s v="Rourkela"/>
    <s v="Women"/>
    <s v="Blouse"/>
    <s v="Aurelia"/>
    <s v="Puja"/>
    <s v="Phone"/>
    <n v="1"/>
    <n v="1150"/>
    <s v="11-20%"/>
    <n v="15"/>
    <s v="Valid"/>
    <s v="Match"/>
    <n v="1150"/>
    <n v="172.5"/>
    <n v="977.5"/>
    <n v="747.1"/>
    <n v="230.4"/>
    <b v="0"/>
    <n v="0"/>
    <s v="Cash"/>
    <s v="Meera"/>
    <s v="Repeat Customer"/>
    <n v="4.5"/>
    <x v="4"/>
    <x v="0"/>
  </r>
  <r>
    <s v="ZAR-10079"/>
    <d v="2025-05-29T00:00:00"/>
    <s v="8 AM - 12 PM"/>
    <x v="216"/>
    <s v="Bhubaneshwar"/>
    <s v="Women"/>
    <s v="Kurti"/>
    <s v="Aurelia"/>
    <s v="Festive"/>
    <s v="Store"/>
    <n v="1"/>
    <n v="1850"/>
    <s v="1-10%"/>
    <n v="5"/>
    <s v="Valid"/>
    <s v="Match"/>
    <n v="1850"/>
    <n v="92.5"/>
    <n v="1757.5"/>
    <n v="1273.01"/>
    <n v="484.49"/>
    <b v="0"/>
    <n v="0"/>
    <s v="COD"/>
    <s v="Neha"/>
    <s v="WhatsApp"/>
    <n v="4"/>
    <x v="8"/>
    <x v="4"/>
  </r>
  <r>
    <s v="ZAR-10086"/>
    <d v="2025-10-13T00:00:00"/>
    <s v="8 PM - 12 AM"/>
    <x v="217"/>
    <s v="Sambalpur"/>
    <s v="Men"/>
    <s v="Sherwani"/>
    <s v="Rangriti"/>
    <s v="Reception"/>
    <s v="Walk-in"/>
    <n v="2"/>
    <n v="37000"/>
    <s v="0%"/>
    <n v="0"/>
    <s v="Valid"/>
    <s v="Match"/>
    <n v="74000"/>
    <n v="0"/>
    <n v="74000"/>
    <n v="43847.37"/>
    <n v="30152.63"/>
    <b v="0"/>
    <n v="0"/>
    <s v="COD"/>
    <s v="Karan"/>
    <s v="Walk-in"/>
    <n v="4"/>
    <x v="3"/>
    <x v="2"/>
  </r>
  <r>
    <s v="ZAR-10590"/>
    <d v="2025-05-27T00:00:00"/>
    <s v="4 AM - 8 AM"/>
    <x v="218"/>
    <s v="Balasore"/>
    <s v="Women"/>
    <s v="Kurti"/>
    <s v="Manyavar"/>
    <s v="Wedding Guest"/>
    <s v="Store"/>
    <n v="1"/>
    <n v="800"/>
    <s v="1-10%"/>
    <n v="5"/>
    <s v="Valid"/>
    <s v="Match"/>
    <n v="800"/>
    <n v="40"/>
    <n v="760"/>
    <n v="478.18"/>
    <n v="281.82"/>
    <b v="0"/>
    <n v="0"/>
    <s v="UPI"/>
    <s v="Rohit"/>
    <s v="Instagram"/>
    <n v="4"/>
    <x v="8"/>
    <x v="6"/>
  </r>
  <r>
    <s v="ZAR-10084"/>
    <d v="2025-02-16T00:00:00"/>
    <s v="4 PM - 8 PM"/>
    <x v="82"/>
    <s v="Berhampur"/>
    <s v="Women"/>
    <s v="Gown"/>
    <s v="Aurelia"/>
    <s v="Reception"/>
    <s v="Store"/>
    <n v="1"/>
    <n v="12900"/>
    <s v="21-30%"/>
    <n v="30"/>
    <s v="Valid"/>
    <s v="Match"/>
    <n v="12900"/>
    <n v="3870"/>
    <n v="9030"/>
    <n v="9481.77"/>
    <n v="-451.77"/>
    <b v="1"/>
    <n v="451.77"/>
    <s v="Cash"/>
    <s v="Neha"/>
    <s v="Google"/>
    <n v="3"/>
    <x v="4"/>
    <x v="0"/>
  </r>
  <r>
    <s v="ZAR-10256"/>
    <d v="2025-08-08T00:00:00"/>
    <s v="4 AM - 8 AM"/>
    <x v="219"/>
    <s v="Sambalpur"/>
    <s v="Men"/>
    <s v="Shirt"/>
    <s v="FabIndia"/>
    <s v="Family Function"/>
    <s v="Store"/>
    <n v="2"/>
    <n v="2650"/>
    <s v="1-10%"/>
    <n v="10"/>
    <s v="Valid"/>
    <s v="Match"/>
    <n v="5300"/>
    <n v="530"/>
    <n v="4770"/>
    <n v="3697.78"/>
    <n v="1072.22"/>
    <b v="0"/>
    <n v="0"/>
    <s v="Card"/>
    <s v="Karan"/>
    <s v="WhatsApp"/>
    <n v="4"/>
    <x v="6"/>
    <x v="3"/>
  </r>
  <r>
    <s v="ZAR-10926"/>
    <d v="2025-09-17T00:00:00"/>
    <s v="4 AM - 8 AM"/>
    <x v="219"/>
    <s v="Bhubaneshwar"/>
    <s v="Women"/>
    <s v="Bridal Lehenga"/>
    <s v="Zaree Studio"/>
    <s v="Engagement"/>
    <s v="Store"/>
    <n v="1"/>
    <n v="117950"/>
    <s v="1-10%"/>
    <n v="10"/>
    <s v="Valid"/>
    <s v="Match"/>
    <n v="117950"/>
    <n v="11795"/>
    <n v="106155"/>
    <n v="66354.59"/>
    <n v="39800.410000000003"/>
    <b v="0"/>
    <n v="0"/>
    <s v="COD"/>
    <s v="Rohit"/>
    <s v="WhatsApp"/>
    <s v="Not Rated"/>
    <x v="11"/>
    <x v="1"/>
  </r>
  <r>
    <s v="ZAR-10410"/>
    <d v="2025-09-21T00:00:00"/>
    <s v="4 AM - 8 AM"/>
    <x v="220"/>
    <s v="Bhubaneshwar"/>
    <s v="Women"/>
    <s v="Lehenga"/>
    <s v="Manyavar"/>
    <s v="Festive"/>
    <s v="WhatsApp"/>
    <n v="1"/>
    <n v="13850"/>
    <s v="11-20%"/>
    <n v="15"/>
    <s v="Valid"/>
    <s v="Match"/>
    <n v="13850"/>
    <n v="2077.5"/>
    <n v="11772.5"/>
    <n v="8494.2099999999991"/>
    <n v="3278.29"/>
    <b v="0"/>
    <n v="0"/>
    <s v="Net Banking"/>
    <s v="Meera"/>
    <s v="Referral"/>
    <n v="3"/>
    <x v="11"/>
    <x v="0"/>
  </r>
  <r>
    <s v="ZAR-10655"/>
    <d v="2025-10-14T00:00:00"/>
    <s v="12 AM - 4 AM"/>
    <x v="221"/>
    <s v="Rourkela"/>
    <s v="Men"/>
    <s v="Indo-Western"/>
    <s v="FabIndia"/>
    <s v="Wedding"/>
    <s v="Store"/>
    <n v="1"/>
    <n v="8950"/>
    <s v="11-20%"/>
    <n v="15"/>
    <s v="Valid"/>
    <s v="Match"/>
    <n v="8950"/>
    <n v="1342.5"/>
    <n v="7607.5"/>
    <n v="5562.27"/>
    <n v="2045.23"/>
    <b v="0"/>
    <n v="0"/>
    <s v="Card"/>
    <s v="Neha"/>
    <s v="Repeat Customer"/>
    <n v="3.5"/>
    <x v="3"/>
    <x v="6"/>
  </r>
  <r>
    <s v="ZAR-10523"/>
    <d v="2025-07-30T00:00:00"/>
    <s v="8 AM - 12 PM"/>
    <x v="222"/>
    <s v="Berhampur"/>
    <s v="Women"/>
    <s v="Salwar Suit"/>
    <s v="Manyavar"/>
    <s v="Reception"/>
    <s v="Store"/>
    <n v="1"/>
    <n v="6500"/>
    <s v="0%"/>
    <n v="0"/>
    <s v="Valid"/>
    <s v="Match"/>
    <n v="6500"/>
    <n v="0"/>
    <n v="6500"/>
    <n v="4646.21"/>
    <n v="1853.79"/>
    <b v="0"/>
    <n v="0"/>
    <s v="Cash"/>
    <s v="Ananya"/>
    <s v="Not Recorded"/>
    <n v="4.5"/>
    <x v="0"/>
    <x v="1"/>
  </r>
  <r>
    <s v="ZAR-10922"/>
    <d v="2025-10-23T00:00:00"/>
    <s v="8 PM - 12 AM"/>
    <x v="223"/>
    <s v="Balasore"/>
    <s v="Women"/>
    <s v="Blouse"/>
    <s v="Designer Collection"/>
    <s v="Casual"/>
    <s v="Store"/>
    <n v="4"/>
    <n v="6750"/>
    <s v="1-10%"/>
    <n v="10"/>
    <s v="Valid"/>
    <s v="Match"/>
    <n v="27000"/>
    <n v="2700"/>
    <n v="24300"/>
    <n v="18711.13"/>
    <n v="5588.87"/>
    <b v="0"/>
    <n v="0"/>
    <s v="Card"/>
    <s v="Meera"/>
    <s v="Instagram"/>
    <n v="3.5"/>
    <x v="3"/>
    <x v="4"/>
  </r>
  <r>
    <s v="ZAR-10438"/>
    <d v="2025-03-16T00:00:00"/>
    <s v="12 AM - 4 AM"/>
    <x v="224"/>
    <s v="Sambalpur"/>
    <s v="Women"/>
    <s v="Salwar Suit"/>
    <s v="Designer Collection"/>
    <s v="Festive"/>
    <s v="Store"/>
    <n v="1"/>
    <n v="7050"/>
    <s v="1-10%"/>
    <n v="5"/>
    <s v="Valid"/>
    <s v="Match"/>
    <n v="7050"/>
    <n v="352.5"/>
    <n v="6697.5"/>
    <n v="4299.62"/>
    <n v="2397.88"/>
    <b v="0"/>
    <n v="0"/>
    <s v="UPI"/>
    <s v="Ananya"/>
    <s v="Google"/>
    <n v="4"/>
    <x v="9"/>
    <x v="0"/>
  </r>
  <r>
    <s v="ZAR-10007"/>
    <d v="2025-03-13T00:00:00"/>
    <s v="4 AM - 8 AM"/>
    <x v="225"/>
    <s v="Berhampur"/>
    <s v="Women"/>
    <s v="Blouse"/>
    <s v="Local Artisan"/>
    <s v="Casual"/>
    <s v="Store"/>
    <n v="3"/>
    <n v="3300"/>
    <s v="11-20%"/>
    <n v="15"/>
    <s v="Valid"/>
    <s v="Match"/>
    <n v="9900"/>
    <n v="1485"/>
    <n v="8415"/>
    <n v="5459.17"/>
    <n v="2955.83"/>
    <b v="0"/>
    <n v="0"/>
    <s v="Cash"/>
    <s v="Rohit"/>
    <s v="Walk-in"/>
    <n v="4.5"/>
    <x v="9"/>
    <x v="4"/>
  </r>
  <r>
    <s v="ZAR-10406"/>
    <d v="2025-11-02T00:00:00"/>
    <s v="4 PM - 8 PM"/>
    <x v="43"/>
    <s v="Sambalpur"/>
    <s v="Kids"/>
    <s v="Kids Gown"/>
    <s v="Manyavar"/>
    <s v="Festive"/>
    <s v="Store"/>
    <n v="2"/>
    <n v="2500"/>
    <s v="1-10%"/>
    <n v="5"/>
    <s v="Valid"/>
    <s v="Match"/>
    <n v="5000"/>
    <n v="250"/>
    <n v="4750"/>
    <n v="3498.74"/>
    <n v="1251.26"/>
    <b v="0"/>
    <n v="0"/>
    <s v="Card"/>
    <s v="Karan"/>
    <s v="Walk-in"/>
    <n v="3.5"/>
    <x v="5"/>
    <x v="0"/>
  </r>
  <r>
    <s v="ZAR-10469"/>
    <d v="2025-11-18T00:00:00"/>
    <s v="8 PM - 12 AM"/>
    <x v="226"/>
    <s v="Puri"/>
    <s v="Women"/>
    <s v="Gown"/>
    <s v="Manyavar"/>
    <s v="Office"/>
    <s v="Instagram"/>
    <n v="2"/>
    <n v="14800"/>
    <s v="11-20%"/>
    <n v="20"/>
    <s v="Valid"/>
    <s v="Match"/>
    <n v="29600"/>
    <n v="5920"/>
    <n v="23680"/>
    <n v="19075.169999999998"/>
    <n v="4604.83"/>
    <b v="0"/>
    <n v="0"/>
    <s v="Net Banking"/>
    <s v="Neha"/>
    <s v="WhatsApp"/>
    <n v="5"/>
    <x v="5"/>
    <x v="6"/>
  </r>
  <r>
    <s v="ZAR-10099"/>
    <d v="2025-08-06T00:00:00"/>
    <s v="12 AM - 4 AM"/>
    <x v="227"/>
    <s v="Berhampur"/>
    <s v="Women"/>
    <s v="Blouse"/>
    <s v="Rangriti"/>
    <s v="Office"/>
    <s v="Phone"/>
    <n v="2"/>
    <n v="3150"/>
    <s v="1-10%"/>
    <n v="10"/>
    <s v="Valid"/>
    <s v="Match"/>
    <n v="6300"/>
    <n v="630"/>
    <n v="5670"/>
    <n v="4386.3900000000003"/>
    <n v="1283.6099999999999"/>
    <b v="0"/>
    <n v="0"/>
    <s v="UPI"/>
    <s v="Priya"/>
    <s v="WhatsApp"/>
    <n v="4"/>
    <x v="6"/>
    <x v="1"/>
  </r>
  <r>
    <s v="ZAR-10561"/>
    <d v="2025-05-20T00:00:00"/>
    <s v="4 AM - 8 AM"/>
    <x v="228"/>
    <s v="Puri"/>
    <s v="Women"/>
    <s v="Dupatta"/>
    <s v="Local Artisan"/>
    <s v="Casual"/>
    <s v="Store"/>
    <n v="2"/>
    <n v="800"/>
    <s v="1-10%"/>
    <n v="10"/>
    <s v="Valid"/>
    <s v="Match"/>
    <n v="1600"/>
    <n v="160"/>
    <n v="1440"/>
    <n v="1152.05"/>
    <n v="287.95"/>
    <b v="0"/>
    <n v="0"/>
    <s v="UPI"/>
    <s v="Meera"/>
    <s v="Instagram"/>
    <n v="3.5"/>
    <x v="8"/>
    <x v="6"/>
  </r>
  <r>
    <s v="ZAR-10361"/>
    <d v="2025-08-26T00:00:00"/>
    <s v="12 PM - 4 PM"/>
    <x v="229"/>
    <s v="Sambalpur"/>
    <s v="Men"/>
    <s v="Sherwani"/>
    <s v="Local Artisan"/>
    <s v="Reception"/>
    <s v="Store"/>
    <n v="2"/>
    <n v="31400"/>
    <s v="0%"/>
    <n v="0"/>
    <s v="Valid"/>
    <s v="Match"/>
    <n v="62800"/>
    <n v="0"/>
    <n v="62800"/>
    <n v="33381.660000000003"/>
    <n v="29418.34"/>
    <b v="0"/>
    <n v="0"/>
    <s v="Net Banking"/>
    <s v="Priya"/>
    <s v="Walk-in"/>
    <n v="4"/>
    <x v="6"/>
    <x v="6"/>
  </r>
  <r>
    <s v="ZAR-10876"/>
    <d v="2025-04-16T00:00:00"/>
    <s v="4 AM - 8 AM"/>
    <x v="230"/>
    <s v="Berhampur"/>
    <s v="Women"/>
    <s v="Dupatta"/>
    <s v="Aurelia"/>
    <s v="Reception"/>
    <s v="WhatsApp"/>
    <n v="1"/>
    <n v="1400"/>
    <s v="11-20%"/>
    <n v="15"/>
    <s v="Valid"/>
    <s v="Match"/>
    <n v="1400"/>
    <n v="210"/>
    <n v="1190"/>
    <n v="975.83"/>
    <n v="214.17"/>
    <b v="0"/>
    <n v="0"/>
    <s v="COD"/>
    <s v="Meera"/>
    <s v="Referral"/>
    <n v="5"/>
    <x v="7"/>
    <x v="1"/>
  </r>
  <r>
    <s v="ZAR-10268"/>
    <d v="2025-06-29T00:00:00"/>
    <s v="4 PM - 8 PM"/>
    <x v="231"/>
    <s v="Balasore"/>
    <s v="Men"/>
    <s v="Indo-Western"/>
    <s v="Aurelia"/>
    <s v="Festive"/>
    <s v="Website"/>
    <n v="2"/>
    <n v="7200"/>
    <s v="21-30%"/>
    <n v="30"/>
    <s v="Valid"/>
    <s v="Match"/>
    <n v="14400"/>
    <n v="4320"/>
    <n v="10080"/>
    <n v="9923.15"/>
    <n v="156.85"/>
    <b v="0"/>
    <n v="0"/>
    <s v="UPI"/>
    <s v="Priya"/>
    <s v="Repeat Customer"/>
    <n v="4"/>
    <x v="2"/>
    <x v="0"/>
  </r>
  <r>
    <s v="ZAR-10679"/>
    <d v="2025-06-22T00:00:00"/>
    <s v="8 AM - 12 PM"/>
    <x v="232"/>
    <s v="Puri"/>
    <s v="Women"/>
    <s v="Salwar Suit"/>
    <s v="Local Artisan"/>
    <s v="Office"/>
    <s v="Instagram"/>
    <n v="2"/>
    <n v="2050"/>
    <s v="0%"/>
    <n v="0"/>
    <s v="Valid"/>
    <s v="Match"/>
    <n v="4100"/>
    <n v="0"/>
    <n v="4100"/>
    <n v="2952.87"/>
    <n v="1147.1300000000001"/>
    <b v="0"/>
    <n v="0"/>
    <s v="Net Banking"/>
    <s v="Meera"/>
    <s v="WhatsApp"/>
    <n v="5"/>
    <x v="2"/>
    <x v="0"/>
  </r>
  <r>
    <s v="ZAR-10384"/>
    <d v="2025-01-07T00:00:00"/>
    <s v="8 PM - 12 AM"/>
    <x v="233"/>
    <s v="Rourkela"/>
    <s v="Men"/>
    <s v="Shirt"/>
    <s v="Rangriti"/>
    <s v="Wedding"/>
    <s v="Phone"/>
    <n v="1"/>
    <n v="3450"/>
    <s v="1-10%"/>
    <n v="5"/>
    <s v="Valid"/>
    <s v="Match"/>
    <n v="3450"/>
    <n v="172.5"/>
    <n v="3277.5"/>
    <n v="1857.07"/>
    <n v="1420.43"/>
    <b v="0"/>
    <n v="0"/>
    <s v="UPI"/>
    <s v="Sanjay"/>
    <s v="WhatsApp"/>
    <n v="3.5"/>
    <x v="10"/>
    <x v="6"/>
  </r>
  <r>
    <s v="ZAR-10695"/>
    <d v="2025-06-27T00:00:00"/>
    <s v="8 AM - 12 PM"/>
    <x v="234"/>
    <s v="Bhubaneshwar"/>
    <s v="Kids"/>
    <s v="Kids Kurta"/>
    <s v="Biba"/>
    <s v="Casual"/>
    <s v="Store"/>
    <n v="1"/>
    <n v="1900"/>
    <s v="11-20%"/>
    <n v="20"/>
    <s v="Valid"/>
    <s v="Match"/>
    <n v="1900"/>
    <n v="380"/>
    <n v="1520"/>
    <n v="1119.4100000000001"/>
    <n v="400.59"/>
    <b v="0"/>
    <n v="0"/>
    <s v="Cash"/>
    <s v="Neha"/>
    <s v="Instagram"/>
    <n v="3.5"/>
    <x v="2"/>
    <x v="3"/>
  </r>
  <r>
    <s v="ZAR-10413"/>
    <d v="2025-08-06T00:00:00"/>
    <s v="12 PM - 4 PM"/>
    <x v="235"/>
    <s v="Puri"/>
    <s v="Kids"/>
    <s v="Kids Saree"/>
    <s v="Local Artisan"/>
    <s v="Wedding"/>
    <s v="WhatsApp"/>
    <n v="3"/>
    <n v="1400"/>
    <s v="11-20%"/>
    <n v="15"/>
    <s v="Valid"/>
    <s v="Match"/>
    <n v="4200"/>
    <n v="630"/>
    <n v="3570"/>
    <n v="2297.4299999999998"/>
    <n v="1272.57"/>
    <b v="0"/>
    <n v="0"/>
    <s v="Cash"/>
    <s v="Sanjay"/>
    <s v="Not Recorded"/>
    <n v="5"/>
    <x v="6"/>
    <x v="1"/>
  </r>
  <r>
    <s v="ZAR-10889"/>
    <d v="2025-12-15T00:00:00"/>
    <s v="12 AM - 4 AM"/>
    <x v="187"/>
    <s v="Sambalpur"/>
    <s v="Kids"/>
    <s v="Kids Kurta"/>
    <s v="Local Artisan"/>
    <s v="Wedding"/>
    <s v="Store"/>
    <n v="1"/>
    <n v="750"/>
    <s v="0%"/>
    <n v="0"/>
    <s v="Valid"/>
    <s v="Match"/>
    <n v="750"/>
    <n v="0"/>
    <n v="750"/>
    <n v="424.17"/>
    <n v="325.83"/>
    <b v="0"/>
    <n v="0"/>
    <s v="UPI"/>
    <s v="Karan"/>
    <s v="Repeat Customer"/>
    <n v="5"/>
    <x v="1"/>
    <x v="2"/>
  </r>
  <r>
    <s v="ZAR-10120"/>
    <d v="2025-03-16T00:00:00"/>
    <s v="8 AM - 12 PM"/>
    <x v="236"/>
    <s v="Sambalpur"/>
    <s v="Men"/>
    <s v="Indo-Western"/>
    <s v="Biba"/>
    <s v="Family Function"/>
    <s v="Phone"/>
    <n v="1"/>
    <n v="16550"/>
    <s v="1-10%"/>
    <n v="10"/>
    <s v="Valid"/>
    <s v="Match"/>
    <n v="16550"/>
    <n v="1655"/>
    <n v="14895"/>
    <n v="12081.73"/>
    <n v="2813.27"/>
    <b v="0"/>
    <n v="0"/>
    <s v="Net Banking"/>
    <s v="Rohit"/>
    <s v="Walk-in"/>
    <n v="5"/>
    <x v="9"/>
    <x v="0"/>
  </r>
  <r>
    <s v="ZAR-10432"/>
    <d v="2025-11-20T00:00:00"/>
    <s v="8 AM - 12 PM"/>
    <x v="237"/>
    <s v="Puri"/>
    <s v="Women"/>
    <s v="Kurti"/>
    <s v="Rangriti"/>
    <s v="Wedding Guest"/>
    <s v="WhatsApp"/>
    <n v="3"/>
    <n v="1850"/>
    <s v="1-10%"/>
    <n v="5"/>
    <s v="Valid"/>
    <s v="Match"/>
    <n v="5550"/>
    <n v="277.5"/>
    <n v="5272.5"/>
    <n v="4004.3"/>
    <n v="1268.2"/>
    <b v="0"/>
    <n v="0"/>
    <s v="Net Banking"/>
    <s v="Sanjay"/>
    <s v="WhatsApp"/>
    <n v="4"/>
    <x v="5"/>
    <x v="4"/>
  </r>
  <r>
    <s v="ZAR-10252"/>
    <d v="2025-12-05T00:00:00"/>
    <s v="12 AM - 4 AM"/>
    <x v="238"/>
    <s v="Cuttack"/>
    <s v="Women"/>
    <s v="Salwar Suit"/>
    <s v="Biba"/>
    <s v="Casual"/>
    <s v="Walk-in"/>
    <n v="1"/>
    <n v="6150"/>
    <s v="11-20%"/>
    <n v="15"/>
    <s v="Valid"/>
    <s v="Match"/>
    <n v="6150"/>
    <n v="922.5"/>
    <n v="5227.5"/>
    <n v="3714.05"/>
    <n v="1513.45"/>
    <b v="0"/>
    <n v="0"/>
    <s v="Card"/>
    <s v="Priya"/>
    <s v="WhatsApp"/>
    <n v="4.5"/>
    <x v="1"/>
    <x v="3"/>
  </r>
  <r>
    <s v="ZAR-10344"/>
    <d v="2025-08-07T00:00:00"/>
    <s v="12 PM - 4 PM"/>
    <x v="239"/>
    <s v="Balasore"/>
    <s v="Women"/>
    <s v="Blouse"/>
    <s v="Designer Collection"/>
    <s v="Reception"/>
    <s v="Instagram"/>
    <n v="1"/>
    <n v="6400"/>
    <s v="11-20%"/>
    <n v="15"/>
    <s v="Valid"/>
    <s v="Match"/>
    <n v="6400"/>
    <n v="960"/>
    <n v="5440"/>
    <n v="3403.75"/>
    <n v="2036.25"/>
    <b v="0"/>
    <n v="0"/>
    <s v="COD"/>
    <s v="Priya"/>
    <s v="Referral"/>
    <n v="5"/>
    <x v="6"/>
    <x v="4"/>
  </r>
  <r>
    <s v="ZAR-10011"/>
    <d v="2025-03-06T00:00:00"/>
    <s v="4 AM - 8 AM"/>
    <x v="240"/>
    <s v="Rourkela"/>
    <s v="Kids"/>
    <s v="Kids Lehenga"/>
    <s v="Aurelia"/>
    <s v="Family Function"/>
    <s v="Phone"/>
    <n v="2"/>
    <n v="9450"/>
    <s v="21-30%"/>
    <n v="30"/>
    <s v="Valid"/>
    <s v="Match"/>
    <n v="18900"/>
    <n v="5670"/>
    <n v="13230"/>
    <n v="12042.99"/>
    <n v="1187.01"/>
    <b v="0"/>
    <n v="0"/>
    <s v="Cash"/>
    <s v="Sanjay"/>
    <s v="WhatsApp"/>
    <s v="Not Rated"/>
    <x v="9"/>
    <x v="4"/>
  </r>
  <r>
    <s v="ZAR-10198"/>
    <d v="2025-07-20T00:00:00"/>
    <s v="4 PM - 8 PM"/>
    <x v="241"/>
    <s v="Cuttack"/>
    <s v="Men"/>
    <s v="Kurta Pajama"/>
    <s v="Designer Collection"/>
    <s v="Casual"/>
    <s v="Instagram"/>
    <n v="1"/>
    <n v="2650"/>
    <s v="21-30%"/>
    <n v="25"/>
    <s v="Valid"/>
    <s v="Match"/>
    <n v="2650"/>
    <n v="662.5"/>
    <n v="1987.5"/>
    <n v="1931.09"/>
    <n v="56.41"/>
    <b v="0"/>
    <n v="0"/>
    <s v="Card"/>
    <s v="Priya"/>
    <s v="WhatsApp"/>
    <n v="5"/>
    <x v="0"/>
    <x v="0"/>
  </r>
  <r>
    <s v="ZAR-10987"/>
    <d v="2025-01-03T00:00:00"/>
    <s v="8 AM - 12 PM"/>
    <x v="242"/>
    <s v="Balasore"/>
    <s v="Kids"/>
    <s v="Kids Gown"/>
    <s v="Designer Collection"/>
    <s v="Casual"/>
    <s v="Store"/>
    <n v="1"/>
    <n v="2150"/>
    <s v="30%+"/>
    <s v="20"/>
    <s v="Invalid Discount"/>
    <s v="Match"/>
    <n v="2150"/>
    <n v="430"/>
    <n v="1720"/>
    <n v="1550.91"/>
    <n v="169.09"/>
    <b v="0"/>
    <n v="0"/>
    <s v="Net Banking"/>
    <s v="Rohit"/>
    <s v="Repeat Customer"/>
    <n v="4.5"/>
    <x v="10"/>
    <x v="3"/>
  </r>
  <r>
    <s v="ZAR-10083"/>
    <d v="2025-08-29T00:00:00"/>
    <s v="12 PM - 4 PM"/>
    <x v="211"/>
    <s v="Sambalpur"/>
    <s v="Women"/>
    <s v="Gown"/>
    <s v="Rangriti"/>
    <s v="Office"/>
    <s v="WhatsApp"/>
    <n v="2"/>
    <n v="13300"/>
    <s v="1-10%"/>
    <n v="5"/>
    <s v="Valid"/>
    <s v="Match"/>
    <n v="26600"/>
    <n v="1330"/>
    <n v="25270"/>
    <n v="16405.490000000002"/>
    <n v="8864.51"/>
    <b v="0"/>
    <n v="0"/>
    <s v="Cash"/>
    <s v="Sanjay"/>
    <s v="Google"/>
    <n v="4.5"/>
    <x v="6"/>
    <x v="3"/>
  </r>
  <r>
    <s v="ZAR-10915"/>
    <d v="2025-12-18T00:00:00"/>
    <s v="4 PM - 8 PM"/>
    <x v="243"/>
    <s v="Balasore"/>
    <s v="Women"/>
    <s v="Salwar Suit"/>
    <s v="FabIndia"/>
    <s v="Wedding Guest"/>
    <s v="Instagram"/>
    <n v="1"/>
    <n v="8250"/>
    <s v="11-20%"/>
    <n v="15"/>
    <s v="Valid"/>
    <s v="Match"/>
    <n v="8250"/>
    <n v="1237.5"/>
    <n v="7012.5"/>
    <n v="6033.59"/>
    <n v="978.91"/>
    <b v="0"/>
    <n v="0"/>
    <s v="Cash"/>
    <s v="Sanjay"/>
    <s v="Instagram"/>
    <n v="4"/>
    <x v="1"/>
    <x v="4"/>
  </r>
  <r>
    <s v="ZAR-10480"/>
    <d v="2025-06-12T00:00:00"/>
    <s v="12 PM - 4 PM"/>
    <x v="244"/>
    <s v="Rourkela"/>
    <s v="Women"/>
    <s v="Blouse"/>
    <s v="Zaree Studio"/>
    <s v="Reception"/>
    <s v="Store"/>
    <n v="1"/>
    <n v="4000"/>
    <s v="0%"/>
    <n v="0"/>
    <s v="Valid"/>
    <s v="Match"/>
    <n v="4000"/>
    <n v="0"/>
    <n v="4000"/>
    <n v="2316.9699999999998"/>
    <n v="1683.03"/>
    <b v="0"/>
    <n v="0"/>
    <s v="Cash"/>
    <s v="Neha"/>
    <s v="Repeat Customer"/>
    <n v="3.5"/>
    <x v="2"/>
    <x v="4"/>
  </r>
  <r>
    <s v="ZAR-10698"/>
    <d v="2025-02-08T00:00:00"/>
    <s v="8 AM - 12 PM"/>
    <x v="44"/>
    <s v="Berhampur"/>
    <s v="Kids"/>
    <s v="Kids Lehenga"/>
    <s v="Zaree Studio"/>
    <s v="Festive"/>
    <s v="Store"/>
    <n v="2"/>
    <n v="11700"/>
    <s v="21-30%"/>
    <n v="25"/>
    <s v="Valid"/>
    <s v="Match"/>
    <n v="23400"/>
    <n v="5850"/>
    <n v="17550"/>
    <n v="16252.01"/>
    <n v="1297.99"/>
    <b v="0"/>
    <n v="0"/>
    <s v="Net Banking"/>
    <s v="Ananya"/>
    <s v="WhatsApp"/>
    <n v="5"/>
    <x v="4"/>
    <x v="5"/>
  </r>
  <r>
    <s v="ZAR-10241"/>
    <d v="2025-12-08T00:00:00"/>
    <s v="8 PM - 12 AM"/>
    <x v="245"/>
    <s v="Balasore"/>
    <s v="Men"/>
    <s v="Shirt"/>
    <s v="Zaree Studio"/>
    <s v="Wedding"/>
    <s v="WhatsApp"/>
    <n v="1"/>
    <n v="1150"/>
    <s v="11-20%"/>
    <n v="15"/>
    <s v="Valid"/>
    <s v="Match"/>
    <n v="1150"/>
    <n v="172.5"/>
    <n v="977.5"/>
    <n v="745.45"/>
    <n v="232.05"/>
    <b v="0"/>
    <n v="0"/>
    <s v="COD"/>
    <s v="Ananya"/>
    <s v="Instagram"/>
    <n v="4"/>
    <x v="1"/>
    <x v="2"/>
  </r>
  <r>
    <s v="ZAR-10294"/>
    <d v="2025-06-09T00:00:00"/>
    <s v="12 PM - 4 PM"/>
    <x v="246"/>
    <s v="Rourkela"/>
    <s v="Men"/>
    <s v="Kurta Pajama"/>
    <s v="Zaree Studio"/>
    <s v="Festive"/>
    <s v="Insta"/>
    <n v="1"/>
    <n v="2100"/>
    <s v="1-10%"/>
    <n v="5"/>
    <s v="Valid"/>
    <s v="Match"/>
    <n v="2100"/>
    <n v="105"/>
    <n v="1995"/>
    <n v="1249.96"/>
    <n v="745.04"/>
    <b v="0"/>
    <n v="0"/>
    <s v="Cash"/>
    <s v="Meera"/>
    <s v="Google"/>
    <n v="3.5"/>
    <x v="2"/>
    <x v="2"/>
  </r>
  <r>
    <s v="ZAR-10213"/>
    <d v="2025-04-01T00:00:00"/>
    <s v="12 PM - 4 PM"/>
    <x v="247"/>
    <s v="Berhampur"/>
    <s v="Women"/>
    <s v="Lehenga"/>
    <s v="Rangriti"/>
    <s v="Casual"/>
    <s v="Walk-in"/>
    <n v="1"/>
    <n v="32900"/>
    <s v="11-20%"/>
    <n v="15"/>
    <s v="Valid"/>
    <s v="Match"/>
    <n v="32900"/>
    <n v="4935"/>
    <n v="27965"/>
    <n v="21407.69"/>
    <n v="6557.31"/>
    <b v="0"/>
    <n v="0"/>
    <s v="Cash"/>
    <s v="Ananya"/>
    <s v="Google"/>
    <n v="5"/>
    <x v="7"/>
    <x v="6"/>
  </r>
  <r>
    <s v="ZAR-10724"/>
    <d v="2025-03-20T00:00:00"/>
    <s v="8 PM - 12 AM"/>
    <x v="248"/>
    <s v="Cuttack"/>
    <s v="Kids"/>
    <s v="Kids Sherwani"/>
    <s v="Zaree Studio"/>
    <s v="Festive"/>
    <s v="Website"/>
    <n v="1"/>
    <n v="5200"/>
    <s v="0%"/>
    <n v="0"/>
    <s v="Valid"/>
    <s v="Match"/>
    <n v="5200"/>
    <n v="0"/>
    <n v="5200"/>
    <n v="3405.18"/>
    <n v="1794.82"/>
    <b v="0"/>
    <n v="0"/>
    <s v="Net Banking"/>
    <s v="Karan"/>
    <s v="WhatsApp"/>
    <n v="3"/>
    <x v="9"/>
    <x v="4"/>
  </r>
  <r>
    <s v="ZAR-10363"/>
    <d v="2025-05-04T00:00:00"/>
    <s v="8 PM - 12 AM"/>
    <x v="112"/>
    <s v="Puri"/>
    <s v="Men"/>
    <s v="Nehru Jacket"/>
    <s v="Zaree Studio"/>
    <s v="Casual"/>
    <s v="Store"/>
    <n v="1"/>
    <n v="5550"/>
    <s v="21-30%"/>
    <n v="30"/>
    <s v="Valid"/>
    <s v="Match"/>
    <n v="5550"/>
    <n v="1665"/>
    <n v="3885"/>
    <n v="3710.53"/>
    <n v="174.47"/>
    <b v="0"/>
    <n v="0"/>
    <s v="UPI"/>
    <s v="Ananya"/>
    <s v="Google"/>
    <s v="Not Rated"/>
    <x v="8"/>
    <x v="0"/>
  </r>
  <r>
    <s v="ZAR-10453"/>
    <d v="2025-11-05T00:00:00"/>
    <s v="12 PM - 4 PM"/>
    <x v="249"/>
    <s v="Berhampur"/>
    <s v="Women"/>
    <s v="Blouse"/>
    <s v="Local Artisan"/>
    <s v="Reception"/>
    <s v="Website"/>
    <n v="1"/>
    <n v="3700"/>
    <s v="21-30%"/>
    <n v="25"/>
    <s v="Valid"/>
    <s v="Match"/>
    <n v="3700"/>
    <n v="925"/>
    <n v="2775"/>
    <n v="2710.16"/>
    <n v="64.84"/>
    <b v="0"/>
    <n v="0"/>
    <s v="Cash"/>
    <s v="Ananya"/>
    <s v="Walk-in"/>
    <n v="5"/>
    <x v="5"/>
    <x v="1"/>
  </r>
  <r>
    <s v="ZAR-10229"/>
    <d v="2025-11-15T00:00:00"/>
    <s v="8 AM - 12 PM"/>
    <x v="250"/>
    <s v="Balasore"/>
    <s v="Women"/>
    <s v="Bridal Lehenga"/>
    <s v="Local Artisan"/>
    <s v="Reception"/>
    <s v="Store"/>
    <n v="1"/>
    <n v="19050"/>
    <s v="1-10%"/>
    <n v="10"/>
    <s v="Valid"/>
    <s v="Match"/>
    <n v="19050"/>
    <n v="1905"/>
    <n v="17145"/>
    <n v="13654.97"/>
    <n v="3490.03"/>
    <b v="0"/>
    <n v="0"/>
    <s v="Net Banking"/>
    <s v="Sanjay"/>
    <s v="Referral"/>
    <n v="3"/>
    <x v="5"/>
    <x v="5"/>
  </r>
  <r>
    <s v="ZAR-10909"/>
    <d v="2025-05-23T00:00:00"/>
    <s v="12 AM - 4 AM"/>
    <x v="251"/>
    <s v="Berhampur"/>
    <s v="Women"/>
    <s v="Gown"/>
    <s v="Local Artisan"/>
    <s v="Reception"/>
    <s v="Store"/>
    <n v="5"/>
    <n v="12000"/>
    <s v="0%"/>
    <n v="0"/>
    <s v="Valid"/>
    <s v="Match"/>
    <n v="60000"/>
    <n v="0"/>
    <n v="60000"/>
    <n v="42382.71"/>
    <n v="17617.29"/>
    <b v="0"/>
    <n v="0"/>
    <s v="Card"/>
    <s v="Ananya"/>
    <s v="WhatsApp"/>
    <n v="5"/>
    <x v="8"/>
    <x v="3"/>
  </r>
  <r>
    <s v="ZAR-10364"/>
    <d v="2025-04-09T00:00:00"/>
    <s v="12 AM - 4 AM"/>
    <x v="252"/>
    <s v="Berhampur"/>
    <s v="Women"/>
    <s v="Lehenga"/>
    <s v="Rangriti"/>
    <s v="Reception"/>
    <s v="Store"/>
    <n v="1"/>
    <n v="33050"/>
    <s v="21-30%"/>
    <n v="25"/>
    <s v="Valid"/>
    <s v="Match"/>
    <n v="33050"/>
    <n v="8262.5"/>
    <n v="24787.5"/>
    <n v="19245.849999999999"/>
    <n v="5541.65"/>
    <b v="0"/>
    <n v="0"/>
    <s v="UPI"/>
    <s v="Meera"/>
    <s v="Repeat Customer"/>
    <n v="4.5"/>
    <x v="7"/>
    <x v="1"/>
  </r>
  <r>
    <s v="ZAR-10804"/>
    <d v="2025-07-02T00:00:00"/>
    <s v="12 AM - 4 AM"/>
    <x v="253"/>
    <s v="Bhubaneshwar"/>
    <s v="Men"/>
    <s v="Nehru Jacket"/>
    <s v="Biba"/>
    <s v="Family Function"/>
    <s v="WhatsApp"/>
    <n v="1"/>
    <n v="5450"/>
    <s v="21-30%"/>
    <n v="25"/>
    <s v="Valid"/>
    <s v="Match"/>
    <n v="5450"/>
    <n v="1362.5"/>
    <n v="4087.5"/>
    <n v="3836.72"/>
    <n v="250.78"/>
    <b v="0"/>
    <n v="0"/>
    <s v="UPI"/>
    <s v="Meera"/>
    <s v="WhatsApp"/>
    <n v="3.5"/>
    <x v="0"/>
    <x v="1"/>
  </r>
  <r>
    <s v="ZAR-10659"/>
    <d v="2025-04-05T00:00:00"/>
    <s v="4 AM - 8 AM"/>
    <x v="254"/>
    <s v="Puri"/>
    <s v="Women"/>
    <s v="Blouse"/>
    <s v="Rangriti"/>
    <s v="Reception"/>
    <s v="Store"/>
    <n v="3"/>
    <n v="3300"/>
    <s v="1-10%"/>
    <n v="10"/>
    <s v="Valid"/>
    <s v="Match"/>
    <n v="9900"/>
    <n v="990"/>
    <n v="8910"/>
    <n v="6029.13"/>
    <n v="2880.87"/>
    <b v="0"/>
    <n v="0"/>
    <s v="Net Banking"/>
    <s v="Rohit"/>
    <s v="WhatsApp"/>
    <n v="4"/>
    <x v="7"/>
    <x v="5"/>
  </r>
  <r>
    <s v="ZAR-10709"/>
    <d v="2025-07-28T00:00:00"/>
    <s v="4 PM - 8 PM"/>
    <x v="255"/>
    <s v="Rourkela"/>
    <s v="Kids"/>
    <s v="Kids Sherwani"/>
    <s v="Zaree Studio"/>
    <s v="Reception"/>
    <s v="Store"/>
    <n v="1"/>
    <n v="3800"/>
    <s v="0%"/>
    <n v="0"/>
    <s v="Valid"/>
    <s v="Match"/>
    <n v="3800"/>
    <n v="0"/>
    <n v="3800"/>
    <n v="2161.8000000000002"/>
    <n v="1638.2"/>
    <b v="0"/>
    <n v="0"/>
    <s v="Net Banking"/>
    <s v="Karan"/>
    <s v="Google"/>
    <n v="4"/>
    <x v="0"/>
    <x v="2"/>
  </r>
  <r>
    <s v="ZAR-10646"/>
    <d v="2025-08-31T00:00:00"/>
    <s v="4 PM - 8 PM"/>
    <x v="256"/>
    <s v="Rourkela"/>
    <s v="Kids"/>
    <s v="Kids Lehenga"/>
    <s v="Biba"/>
    <s v="Festive"/>
    <s v="Website"/>
    <n v="2"/>
    <n v="4100"/>
    <s v="0%"/>
    <n v="0"/>
    <s v="Valid"/>
    <s v="Match"/>
    <n v="8200"/>
    <n v="0"/>
    <n v="8200"/>
    <n v="5335.59"/>
    <n v="2864.41"/>
    <b v="0"/>
    <n v="0"/>
    <s v="Card"/>
    <s v="Neha"/>
    <s v="Repeat Customer"/>
    <n v="3"/>
    <x v="6"/>
    <x v="0"/>
  </r>
  <r>
    <s v="ZAR-10583"/>
    <d v="2025-05-30T00:00:00"/>
    <s v="12 AM - 4 AM"/>
    <x v="257"/>
    <s v="Cuttack"/>
    <s v="Women"/>
    <s v="Salwar Suit"/>
    <s v="Zaree Studio"/>
    <s v="Festive"/>
    <s v="Phone"/>
    <n v="1"/>
    <n v="5800"/>
    <s v="0%"/>
    <n v="0"/>
    <s v="Valid"/>
    <s v="Match"/>
    <n v="5800"/>
    <n v="0"/>
    <n v="5800"/>
    <n v="3696.83"/>
    <n v="2103.17"/>
    <b v="0"/>
    <n v="0"/>
    <s v="Card"/>
    <s v="Meera"/>
    <s v="Walk-in"/>
    <n v="4"/>
    <x v="8"/>
    <x v="3"/>
  </r>
  <r>
    <s v="ZAR-10779"/>
    <d v="2025-10-22T00:00:00"/>
    <s v="8 AM - 12 PM"/>
    <x v="258"/>
    <s v="Bhubaneshwar"/>
    <s v="Kids"/>
    <s v="Kids Sherwani"/>
    <s v="Manyavar"/>
    <s v="Wedding"/>
    <s v="WhatsApp"/>
    <n v="1"/>
    <n v="5450"/>
    <s v="11-20%"/>
    <n v="20"/>
    <s v="Valid"/>
    <s v="Match"/>
    <n v="5450"/>
    <n v="1090"/>
    <n v="4360"/>
    <n v="3423.92"/>
    <n v="936.08"/>
    <b v="0"/>
    <n v="0"/>
    <s v="COD"/>
    <s v="Meera"/>
    <s v="Instagram"/>
    <n v="4.5"/>
    <x v="3"/>
    <x v="1"/>
  </r>
  <r>
    <s v="ZAR-10372"/>
    <d v="2025-08-23T00:00:00"/>
    <s v="8 PM - 12 AM"/>
    <x v="259"/>
    <s v="Puri"/>
    <s v="Men"/>
    <s v="Sherwani"/>
    <s v="Designer Collection"/>
    <s v="Reception"/>
    <s v="Store"/>
    <n v="1"/>
    <n v="22400"/>
    <s v="21-30%"/>
    <n v="25"/>
    <s v="Valid"/>
    <s v="Match"/>
    <n v="22400"/>
    <n v="5600"/>
    <n v="16800"/>
    <n v="14936.54"/>
    <n v="1863.46"/>
    <b v="0"/>
    <n v="0"/>
    <s v="UPI"/>
    <s v="Sanjay"/>
    <s v="Repeat Customer"/>
    <n v="3"/>
    <x v="6"/>
    <x v="5"/>
  </r>
  <r>
    <s v="ZAR-10009"/>
    <d v="2025-06-24T00:00:00"/>
    <s v="12 AM - 4 AM"/>
    <x v="34"/>
    <s v="Rourkela"/>
    <s v="Men"/>
    <s v="Sherwani"/>
    <s v="Manyavar"/>
    <s v="Engagement"/>
    <s v="Store"/>
    <n v="1"/>
    <n v="32900"/>
    <s v="1-10%"/>
    <n v="10"/>
    <s v="Valid"/>
    <s v="Match"/>
    <n v="32900"/>
    <n v="3290"/>
    <n v="29610"/>
    <n v="22671.119999999999"/>
    <n v="6938.88"/>
    <b v="0"/>
    <n v="0"/>
    <s v="COD"/>
    <s v="Ananya"/>
    <s v="WhatsApp"/>
    <n v="4.5"/>
    <x v="2"/>
    <x v="6"/>
  </r>
  <r>
    <s v="ZAR-10157"/>
    <d v="2025-12-20T00:00:00"/>
    <s v="4 PM - 8 PM"/>
    <x v="260"/>
    <s v="Sambalpur"/>
    <s v="Women"/>
    <s v="Kurti"/>
    <s v="Rangriti"/>
    <s v="Office"/>
    <s v="Phone"/>
    <n v="1"/>
    <n v="2400"/>
    <s v="21-30%"/>
    <n v="30"/>
    <s v="Valid"/>
    <s v="Match"/>
    <n v="2400"/>
    <n v="720"/>
    <n v="1680"/>
    <n v="1606.81"/>
    <n v="73.19"/>
    <b v="0"/>
    <n v="0"/>
    <s v="UPI"/>
    <s v="Meera"/>
    <s v="WhatsApp"/>
    <n v="4"/>
    <x v="1"/>
    <x v="5"/>
  </r>
  <r>
    <s v="ZAR-10545"/>
    <d v="2025-08-12T00:00:00"/>
    <s v="4 AM - 8 AM"/>
    <x v="261"/>
    <s v="Sambalpur"/>
    <s v="Men"/>
    <s v="Shirt"/>
    <s v="Aurelia"/>
    <s v="Festive"/>
    <s v="Store"/>
    <n v="2"/>
    <n v="2000"/>
    <s v="11-20%"/>
    <n v="20"/>
    <s v="Valid"/>
    <s v="Match"/>
    <n v="4000"/>
    <n v="800"/>
    <n v="3200"/>
    <n v="2930.3"/>
    <n v="269.7"/>
    <b v="0"/>
    <n v="0"/>
    <s v="UPI"/>
    <s v="Neha"/>
    <s v="Referral"/>
    <n v="4"/>
    <x v="6"/>
    <x v="6"/>
  </r>
  <r>
    <s v="ZAR-10444"/>
    <d v="2025-10-16T00:00:00"/>
    <s v="8 PM - 12 AM"/>
    <x v="112"/>
    <s v="Cuttack"/>
    <s v="Women"/>
    <s v="Salwar Suit"/>
    <s v="Manyavar"/>
    <s v="Puja"/>
    <s v="Instagram"/>
    <n v="1"/>
    <n v="3100"/>
    <s v="11-20%"/>
    <n v="20"/>
    <s v="Valid"/>
    <s v="Match"/>
    <n v="3100"/>
    <n v="620"/>
    <n v="2480"/>
    <n v="2172.9899999999998"/>
    <n v="307.01"/>
    <b v="0"/>
    <n v="0"/>
    <s v="Net Banking"/>
    <s v="Ananya"/>
    <s v="Walk-in"/>
    <n v="4.5"/>
    <x v="3"/>
    <x v="4"/>
  </r>
  <r>
    <s v="ZAR-10824"/>
    <d v="2025-11-05T00:00:00"/>
    <s v="4 AM - 8 AM"/>
    <x v="262"/>
    <s v="Sambalpur"/>
    <s v="Women"/>
    <s v="Saree"/>
    <s v="Designer Collection"/>
    <s v="Puja"/>
    <s v="Phone"/>
    <n v="1"/>
    <n v="21400"/>
    <s v="0%"/>
    <n v="0"/>
    <s v="Valid"/>
    <s v="Match"/>
    <n v="21400"/>
    <n v="0"/>
    <n v="21400"/>
    <n v="13470.94"/>
    <n v="7929.06"/>
    <b v="0"/>
    <n v="0"/>
    <s v="UPI"/>
    <s v="Karan"/>
    <s v="Repeat Customer"/>
    <n v="4"/>
    <x v="5"/>
    <x v="1"/>
  </r>
  <r>
    <s v="ZAR-10400"/>
    <d v="2025-01-22T00:00:00"/>
    <s v="8 AM - 12 PM"/>
    <x v="263"/>
    <s v="Berhampur"/>
    <s v="Men"/>
    <s v="Kurta Pajama"/>
    <s v="Zaree Studio"/>
    <s v="Family Function"/>
    <s v="Store"/>
    <n v="3"/>
    <n v="2800"/>
    <s v="1-10%"/>
    <n v="10"/>
    <s v="Valid"/>
    <s v="Match"/>
    <n v="8400"/>
    <n v="840"/>
    <n v="7560"/>
    <n v="5391.55"/>
    <n v="2168.4499999999998"/>
    <b v="0"/>
    <n v="0"/>
    <s v="UPI"/>
    <s v="Rohit"/>
    <s v="Referral"/>
    <n v="3.5"/>
    <x v="10"/>
    <x v="1"/>
  </r>
  <r>
    <s v="ZAR-10785"/>
    <d v="2025-07-04T00:00:00"/>
    <s v="12 PM - 4 PM"/>
    <x v="264"/>
    <s v="Berhampur"/>
    <s v="Women"/>
    <s v="Gown"/>
    <s v="Local Artisan"/>
    <s v="Wedding Guest"/>
    <s v="Store"/>
    <n v="1"/>
    <n v="7700"/>
    <s v="0%"/>
    <n v="0"/>
    <s v="Valid"/>
    <s v="Match"/>
    <n v="7700"/>
    <n v="0"/>
    <n v="7700"/>
    <n v="5358.85"/>
    <n v="2341.15"/>
    <b v="0"/>
    <n v="0"/>
    <s v="Net Banking"/>
    <s v="Meera"/>
    <s v="Instagram"/>
    <n v="4"/>
    <x v="0"/>
    <x v="3"/>
  </r>
  <r>
    <s v="ZAR-10570"/>
    <d v="2025-09-07T00:00:00"/>
    <s v="12 AM - 4 AM"/>
    <x v="265"/>
    <s v="Puri"/>
    <s v="Women"/>
    <s v="Lehenga"/>
    <s v="Biba"/>
    <s v="Festive"/>
    <s v="Insta"/>
    <n v="3"/>
    <n v="27100"/>
    <s v="11-20%"/>
    <n v="15"/>
    <s v="Valid"/>
    <s v="Match"/>
    <n v="81300"/>
    <n v="12195"/>
    <n v="69105"/>
    <n v="44491.05"/>
    <n v="24613.95"/>
    <b v="0"/>
    <n v="0"/>
    <s v="Cash"/>
    <s v="Sanjay"/>
    <s v="Walk-in"/>
    <n v="4"/>
    <x v="11"/>
    <x v="0"/>
  </r>
  <r>
    <s v="ZAR-10593"/>
    <d v="2025-05-23T00:00:00"/>
    <s v="4 AM - 8 AM"/>
    <x v="266"/>
    <s v="Sambalpur"/>
    <s v="Women"/>
    <s v="Blouse"/>
    <s v="FabIndia"/>
    <s v="Casual"/>
    <s v="Phone"/>
    <n v="1"/>
    <n v="5850"/>
    <s v="11-20%"/>
    <n v="15"/>
    <s v="Valid"/>
    <s v="Match"/>
    <n v="5850"/>
    <n v="877.5"/>
    <n v="4972.5"/>
    <n v="4276.99"/>
    <n v="695.51"/>
    <b v="0"/>
    <n v="0"/>
    <s v="Net Banking"/>
    <s v="Sanjay"/>
    <s v="Google"/>
    <n v="4"/>
    <x v="8"/>
    <x v="3"/>
  </r>
  <r>
    <s v="ZAR-10582"/>
    <d v="2025-10-20T00:00:00"/>
    <s v="4 AM - 8 AM"/>
    <x v="267"/>
    <s v="Balasore"/>
    <s v="Women"/>
    <s v="Dupatta"/>
    <s v="Biba"/>
    <s v="Puja"/>
    <s v="Store"/>
    <n v="1"/>
    <n v="2300"/>
    <s v="1-10%"/>
    <n v="5"/>
    <s v="Valid"/>
    <s v="Match"/>
    <n v="2300"/>
    <n v="115"/>
    <n v="2185"/>
    <n v="1197.82"/>
    <n v="987.18"/>
    <b v="0"/>
    <n v="0"/>
    <s v="Cash"/>
    <s v="Meera"/>
    <s v="Walk-in"/>
    <n v="4"/>
    <x v="3"/>
    <x v="2"/>
  </r>
  <r>
    <s v="ZAR-10942"/>
    <d v="2025-04-03T00:00:00"/>
    <s v="12 PM - 4 PM"/>
    <x v="45"/>
    <s v="Puri"/>
    <s v="Women"/>
    <s v="Saree"/>
    <s v="FabIndia"/>
    <s v="Office"/>
    <s v="Store"/>
    <n v="2"/>
    <n v="9750"/>
    <s v="1-10%"/>
    <n v="10"/>
    <s v="Valid"/>
    <s v="Match"/>
    <n v="19500"/>
    <n v="1950"/>
    <n v="17550"/>
    <n v="14032.35"/>
    <n v="3517.65"/>
    <b v="0"/>
    <n v="0"/>
    <s v="Cash"/>
    <s v="Ananya"/>
    <s v="Instagram"/>
    <n v="4.5"/>
    <x v="7"/>
    <x v="4"/>
  </r>
  <r>
    <s v="ZAR-10697"/>
    <d v="2025-06-01T00:00:00"/>
    <s v="12 AM - 4 AM"/>
    <x v="268"/>
    <s v="Balasore"/>
    <s v="Kids"/>
    <s v="Kids Sherwani"/>
    <s v="Biba"/>
    <s v="Festive"/>
    <s v="Website"/>
    <n v="1"/>
    <n v="3600"/>
    <s v="1-10%"/>
    <n v="5"/>
    <s v="Valid"/>
    <s v="Match"/>
    <n v="3600"/>
    <n v="180"/>
    <n v="3420"/>
    <n v="2530.1799999999998"/>
    <n v="889.82"/>
    <b v="0"/>
    <n v="0"/>
    <s v="UPI"/>
    <s v="Meera"/>
    <s v="Walk-in"/>
    <n v="4"/>
    <x v="2"/>
    <x v="0"/>
  </r>
  <r>
    <s v="ZAR-10870"/>
    <d v="2025-04-02T00:00:00"/>
    <s v="8 AM - 12 PM"/>
    <x v="84"/>
    <s v="Puri"/>
    <s v="Men"/>
    <s v="Indo-Western"/>
    <s v="Zaree Studio"/>
    <s v="Wedding"/>
    <s v="WhatsApp"/>
    <n v="2"/>
    <n v="11700"/>
    <s v="21-30%"/>
    <n v="25"/>
    <s v="Valid"/>
    <s v="Match"/>
    <n v="23400"/>
    <n v="5850"/>
    <n v="17550"/>
    <n v="13835.36"/>
    <n v="3714.64"/>
    <b v="0"/>
    <n v="0"/>
    <s v="COD"/>
    <s v="Ananya"/>
    <s v="WhatsApp"/>
    <n v="4.5"/>
    <x v="7"/>
    <x v="1"/>
  </r>
  <r>
    <s v="ZAR-10534"/>
    <d v="2025-04-07T00:00:00"/>
    <s v="12 PM - 4 PM"/>
    <x v="269"/>
    <s v="Puri"/>
    <s v="Men"/>
    <s v="Indo-Western"/>
    <s v="Biba"/>
    <s v="Family Function"/>
    <s v="Store"/>
    <n v="2"/>
    <n v="9550"/>
    <s v="0%"/>
    <n v="0"/>
    <s v="Valid"/>
    <s v="Match"/>
    <n v="19100"/>
    <n v="0"/>
    <n v="19100"/>
    <n v="12110.89"/>
    <n v="6989.11"/>
    <b v="0"/>
    <n v="0"/>
    <s v="Net Banking"/>
    <s v="Meera"/>
    <s v="WhatsApp"/>
    <n v="4.5"/>
    <x v="7"/>
    <x v="2"/>
  </r>
  <r>
    <s v="ZAR-10587"/>
    <d v="2025-06-02T00:00:00"/>
    <s v="12 AM - 4 AM"/>
    <x v="31"/>
    <s v="Rourkela"/>
    <s v="Women"/>
    <s v="Saree"/>
    <s v="Manyavar"/>
    <s v="Wedding Guest"/>
    <s v="Website"/>
    <n v="2"/>
    <n v="28950"/>
    <s v="1-10%"/>
    <n v="5"/>
    <s v="Valid"/>
    <s v="Match"/>
    <n v="57900"/>
    <n v="2895"/>
    <n v="55005"/>
    <n v="30992.71"/>
    <n v="24012.29"/>
    <b v="0"/>
    <n v="0"/>
    <s v="UPI"/>
    <s v="Neha"/>
    <s v="Instagram"/>
    <n v="5"/>
    <x v="4"/>
    <x v="4"/>
  </r>
  <r>
    <s v="ZAR-10714"/>
    <d v="2025-06-01T00:00:00"/>
    <s v="12 AM - 4 AM"/>
    <x v="270"/>
    <s v="Sambalpur"/>
    <s v="Men"/>
    <s v="Indo-Western"/>
    <s v="FabIndia"/>
    <s v="Wedding"/>
    <s v="WhatsApp"/>
    <n v="3"/>
    <n v="5950"/>
    <s v="11-20%"/>
    <n v="15"/>
    <s v="Valid"/>
    <s v="Match"/>
    <n v="17850"/>
    <n v="2677.5"/>
    <n v="15172.5"/>
    <n v="10850.47"/>
    <n v="4322.03"/>
    <b v="0"/>
    <n v="0"/>
    <s v="COD"/>
    <s v="Priya"/>
    <s v="Repeat Customer"/>
    <n v="4.5"/>
    <x v="2"/>
    <x v="0"/>
  </r>
  <r>
    <s v="ZAR-10452"/>
    <d v="2025-04-19T00:00:00"/>
    <s v="4 AM - 8 AM"/>
    <x v="271"/>
    <s v="Balasore"/>
    <s v="Women"/>
    <s v="Blouse"/>
    <s v="Zaree Studio"/>
    <s v="Reception"/>
    <s v="Phone"/>
    <n v="1"/>
    <n v="4700"/>
    <s v="21-30%"/>
    <n v="30"/>
    <s v="Valid"/>
    <s v="Match"/>
    <n v="4700"/>
    <n v="1410"/>
    <n v="3290"/>
    <n v="3281.55"/>
    <n v="8.4499999999999993"/>
    <b v="0"/>
    <n v="0"/>
    <s v="UPI"/>
    <s v="Sanjay"/>
    <s v="Instagram"/>
    <n v="3"/>
    <x v="7"/>
    <x v="5"/>
  </r>
  <r>
    <s v="ZAR-10782"/>
    <d v="2025-03-20T00:00:00"/>
    <s v="4 AM - 8 AM"/>
    <x v="272"/>
    <s v="Cuttack"/>
    <s v="Men"/>
    <s v="Dhoti Set"/>
    <s v="Zaree Studio"/>
    <s v="Festive"/>
    <s v="Store"/>
    <n v="3"/>
    <n v="6600"/>
    <s v="21-30%"/>
    <n v="25"/>
    <s v="Valid"/>
    <s v="Match"/>
    <n v="19800"/>
    <n v="4950"/>
    <n v="14850"/>
    <n v="14073.71"/>
    <n v="776.29"/>
    <b v="0"/>
    <n v="0"/>
    <s v="Card"/>
    <s v="Neha"/>
    <s v="Referral"/>
    <n v="4.5"/>
    <x v="9"/>
    <x v="4"/>
  </r>
  <r>
    <s v="ZAR-10230"/>
    <d v="2025-03-27T00:00:00"/>
    <s v="12 AM - 4 AM"/>
    <x v="273"/>
    <s v="Balasore"/>
    <s v="Men"/>
    <s v="Shirt"/>
    <s v="Designer Collection"/>
    <s v="Casual"/>
    <s v="WhatsApp"/>
    <n v="2"/>
    <n v="3500"/>
    <s v="21-30%"/>
    <n v="25"/>
    <s v="Valid"/>
    <s v="Match"/>
    <n v="7000"/>
    <n v="1750"/>
    <n v="5250"/>
    <n v="5004.63"/>
    <n v="245.37"/>
    <b v="0"/>
    <n v="0"/>
    <s v="COD"/>
    <s v="Karan"/>
    <s v="Google"/>
    <n v="3"/>
    <x v="9"/>
    <x v="4"/>
  </r>
  <r>
    <s v="ZAR-10592"/>
    <d v="2025-05-16T00:00:00"/>
    <s v="8 PM - 12 AM"/>
    <x v="274"/>
    <s v="Bhubaneshwar"/>
    <s v="Women"/>
    <s v="Salwar Suit"/>
    <s v="Manyavar"/>
    <s v="Festive"/>
    <s v="WhatsApp"/>
    <n v="1"/>
    <n v="4300"/>
    <s v="11-20%"/>
    <n v="15"/>
    <s v="Valid"/>
    <s v="Match"/>
    <n v="4300"/>
    <n v="645"/>
    <n v="3655"/>
    <n v="2862"/>
    <n v="793"/>
    <b v="0"/>
    <n v="0"/>
    <s v="Cash"/>
    <s v="Rohit"/>
    <s v="Google"/>
    <n v="5"/>
    <x v="8"/>
    <x v="3"/>
  </r>
  <r>
    <s v="ZAR-10825"/>
    <d v="2025-07-26T00:00:00"/>
    <s v="12 AM - 4 AM"/>
    <x v="275"/>
    <s v="Bhubaneshwar"/>
    <s v="Women"/>
    <s v="Kurti"/>
    <s v="Rangriti"/>
    <s v="Reception"/>
    <s v="Website"/>
    <n v="1"/>
    <n v="2100"/>
    <s v="21-30%"/>
    <n v="30"/>
    <s v="Valid"/>
    <s v="Match"/>
    <n v="2100"/>
    <n v="630"/>
    <n v="1470"/>
    <n v="1318.73"/>
    <n v="151.27000000000001"/>
    <b v="0"/>
    <n v="0"/>
    <s v="COD"/>
    <s v="Ananya"/>
    <s v="WhatsApp"/>
    <n v="5"/>
    <x v="0"/>
    <x v="5"/>
  </r>
  <r>
    <s v="ZAR-10214"/>
    <d v="2025-11-30T00:00:00"/>
    <s v="12 PM - 4 PM"/>
    <x v="276"/>
    <s v="Bhubaneshwar"/>
    <s v="Women"/>
    <s v="Kurti"/>
    <s v="Manyavar"/>
    <s v="Reception"/>
    <s v="Website"/>
    <n v="2"/>
    <n v="3950"/>
    <s v="21-30%"/>
    <n v="25"/>
    <s v="Valid"/>
    <s v="Match"/>
    <n v="7900"/>
    <n v="1975"/>
    <n v="5925"/>
    <n v="4467.3"/>
    <n v="1457.7"/>
    <b v="0"/>
    <n v="0"/>
    <s v="Card"/>
    <s v="Neha"/>
    <s v="Instagram"/>
    <n v="3"/>
    <x v="5"/>
    <x v="0"/>
  </r>
  <r>
    <s v="ZAR-10081"/>
    <d v="2025-02-24T00:00:00"/>
    <s v="4 AM - 8 AM"/>
    <x v="277"/>
    <s v="Berhampur"/>
    <s v="Women"/>
    <s v="Blouse"/>
    <s v="FabIndia"/>
    <s v="Office"/>
    <s v="Store"/>
    <n v="3"/>
    <n v="6000"/>
    <s v="0%"/>
    <n v="0"/>
    <s v="Valid"/>
    <s v="Match"/>
    <n v="18000"/>
    <n v="0"/>
    <n v="18000"/>
    <n v="11089.38"/>
    <n v="6910.62"/>
    <b v="0"/>
    <n v="0"/>
    <s v="Card"/>
    <s v="Priya"/>
    <s v="Walk-in"/>
    <n v="5"/>
    <x v="4"/>
    <x v="2"/>
  </r>
  <r>
    <s v="ZAR-10150"/>
    <d v="2025-06-16T00:00:00"/>
    <s v="12 PM - 4 PM"/>
    <x v="278"/>
    <s v="Sambalpur"/>
    <s v="Women"/>
    <s v="Lehenga"/>
    <s v="Manyavar"/>
    <s v="Reception"/>
    <s v="Store"/>
    <n v="1"/>
    <n v="8000"/>
    <s v="0%"/>
    <n v="0"/>
    <s v="Valid"/>
    <s v="Match"/>
    <n v="8000"/>
    <n v="0"/>
    <n v="8000"/>
    <n v="5210.59"/>
    <n v="2789.41"/>
    <b v="0"/>
    <n v="0"/>
    <s v="Net Banking"/>
    <s v="Rohit"/>
    <s v="Walk-in"/>
    <n v="4.5"/>
    <x v="2"/>
    <x v="2"/>
  </r>
  <r>
    <s v="ZAR-10304"/>
    <d v="2025-05-17T00:00:00"/>
    <s v="4 PM - 8 PM"/>
    <x v="279"/>
    <s v="Balasore"/>
    <s v="Men"/>
    <s v="Indo-Western"/>
    <s v="Rangriti"/>
    <s v="Casual"/>
    <s v="Store"/>
    <n v="2"/>
    <n v="15500"/>
    <s v="0%"/>
    <n v="0"/>
    <s v="Valid"/>
    <s v="Match"/>
    <n v="31000"/>
    <n v="0"/>
    <n v="31000"/>
    <n v="21737.25"/>
    <n v="9262.75"/>
    <b v="0"/>
    <n v="0"/>
    <s v="UPI"/>
    <s v="Karan"/>
    <s v="Walk-in"/>
    <n v="4.5"/>
    <x v="8"/>
    <x v="5"/>
  </r>
  <r>
    <s v="ZAR-10867"/>
    <d v="2025-11-02T00:00:00"/>
    <s v="4 PM - 8 PM"/>
    <x v="280"/>
    <s v="Sambalpur"/>
    <s v="Kids"/>
    <s v="Kids Sherwani"/>
    <s v="Biba"/>
    <s v="Reception"/>
    <s v="WhatsApp"/>
    <n v="1"/>
    <n v="5500"/>
    <s v="21-30%"/>
    <n v="30"/>
    <s v="Valid"/>
    <s v="Match"/>
    <n v="5500"/>
    <n v="1650"/>
    <n v="3850"/>
    <n v="3641.47"/>
    <n v="208.53"/>
    <b v="0"/>
    <n v="0"/>
    <s v="Card"/>
    <s v="Meera"/>
    <s v="Google"/>
    <n v="4.5"/>
    <x v="5"/>
    <x v="0"/>
  </r>
  <r>
    <s v="ZAR-10330"/>
    <d v="2025-01-02T00:00:00"/>
    <s v="4 PM - 8 PM"/>
    <x v="281"/>
    <s v="Sambalpur"/>
    <s v="Men"/>
    <s v="Indo-Western"/>
    <s v="Zaree Studio"/>
    <s v="Family Function"/>
    <s v="Store"/>
    <n v="1"/>
    <n v="8050"/>
    <s v="1-10%"/>
    <n v="5"/>
    <s v="Valid"/>
    <s v="Match"/>
    <n v="8050"/>
    <n v="402.5"/>
    <n v="7647.5"/>
    <n v="5886.93"/>
    <n v="1760.57"/>
    <b v="0"/>
    <n v="0"/>
    <s v="COD"/>
    <s v="Sanjay"/>
    <s v="Walk-in"/>
    <n v="4.5"/>
    <x v="10"/>
    <x v="4"/>
  </r>
  <r>
    <s v="ZAR-10931"/>
    <d v="2025-05-06T00:00:00"/>
    <s v="4 AM - 8 AM"/>
    <x v="282"/>
    <s v="Bhubaneshwar"/>
    <s v="Men"/>
    <s v="Shirt"/>
    <s v="Local Artisan"/>
    <s v="Wedding"/>
    <s v="Store"/>
    <n v="2"/>
    <n v="2700"/>
    <s v="21-30%"/>
    <n v="30"/>
    <s v="Valid"/>
    <s v="Match"/>
    <n v="5400"/>
    <n v="1620"/>
    <n v="3780"/>
    <n v="3513.49"/>
    <n v="266.51"/>
    <b v="0"/>
    <n v="0"/>
    <s v="UPI"/>
    <s v="Neha"/>
    <s v="Referral"/>
    <n v="4"/>
    <x v="8"/>
    <x v="6"/>
  </r>
  <r>
    <s v="ZAR-10346"/>
    <d v="2025-11-12T00:00:00"/>
    <s v="8 AM - 12 PM"/>
    <x v="283"/>
    <s v="Sambalpur"/>
    <s v="Men"/>
    <s v="Indo-Western"/>
    <s v="Designer Collection"/>
    <s v="Wedding"/>
    <s v="Store"/>
    <n v="4"/>
    <n v="10600"/>
    <s v="1-10%"/>
    <n v="5"/>
    <s v="Valid"/>
    <s v="Match"/>
    <n v="42400"/>
    <n v="2120"/>
    <n v="40280"/>
    <n v="30080.31"/>
    <n v="10199.69"/>
    <b v="0"/>
    <n v="0"/>
    <s v="Net Banking"/>
    <s v="Ananya"/>
    <s v="Instagram"/>
    <n v="4"/>
    <x v="5"/>
    <x v="1"/>
  </r>
  <r>
    <s v="ZAR-10547"/>
    <d v="2025-06-01T00:00:00"/>
    <s v="4 AM - 8 AM"/>
    <x v="284"/>
    <s v="Balasore"/>
    <s v="Women"/>
    <s v="Lehenga"/>
    <s v="Zaree Studio"/>
    <s v="Reception"/>
    <s v="Store"/>
    <n v="1"/>
    <n v="22000"/>
    <s v="11-20%"/>
    <n v="15"/>
    <s v="Valid"/>
    <s v="Match"/>
    <n v="22000"/>
    <n v="3300"/>
    <n v="18700"/>
    <n v="12969.08"/>
    <n v="5730.92"/>
    <b v="0"/>
    <n v="0"/>
    <s v="COD"/>
    <s v="Priya"/>
    <s v="Referral"/>
    <n v="5"/>
    <x v="2"/>
    <x v="0"/>
  </r>
  <r>
    <s v="ZAR-10508"/>
    <d v="2025-08-31T00:00:00"/>
    <s v="4 AM - 8 AM"/>
    <x v="285"/>
    <s v="Berhampur"/>
    <s v="Kids"/>
    <s v="Kids Kurta"/>
    <s v="FabIndia"/>
    <s v="Family Function"/>
    <s v="WhatsApp"/>
    <n v="1"/>
    <n v="3100"/>
    <s v="21-30%"/>
    <n v="25"/>
    <s v="Valid"/>
    <s v="Match"/>
    <n v="3100"/>
    <n v="775"/>
    <n v="2325"/>
    <n v="2122.91"/>
    <n v="202.09"/>
    <b v="0"/>
    <n v="0"/>
    <s v="Card"/>
    <s v="Sanjay"/>
    <s v="WhatsApp"/>
    <n v="4"/>
    <x v="6"/>
    <x v="0"/>
  </r>
  <r>
    <s v="ZAR-10135"/>
    <d v="2025-06-26T00:00:00"/>
    <s v="8 PM - 12 AM"/>
    <x v="286"/>
    <s v="Rourkela"/>
    <s v="Women"/>
    <s v="Saree"/>
    <s v="Manyavar"/>
    <s v="Casual"/>
    <s v="WhatsApp"/>
    <n v="1"/>
    <n v="22600"/>
    <s v="11-20%"/>
    <n v="15"/>
    <s v="Valid"/>
    <s v="Match"/>
    <n v="22600"/>
    <n v="3390"/>
    <n v="19210"/>
    <n v="11985.11"/>
    <n v="7224.89"/>
    <b v="0"/>
    <n v="0"/>
    <s v="Cash"/>
    <s v="Sanjay"/>
    <s v="Walk-in"/>
    <n v="4"/>
    <x v="2"/>
    <x v="4"/>
  </r>
  <r>
    <s v="ZAR-10554"/>
    <d v="2025-10-28T00:00:00"/>
    <s v="4 PM - 8 PM"/>
    <x v="287"/>
    <s v="Rourkela"/>
    <s v="Women"/>
    <s v="Lehenga"/>
    <s v="Designer Collection"/>
    <s v="Reception"/>
    <s v="Store"/>
    <n v="2"/>
    <n v="25600"/>
    <s v="Invalid"/>
    <n v="-5"/>
    <s v="Invalid Discount"/>
    <s v="Mismatch"/>
    <n v="51200"/>
    <n v="10240"/>
    <n v="40960"/>
    <n v="29157.67"/>
    <n v="11802.33"/>
    <b v="0"/>
    <n v="0"/>
    <s v="Net Banking"/>
    <s v="Priya"/>
    <s v="Repeat Customer"/>
    <n v="4"/>
    <x v="3"/>
    <x v="6"/>
  </r>
  <r>
    <s v="ZAR-10313"/>
    <d v="2025-04-12T00:00:00"/>
    <s v="12 PM - 4 PM"/>
    <x v="7"/>
    <s v="Balasore"/>
    <s v="Women"/>
    <s v="Dupatta"/>
    <s v="Aurelia"/>
    <s v="Reception"/>
    <s v="Instagram"/>
    <n v="1"/>
    <n v="4000"/>
    <s v="1-10%"/>
    <n v="5"/>
    <s v="Valid"/>
    <s v="Match"/>
    <n v="4000"/>
    <n v="200"/>
    <n v="3800"/>
    <n v="2503.21"/>
    <n v="1296.79"/>
    <b v="0"/>
    <n v="0"/>
    <s v="Card"/>
    <s v="Ananya"/>
    <s v="Referral"/>
    <n v="4.5"/>
    <x v="7"/>
    <x v="5"/>
  </r>
  <r>
    <s v="ZAR-10792"/>
    <d v="2025-12-09T00:00:00"/>
    <s v="4 PM - 8 PM"/>
    <x v="288"/>
    <s v="Berhampur"/>
    <s v="Women"/>
    <s v="Saree"/>
    <s v="Manyavar"/>
    <s v="Festive"/>
    <s v="Instagram"/>
    <n v="1"/>
    <n v="26050"/>
    <s v="21-30%"/>
    <n v="25"/>
    <s v="Valid"/>
    <s v="Match"/>
    <n v="26050"/>
    <n v="6512.5"/>
    <n v="19537.5"/>
    <n v="19127.75"/>
    <n v="409.75"/>
    <b v="0"/>
    <n v="0"/>
    <s v="COD"/>
    <s v="Karan"/>
    <s v="Instagram"/>
    <n v="4"/>
    <x v="1"/>
    <x v="6"/>
  </r>
  <r>
    <s v="ZAR-10569"/>
    <d v="2025-08-24T00:00:00"/>
    <s v="8 AM - 12 PM"/>
    <x v="289"/>
    <s v="Sambalpur"/>
    <s v="Women"/>
    <s v="Bridal Lehenga"/>
    <s v="FabIndia"/>
    <s v="Reception"/>
    <s v="Store"/>
    <n v="1"/>
    <n v="118100"/>
    <s v="1-10%"/>
    <n v="10"/>
    <s v="Valid"/>
    <s v="Match"/>
    <n v="118100"/>
    <n v="11810"/>
    <n v="106290"/>
    <n v="61565.06"/>
    <n v="44724.94"/>
    <b v="0"/>
    <n v="0"/>
    <s v="UPI"/>
    <s v="Ananya"/>
    <s v="Google"/>
    <n v="4"/>
    <x v="6"/>
    <x v="0"/>
  </r>
  <r>
    <s v="ZAR-10002"/>
    <d v="2025-12-13T00:00:00"/>
    <s v="4 PM - 8 PM"/>
    <x v="290"/>
    <s v="Berhampur"/>
    <s v="Men"/>
    <s v="Sherwani"/>
    <s v="Zaree Studio"/>
    <s v="Reception"/>
    <s v="Store"/>
    <n v="1"/>
    <n v="35200"/>
    <s v="1-10%"/>
    <n v="5"/>
    <s v="Valid"/>
    <s v="Match"/>
    <n v="35200"/>
    <n v="1760"/>
    <n v="33440"/>
    <n v="24007.23"/>
    <n v="9432.77"/>
    <b v="0"/>
    <n v="0"/>
    <s v="COD"/>
    <s v="Rohit"/>
    <s v="WhatsApp"/>
    <n v="3.5"/>
    <x v="1"/>
    <x v="5"/>
  </r>
  <r>
    <s v="ZAR-10318"/>
    <d v="2025-06-11T00:00:00"/>
    <s v="12 PM - 4 PM"/>
    <x v="54"/>
    <s v="Berhampur"/>
    <s v="Kids"/>
    <s v="Kids Gown"/>
    <s v="Zaree Studio"/>
    <s v="Family Function"/>
    <s v="Store"/>
    <n v="1"/>
    <n v="2100"/>
    <s v="21-30%"/>
    <n v="25"/>
    <s v="Valid"/>
    <s v="Match"/>
    <n v="2100"/>
    <n v="525"/>
    <n v="1575"/>
    <n v="1138.02"/>
    <n v="436.98"/>
    <b v="0"/>
    <n v="0"/>
    <s v="UPI"/>
    <s v="Rohit"/>
    <s v="Repeat Customer"/>
    <n v="4.5"/>
    <x v="2"/>
    <x v="1"/>
  </r>
  <r>
    <s v="ZAR-10713"/>
    <d v="2025-01-07T00:00:00"/>
    <s v="4 AM - 8 AM"/>
    <x v="291"/>
    <s v="Balasore"/>
    <s v="Women"/>
    <s v="Lehenga"/>
    <s v="Local Artisan"/>
    <s v="Wedding"/>
    <s v="Store"/>
    <n v="1"/>
    <n v="42000"/>
    <s v="0%"/>
    <n v="0"/>
    <s v="Valid"/>
    <s v="Match"/>
    <n v="42000"/>
    <n v="0"/>
    <n v="42000"/>
    <n v="25311.34"/>
    <n v="16688.66"/>
    <b v="0"/>
    <n v="0"/>
    <s v="Net Banking"/>
    <s v="Rohit"/>
    <s v="WhatsApp"/>
    <n v="3"/>
    <x v="10"/>
    <x v="6"/>
  </r>
  <r>
    <s v="ZAR-10551"/>
    <d v="2025-01-05T00:00:00"/>
    <s v="8 AM - 12 PM"/>
    <x v="292"/>
    <s v="Puri"/>
    <s v="Women"/>
    <s v="Saree"/>
    <s v="Local Artisan"/>
    <s v="Festive"/>
    <s v="Instagram"/>
    <n v="2"/>
    <n v="8750"/>
    <s v="1-10%"/>
    <n v="5"/>
    <s v="Valid"/>
    <s v="Match"/>
    <n v="17500"/>
    <n v="875"/>
    <n v="16625"/>
    <n v="11930.98"/>
    <n v="4694.0200000000004"/>
    <b v="0"/>
    <n v="0"/>
    <s v="Card"/>
    <s v="Ananya"/>
    <s v="Not Recorded"/>
    <n v="4"/>
    <x v="10"/>
    <x v="0"/>
  </r>
  <r>
    <s v="ZAR-10619"/>
    <d v="2025-08-26T00:00:00"/>
    <s v="12 PM - 4 PM"/>
    <x v="293"/>
    <s v="Puri"/>
    <s v="Women"/>
    <s v="Lehenga"/>
    <s v="FabIndia"/>
    <s v="Festive"/>
    <s v="Instagram"/>
    <n v="1"/>
    <n v="14450"/>
    <s v="0%"/>
    <n v="0"/>
    <s v="Valid"/>
    <s v="Match"/>
    <n v="14450"/>
    <n v="0"/>
    <n v="14450"/>
    <n v="8628.6"/>
    <n v="5821.4"/>
    <b v="0"/>
    <n v="0"/>
    <s v="Card"/>
    <s v="Neha"/>
    <s v="Referral"/>
    <n v="3"/>
    <x v="6"/>
    <x v="6"/>
  </r>
  <r>
    <s v="ZAR-10536"/>
    <d v="2025-04-06T00:00:00"/>
    <s v="8 PM - 12 AM"/>
    <x v="294"/>
    <s v="Cuttack"/>
    <s v="Women"/>
    <s v="Dupatta"/>
    <s v="Aurelia"/>
    <s v="Wedding Guest"/>
    <s v="Store"/>
    <n v="2"/>
    <n v="3450"/>
    <s v="1-10%"/>
    <n v="5"/>
    <s v="Valid"/>
    <s v="Match"/>
    <n v="6900"/>
    <n v="345"/>
    <n v="6555"/>
    <n v="3855.78"/>
    <n v="2699.22"/>
    <b v="0"/>
    <n v="0"/>
    <s v="Card"/>
    <s v="Rohit"/>
    <s v="Instagram"/>
    <n v="4"/>
    <x v="7"/>
    <x v="0"/>
  </r>
  <r>
    <s v="ZAR-10481"/>
    <d v="2025-07-28T00:00:00"/>
    <s v="12 PM - 4 PM"/>
    <x v="295"/>
    <s v="Puri"/>
    <s v="Men"/>
    <s v="Kurta Pajama"/>
    <s v="Manyavar"/>
    <s v="Casual"/>
    <s v="Instagram"/>
    <n v="2"/>
    <n v="6450"/>
    <s v="1-10%"/>
    <n v="5"/>
    <s v="Valid"/>
    <s v="Match"/>
    <n v="12900"/>
    <n v="645"/>
    <n v="12255"/>
    <n v="7572.49"/>
    <n v="4682.51"/>
    <b v="0"/>
    <n v="0"/>
    <s v="Card"/>
    <s v="Neha"/>
    <s v="Google"/>
    <n v="4"/>
    <x v="0"/>
    <x v="2"/>
  </r>
  <r>
    <s v="ZAR-10780"/>
    <d v="2025-12-17T00:00:00"/>
    <s v="12 PM - 4 PM"/>
    <x v="296"/>
    <s v="Sambalpur"/>
    <s v="Women"/>
    <s v="Blouse"/>
    <s v="Rangriti"/>
    <s v="Reception"/>
    <s v="Walk-in"/>
    <n v="5"/>
    <n v="4600"/>
    <s v="21-30%"/>
    <n v="30"/>
    <s v="Valid"/>
    <s v="Match"/>
    <n v="23000"/>
    <n v="6900"/>
    <n v="16100"/>
    <n v="12329.8"/>
    <n v="3770.2"/>
    <b v="0"/>
    <n v="0"/>
    <s v="Card"/>
    <s v="Karan"/>
    <s v="Repeat Customer"/>
    <n v="3.5"/>
    <x v="1"/>
    <x v="1"/>
  </r>
  <r>
    <s v="ZAR-10174"/>
    <d v="2025-02-21T00:00:00"/>
    <s v="4 AM - 8 AM"/>
    <x v="297"/>
    <s v="Bhubaneshwar"/>
    <s v="Women"/>
    <s v="Dupatta"/>
    <s v="Manyavar"/>
    <s v="Casual"/>
    <s v="IG"/>
    <n v="1"/>
    <n v="3250"/>
    <s v="1-10%"/>
    <n v="5"/>
    <s v="Valid"/>
    <s v="Match"/>
    <n v="3250"/>
    <n v="162.5"/>
    <n v="3087.5"/>
    <n v="1751.98"/>
    <n v="1335.52"/>
    <b v="0"/>
    <n v="0"/>
    <s v="Card"/>
    <s v="Priya"/>
    <s v="WhatsApp"/>
    <s v="Not Rated"/>
    <x v="4"/>
    <x v="3"/>
  </r>
  <r>
    <s v="ZAR-10127"/>
    <d v="2025-06-01T00:00:00"/>
    <s v="8 AM - 12 PM"/>
    <x v="298"/>
    <s v="Cuttack"/>
    <s v="Men"/>
    <s v="Shirt"/>
    <s v="FabIndia"/>
    <s v="Casual"/>
    <s v="Store"/>
    <n v="2"/>
    <n v="3250"/>
    <s v="21-30%"/>
    <n v="25"/>
    <s v="Valid"/>
    <s v="Match"/>
    <n v="6500"/>
    <n v="1625"/>
    <n v="4875"/>
    <n v="4690.07"/>
    <n v="184.93"/>
    <b v="0"/>
    <n v="0"/>
    <s v="Net Banking"/>
    <s v="Karan"/>
    <s v="Repeat Customer"/>
    <n v="4"/>
    <x v="2"/>
    <x v="0"/>
  </r>
  <r>
    <s v="ZAR-10426"/>
    <d v="2025-06-08T00:00:00"/>
    <s v="12 PM - 4 PM"/>
    <x v="299"/>
    <s v="Berhampur"/>
    <s v="Women"/>
    <s v="Dupatta"/>
    <s v="Manyavar"/>
    <s v="Wedding Guest"/>
    <s v="Phone"/>
    <n v="1"/>
    <n v="1550"/>
    <s v="0%"/>
    <n v="0"/>
    <s v="Valid"/>
    <s v="Match"/>
    <n v="1550"/>
    <n v="0"/>
    <n v="1550"/>
    <n v="889.75"/>
    <n v="660.25"/>
    <b v="0"/>
    <n v="0"/>
    <s v="Cash"/>
    <s v="Rohit"/>
    <s v="Instagram"/>
    <n v="3.5"/>
    <x v="2"/>
    <x v="0"/>
  </r>
  <r>
    <s v="ZAR-10424"/>
    <d v="2025-08-28T00:00:00"/>
    <s v="8 AM - 12 PM"/>
    <x v="300"/>
    <s v="Balasore"/>
    <s v="Women"/>
    <s v="Saree"/>
    <s v="Zaree Studio"/>
    <s v="Casual"/>
    <s v="Store"/>
    <n v="1"/>
    <n v="20950"/>
    <s v="21-30%"/>
    <n v="30"/>
    <s v="Valid"/>
    <s v="Match"/>
    <n v="20950"/>
    <n v="6285"/>
    <n v="14665"/>
    <n v="14314.84"/>
    <n v="350.16"/>
    <b v="0"/>
    <n v="0"/>
    <s v="COD"/>
    <s v="Rohit"/>
    <s v="Referral"/>
    <n v="4.5"/>
    <x v="6"/>
    <x v="4"/>
  </r>
  <r>
    <s v="ZAR-10556"/>
    <d v="2025-10-22T00:00:00"/>
    <s v="4 AM - 8 AM"/>
    <x v="301"/>
    <s v="Cuttack"/>
    <s v="Men"/>
    <s v="Sherwani"/>
    <s v="Rangriti"/>
    <s v="Wedding"/>
    <s v="Store"/>
    <n v="2"/>
    <n v="28100"/>
    <s v="0%"/>
    <n v="0"/>
    <s v="Valid"/>
    <s v="Match"/>
    <n v="56200"/>
    <n v="0"/>
    <n v="56200"/>
    <n v="29707.97"/>
    <n v="26492.03"/>
    <b v="0"/>
    <n v="0"/>
    <s v="COD"/>
    <s v="Priya"/>
    <s v="Referral"/>
    <n v="3"/>
    <x v="3"/>
    <x v="1"/>
  </r>
  <r>
    <s v="ZAR-10911"/>
    <d v="2025-11-12T00:00:00"/>
    <s v="12 AM - 4 AM"/>
    <x v="302"/>
    <s v="Bhubaneshwar"/>
    <s v="Women"/>
    <s v="Kurti"/>
    <s v="Rangriti"/>
    <s v="Office"/>
    <s v="IG"/>
    <n v="4"/>
    <n v="1350"/>
    <s v="11-20%"/>
    <n v="15"/>
    <s v="Valid"/>
    <s v="Match"/>
    <n v="5400"/>
    <n v="810"/>
    <n v="4590"/>
    <n v="3049.33"/>
    <n v="1540.67"/>
    <b v="0"/>
    <n v="0"/>
    <s v="UPI"/>
    <s v="Rohit"/>
    <s v="Google"/>
    <n v="4"/>
    <x v="5"/>
    <x v="1"/>
  </r>
  <r>
    <s v="ZAR-10092"/>
    <d v="2025-02-11T00:00:00"/>
    <s v="8 AM - 12 PM"/>
    <x v="303"/>
    <s v="Bhubaneshwar"/>
    <s v="Kids"/>
    <s v="Kids Lehenga"/>
    <s v="Manyavar"/>
    <s v="Wedding"/>
    <s v="Store"/>
    <n v="1"/>
    <n v="6450"/>
    <s v="1-10%"/>
    <n v="10"/>
    <s v="Valid"/>
    <s v="Match"/>
    <n v="6450"/>
    <n v="645"/>
    <n v="5805"/>
    <n v="3688.57"/>
    <n v="2116.4299999999998"/>
    <b v="0"/>
    <n v="0"/>
    <s v="UPI"/>
    <s v="Priya"/>
    <s v="Google"/>
    <n v="3.5"/>
    <x v="4"/>
    <x v="6"/>
  </r>
  <r>
    <s v="ZAR-10947"/>
    <d v="2025-06-18T00:00:00"/>
    <s v="4 AM - 8 AM"/>
    <x v="304"/>
    <s v="Balasore"/>
    <s v="Men"/>
    <s v="Nehru Jacket"/>
    <s v="Aurelia"/>
    <s v="Festive"/>
    <s v="Store"/>
    <n v="3"/>
    <n v="6250"/>
    <s v="11-20%"/>
    <n v="15"/>
    <s v="Valid"/>
    <s v="Match"/>
    <n v="18750"/>
    <n v="2812.5"/>
    <n v="15937.5"/>
    <n v="12063.11"/>
    <n v="3874.39"/>
    <b v="0"/>
    <n v="0"/>
    <s v="Net Banking"/>
    <s v="Ananya"/>
    <s v="Instagram"/>
    <n v="4"/>
    <x v="2"/>
    <x v="1"/>
  </r>
  <r>
    <s v="ZAR-10183"/>
    <d v="2025-05-25T00:00:00"/>
    <s v="8 AM - 12 PM"/>
    <x v="305"/>
    <s v="Bhubaneshwar"/>
    <s v="Women"/>
    <s v="Bridal Lehenga"/>
    <s v="Biba"/>
    <s v="Reception"/>
    <s v="Instagram"/>
    <n v="3"/>
    <n v="37200"/>
    <s v="1-10%"/>
    <n v="5"/>
    <s v="Valid"/>
    <s v="Match"/>
    <n v="111600"/>
    <n v="5580"/>
    <n v="106020"/>
    <n v="79563.89"/>
    <n v="26456.11"/>
    <b v="0"/>
    <n v="0"/>
    <s v="COD"/>
    <s v="Rohit"/>
    <s v="Google"/>
    <n v="4"/>
    <x v="8"/>
    <x v="0"/>
  </r>
  <r>
    <s v="ZAR-10276"/>
    <d v="2025-10-28T00:00:00"/>
    <s v="12 AM - 4 AM"/>
    <x v="238"/>
    <s v="Bhubaneshwar"/>
    <s v="Women"/>
    <s v="Kurti"/>
    <s v="Aurelia"/>
    <s v="Festive"/>
    <s v="Store"/>
    <n v="4"/>
    <n v="3600"/>
    <s v="11-20%"/>
    <n v="15"/>
    <s v="Valid"/>
    <s v="Match"/>
    <n v="14400"/>
    <n v="2160"/>
    <n v="12240"/>
    <n v="9647.2900000000009"/>
    <n v="2592.71"/>
    <b v="0"/>
    <n v="0"/>
    <s v="Cash"/>
    <s v="Sanjay"/>
    <s v="Referral"/>
    <n v="5"/>
    <x v="3"/>
    <x v="6"/>
  </r>
  <r>
    <s v="ZAR-10903"/>
    <d v="2025-08-29T00:00:00"/>
    <s v="4 PM - 8 PM"/>
    <x v="306"/>
    <s v="Rourkela"/>
    <s v="Men"/>
    <s v="Nehru Jacket"/>
    <s v="FabIndia"/>
    <s v="Casual"/>
    <s v="WhatsApp"/>
    <n v="1"/>
    <n v="3550"/>
    <s v="1-10%"/>
    <n v="10"/>
    <s v="Valid"/>
    <s v="Match"/>
    <n v="3550"/>
    <n v="355"/>
    <n v="3195"/>
    <n v="2563.9899999999998"/>
    <n v="631.01"/>
    <b v="0"/>
    <n v="0"/>
    <s v="UPI"/>
    <s v="Karan"/>
    <s v="Google"/>
    <n v="4"/>
    <x v="6"/>
    <x v="3"/>
  </r>
  <r>
    <s v="ZAR-10071"/>
    <d v="2025-08-23T00:00:00"/>
    <s v="8 PM - 12 AM"/>
    <x v="307"/>
    <s v="Bhubaneshwar"/>
    <s v="Kids"/>
    <s v="Kids Lehenga"/>
    <s v="Rangriti"/>
    <s v="Family Function"/>
    <s v="Phone"/>
    <n v="3"/>
    <n v="9400"/>
    <s v="21-30%"/>
    <n v="25"/>
    <s v="Valid"/>
    <s v="Match"/>
    <n v="28200"/>
    <n v="7050"/>
    <n v="21150"/>
    <n v="17899.080000000002"/>
    <n v="3250.92"/>
    <b v="0"/>
    <n v="0"/>
    <s v="UPI"/>
    <s v="Priya"/>
    <s v="Repeat Customer"/>
    <n v="4"/>
    <x v="6"/>
    <x v="5"/>
  </r>
  <r>
    <s v="ZAR-10293"/>
    <d v="2025-06-14T00:00:00"/>
    <s v="12 AM - 4 AM"/>
    <x v="265"/>
    <s v="Bhubaneshwar"/>
    <s v="Women"/>
    <s v="Blouse"/>
    <s v="Biba"/>
    <s v="Wedding Guest"/>
    <s v="Phone"/>
    <n v="1"/>
    <n v="4650"/>
    <s v="11-20%"/>
    <n v="20"/>
    <s v="Valid"/>
    <s v="Match"/>
    <n v="4650"/>
    <n v="930"/>
    <n v="3720"/>
    <n v="2921.31"/>
    <n v="798.69"/>
    <b v="0"/>
    <n v="0"/>
    <s v="Card"/>
    <s v="Karan"/>
    <s v="Google"/>
    <n v="4"/>
    <x v="2"/>
    <x v="5"/>
  </r>
  <r>
    <s v="ZAR-10133"/>
    <d v="2025-01-09T00:00:00"/>
    <s v="4 AM - 8 AM"/>
    <x v="173"/>
    <s v="Bhubaneshwar"/>
    <s v="Women"/>
    <s v="Lehenga"/>
    <s v="Zaree Studio"/>
    <s v="Wedding"/>
    <s v="Store"/>
    <n v="2"/>
    <n v="8200"/>
    <s v="11-20%"/>
    <n v="20"/>
    <s v="Valid"/>
    <s v="Match"/>
    <n v="16400"/>
    <n v="3280"/>
    <n v="13120"/>
    <n v="11291.92"/>
    <n v="1828.08"/>
    <b v="0"/>
    <n v="0"/>
    <s v="Net Banking"/>
    <s v="Sanjay"/>
    <s v="Walk-in"/>
    <n v="3.5"/>
    <x v="10"/>
    <x v="4"/>
  </r>
  <r>
    <s v="ZAR-10302"/>
    <d v="2025-01-23T00:00:00"/>
    <s v="4 AM - 8 AM"/>
    <x v="308"/>
    <s v="Puri"/>
    <s v="Women"/>
    <s v="Dupatta"/>
    <s v="Zaree Studio"/>
    <s v="Festive"/>
    <s v="Store"/>
    <n v="1"/>
    <n v="3400"/>
    <s v="11-20%"/>
    <n v="20"/>
    <s v="Valid"/>
    <s v="Match"/>
    <n v="3400"/>
    <n v="680"/>
    <n v="2720"/>
    <n v="2260.85"/>
    <n v="459.15"/>
    <b v="0"/>
    <n v="0"/>
    <s v="COD"/>
    <s v="Karan"/>
    <s v="Google"/>
    <n v="3"/>
    <x v="10"/>
    <x v="4"/>
  </r>
  <r>
    <s v="ZAR-10585"/>
    <d v="2025-05-12T00:00:00"/>
    <s v="8 PM - 12 AM"/>
    <x v="49"/>
    <s v="Berhampur"/>
    <s v="Men"/>
    <s v="Dhoti Set"/>
    <s v="Biba"/>
    <s v="Casual"/>
    <s v="Instagram"/>
    <n v="2"/>
    <n v="2350"/>
    <s v="11-20%"/>
    <n v="15"/>
    <s v="Valid"/>
    <s v="Match"/>
    <n v="4700"/>
    <n v="705"/>
    <n v="3995"/>
    <n v="3421.81"/>
    <n v="573.19000000000005"/>
    <b v="0"/>
    <n v="0"/>
    <s v="Card"/>
    <s v="Neha"/>
    <s v="WhatsApp"/>
    <n v="4"/>
    <x v="8"/>
    <x v="2"/>
  </r>
  <r>
    <s v="ZAR-10328"/>
    <d v="2025-12-31T00:00:00"/>
    <s v="4 AM - 8 AM"/>
    <x v="124"/>
    <s v="Balasore"/>
    <s v="Women"/>
    <s v="Kurti"/>
    <s v="FabIndia"/>
    <s v="Casual"/>
    <s v="Store"/>
    <n v="1"/>
    <n v="4050"/>
    <s v="1-10%"/>
    <n v="10"/>
    <s v="Valid"/>
    <s v="Match"/>
    <n v="4050"/>
    <n v="405"/>
    <n v="3645"/>
    <n v="2722.32"/>
    <n v="922.68"/>
    <b v="0"/>
    <n v="0"/>
    <s v="UPI"/>
    <s v="Neha"/>
    <s v="WhatsApp"/>
    <n v="5"/>
    <x v="1"/>
    <x v="1"/>
  </r>
  <r>
    <s v="ZAR-10146"/>
    <d v="2025-12-31T00:00:00"/>
    <s v="12 PM - 4 PM"/>
    <x v="309"/>
    <s v="Bhubaneshwar"/>
    <s v="Women"/>
    <s v="Gown"/>
    <s v="FabIndia"/>
    <s v="Puja"/>
    <s v="Store"/>
    <n v="1"/>
    <n v="2700"/>
    <s v="1-10%"/>
    <n v="5"/>
    <s v="Valid"/>
    <s v="Match"/>
    <n v="2700"/>
    <n v="135"/>
    <n v="2565"/>
    <n v="1850.84"/>
    <n v="714.16"/>
    <b v="0"/>
    <n v="0"/>
    <s v="Net Banking"/>
    <s v="Meera"/>
    <s v="WhatsApp"/>
    <n v="4"/>
    <x v="1"/>
    <x v="1"/>
  </r>
  <r>
    <s v="ZAR-10427"/>
    <d v="2025-09-06T00:00:00"/>
    <s v="12 AM - 4 AM"/>
    <x v="310"/>
    <s v="Puri"/>
    <s v="Women"/>
    <s v="Salwar Suit"/>
    <s v="Local Artisan"/>
    <s v="Office"/>
    <s v="Website"/>
    <n v="1"/>
    <n v="6550"/>
    <s v="21-30%"/>
    <n v="30"/>
    <s v="Valid"/>
    <s v="Match"/>
    <n v="6550"/>
    <n v="1965"/>
    <n v="4585"/>
    <n v="3466.86"/>
    <n v="1118.1400000000001"/>
    <b v="0"/>
    <n v="0"/>
    <s v="Cash"/>
    <s v="Karan"/>
    <s v="WhatsApp"/>
    <n v="3"/>
    <x v="11"/>
    <x v="5"/>
  </r>
  <r>
    <s v="ZAR-10586"/>
    <d v="2025-03-17T00:00:00"/>
    <s v="12 PM - 4 PM"/>
    <x v="311"/>
    <s v="Rourkela"/>
    <s v="Men"/>
    <s v="Indo-Western"/>
    <s v="Manyavar"/>
    <s v="Casual"/>
    <s v="Store"/>
    <n v="1"/>
    <n v="6200"/>
    <s v="21-30%"/>
    <n v="25"/>
    <s v="Valid"/>
    <s v="Match"/>
    <n v="6200"/>
    <n v="1550"/>
    <n v="4650"/>
    <n v="3815.84"/>
    <n v="834.16"/>
    <b v="0"/>
    <n v="0"/>
    <s v="Cash"/>
    <s v="Ananya"/>
    <s v="Referral"/>
    <n v="3.5"/>
    <x v="9"/>
    <x v="2"/>
  </r>
  <r>
    <s v="ZAR-10137"/>
    <d v="2025-02-07T00:00:00"/>
    <s v="4 AM - 8 AM"/>
    <x v="312"/>
    <s v="Puri"/>
    <s v="Women"/>
    <s v="Kurti"/>
    <s v="Aurelia"/>
    <s v="Festive"/>
    <s v="Instagram"/>
    <n v="1"/>
    <n v="900"/>
    <s v="11-20%"/>
    <n v="20"/>
    <s v="Valid"/>
    <s v="Match"/>
    <n v="900"/>
    <n v="180"/>
    <n v="720"/>
    <n v="587.38"/>
    <n v="132.62"/>
    <b v="0"/>
    <n v="0"/>
    <s v="Cash"/>
    <s v="Priya"/>
    <s v="Instagram"/>
    <n v="4"/>
    <x v="4"/>
    <x v="3"/>
  </r>
  <r>
    <s v="ZAR-10668"/>
    <d v="2025-08-13T00:00:00"/>
    <s v="12 PM - 4 PM"/>
    <x v="313"/>
    <s v="Rourkela"/>
    <s v="Women"/>
    <s v="Gown"/>
    <s v="Biba"/>
    <s v="Casual"/>
    <s v="Website"/>
    <n v="2"/>
    <n v="10250"/>
    <s v="1-10%"/>
    <n v="5"/>
    <s v="Valid"/>
    <s v="Match"/>
    <n v="20500"/>
    <n v="1025"/>
    <n v="19475"/>
    <n v="14275.2"/>
    <n v="5199.8"/>
    <b v="0"/>
    <n v="0"/>
    <s v="UPI"/>
    <s v="Ananya"/>
    <s v="Google"/>
    <n v="4.5"/>
    <x v="6"/>
    <x v="1"/>
  </r>
  <r>
    <s v="ZAR-10166"/>
    <d v="2025-04-18T00:00:00"/>
    <s v="4 PM - 8 PM"/>
    <x v="314"/>
    <s v="Sambalpur"/>
    <s v="Kids"/>
    <s v="Kids Lehenga"/>
    <s v="Aurelia"/>
    <s v="Family Function"/>
    <s v="Website"/>
    <n v="5"/>
    <n v="6650"/>
    <s v="21-30%"/>
    <n v="30"/>
    <s v="Valid"/>
    <s v="Match"/>
    <n v="33250"/>
    <n v="9975"/>
    <n v="23275"/>
    <n v="23228.97"/>
    <n v="46.03"/>
    <b v="0"/>
    <n v="0"/>
    <s v="Card"/>
    <s v="Meera"/>
    <s v="Instagram"/>
    <n v="3.5"/>
    <x v="7"/>
    <x v="3"/>
  </r>
  <r>
    <s v="ZAR-10030"/>
    <d v="2025-03-10T00:00:00"/>
    <s v="12 PM - 4 PM"/>
    <x v="315"/>
    <s v="Berhampur"/>
    <s v="Women"/>
    <s v="Blouse"/>
    <s v="Local Artisan"/>
    <s v="Casual"/>
    <s v="Phone"/>
    <n v="1"/>
    <n v="1200"/>
    <s v="21-30%"/>
    <n v="30"/>
    <s v="Valid"/>
    <s v="Match"/>
    <n v="1200"/>
    <n v="360"/>
    <n v="840"/>
    <n v="656.04"/>
    <n v="183.96"/>
    <b v="0"/>
    <n v="0"/>
    <s v="COD"/>
    <s v="Sanjay"/>
    <s v="Walk-in"/>
    <n v="4.5"/>
    <x v="9"/>
    <x v="2"/>
  </r>
  <r>
    <s v="ZAR-10938"/>
    <d v="2025-12-01T00:00:00"/>
    <s v="8 PM - 12 AM"/>
    <x v="198"/>
    <s v="Rourkela"/>
    <s v="Men"/>
    <s v="Shirt"/>
    <s v="FabIndia"/>
    <s v="Wedding"/>
    <s v="Store"/>
    <n v="1"/>
    <n v="2300"/>
    <s v="11-20%"/>
    <n v="20"/>
    <s v="Valid"/>
    <s v="Match"/>
    <n v="2300"/>
    <n v="460"/>
    <n v="1840"/>
    <n v="1351.04"/>
    <n v="488.96"/>
    <b v="0"/>
    <n v="0"/>
    <s v="Card"/>
    <s v="Rohit"/>
    <s v="Google"/>
    <n v="5"/>
    <x v="1"/>
    <x v="2"/>
  </r>
  <r>
    <s v="ZAR-10195"/>
    <d v="2025-03-31T00:00:00"/>
    <s v="12 PM - 4 PM"/>
    <x v="316"/>
    <s v="Bhubaneshwar"/>
    <s v="Women"/>
    <s v="Kurti"/>
    <s v="Designer Collection"/>
    <s v="Wedding Guest"/>
    <s v="Store"/>
    <n v="2"/>
    <n v="3900"/>
    <s v="11-20%"/>
    <n v="15"/>
    <s v="Valid"/>
    <s v="Match"/>
    <n v="7800"/>
    <n v="1170"/>
    <n v="6630"/>
    <n v="4986.29"/>
    <n v="1643.71"/>
    <b v="0"/>
    <n v="0"/>
    <s v="UPI"/>
    <s v="Priya"/>
    <s v="Repeat Customer"/>
    <n v="4.5"/>
    <x v="9"/>
    <x v="2"/>
  </r>
  <r>
    <s v="ZAR-10999"/>
    <d v="2025-07-22T00:00:00"/>
    <s v="12 PM - 4 PM"/>
    <x v="317"/>
    <s v="Puri"/>
    <s v="Women"/>
    <s v="Bridal Lehenga"/>
    <s v="Manyavar"/>
    <s v="Wedding"/>
    <s v="WhatsApp"/>
    <n v="2"/>
    <n v="106750"/>
    <s v="1-10%"/>
    <n v="10"/>
    <s v="Valid"/>
    <s v="Match"/>
    <n v="213500"/>
    <n v="21350"/>
    <n v="192150"/>
    <n v="134146.88"/>
    <n v="58003.12"/>
    <b v="0"/>
    <n v="0"/>
    <s v="Net Banking"/>
    <s v="Meera"/>
    <s v="Instagram"/>
    <n v="3"/>
    <x v="0"/>
    <x v="6"/>
  </r>
  <r>
    <s v="ZAR-10752"/>
    <d v="2025-07-25T00:00:00"/>
    <s v="4 PM - 8 PM"/>
    <x v="318"/>
    <s v="Sambalpur "/>
    <s v="Women"/>
    <s v="Lehenga"/>
    <s v="FabIndia"/>
    <s v="Casual"/>
    <s v="WhatsApp"/>
    <n v="1"/>
    <n v="28700"/>
    <s v="1-10%"/>
    <n v="5"/>
    <s v="Valid"/>
    <s v="Match"/>
    <n v="28700"/>
    <n v="1435"/>
    <n v="27265"/>
    <n v="19766.05"/>
    <n v="7498.95"/>
    <b v="0"/>
    <n v="0"/>
    <s v="UPI"/>
    <s v="Karan"/>
    <s v="WhatsApp"/>
    <n v="4"/>
    <x v="0"/>
    <x v="3"/>
  </r>
  <r>
    <s v="ZAR-10171"/>
    <d v="2025-05-21T00:00:00"/>
    <s v="12 AM - 4 AM"/>
    <x v="319"/>
    <s v="Sambalpur"/>
    <s v="Women"/>
    <s v="Bridal Lehenga"/>
    <s v="Biba"/>
    <s v="Reception"/>
    <s v="Store"/>
    <n v="2"/>
    <n v="124150"/>
    <s v="21-30%"/>
    <n v="25"/>
    <s v="Valid"/>
    <s v="Match"/>
    <n v="248300"/>
    <n v="62075"/>
    <n v="186225"/>
    <n v="145605.71"/>
    <n v="40619.29"/>
    <b v="0"/>
    <n v="0"/>
    <s v="Card"/>
    <s v="Sanjay"/>
    <s v="WhatsApp"/>
    <n v="3"/>
    <x v="8"/>
    <x v="1"/>
  </r>
  <r>
    <s v="ZAR-10492"/>
    <d v="2025-11-14T00:00:00"/>
    <s v="12 PM - 4 PM"/>
    <x v="320"/>
    <s v="Bhubaneshwar"/>
    <s v="Men"/>
    <s v="Nehru Jacket"/>
    <s v="Zaree Studio"/>
    <s v="Festive"/>
    <s v="Instagram"/>
    <n v="1"/>
    <n v="4750"/>
    <s v="0%"/>
    <n v="0"/>
    <s v="Valid"/>
    <s v="Match"/>
    <n v="4750"/>
    <n v="0"/>
    <n v="4750"/>
    <n v="3280.66"/>
    <n v="1469.34"/>
    <b v="0"/>
    <n v="0"/>
    <s v="Net Banking"/>
    <s v="Priya"/>
    <s v="WhatsApp"/>
    <n v="3"/>
    <x v="5"/>
    <x v="3"/>
  </r>
  <r>
    <s v="ZAR-10142"/>
    <d v="2025-11-23T00:00:00"/>
    <s v="8 PM - 12 AM"/>
    <x v="321"/>
    <s v="Berhampur"/>
    <s v="Women"/>
    <s v="Saree"/>
    <s v="Local Artisan"/>
    <s v="Wedding Guest"/>
    <s v="Website"/>
    <n v="1"/>
    <n v="2100"/>
    <s v="1-10%"/>
    <n v="10"/>
    <s v="Valid"/>
    <s v="Match"/>
    <n v="2100"/>
    <n v="210"/>
    <n v="1890"/>
    <n v="1119.93"/>
    <n v="770.07"/>
    <b v="0"/>
    <n v="0"/>
    <s v="UPI"/>
    <s v="Ananya"/>
    <s v="Repeat Customer"/>
    <n v="3"/>
    <x v="5"/>
    <x v="0"/>
  </r>
  <r>
    <s v="ZAR-10175"/>
    <d v="2025-06-04T00:00:00"/>
    <s v="4 AM - 8 AM"/>
    <x v="322"/>
    <s v="Berhampur"/>
    <s v="Women"/>
    <s v="Salwar Suit"/>
    <s v="Designer Collection"/>
    <s v="Office"/>
    <s v="Store"/>
    <n v="2"/>
    <n v="7400"/>
    <s v="21-30%"/>
    <n v="30"/>
    <s v="Valid"/>
    <s v="Match"/>
    <n v="14800"/>
    <n v="4440"/>
    <n v="10360"/>
    <n v="10454.06"/>
    <n v="-94.06"/>
    <b v="0"/>
    <n v="0"/>
    <s v="Net Banking"/>
    <s v="Ananya"/>
    <s v="Walk-in"/>
    <n v="3"/>
    <x v="2"/>
    <x v="1"/>
  </r>
  <r>
    <s v="ZAR-10008"/>
    <d v="2025-12-15T00:00:00"/>
    <s v="12 PM - 4 PM"/>
    <x v="55"/>
    <s v="Bhubaneshwar"/>
    <s v="Women"/>
    <s v="Lehenga"/>
    <s v="Biba"/>
    <s v="Festive"/>
    <s v="Store"/>
    <n v="3"/>
    <n v="35700"/>
    <s v="1-10%"/>
    <n v="5"/>
    <s v="Valid"/>
    <s v="Match"/>
    <n v="107100"/>
    <n v="5355"/>
    <n v="101745"/>
    <n v="70475.88"/>
    <n v="31269.119999999999"/>
    <b v="0"/>
    <n v="0"/>
    <s v="COD"/>
    <s v="Meera"/>
    <s v="Instagram"/>
    <n v="4.5"/>
    <x v="1"/>
    <x v="2"/>
  </r>
  <r>
    <s v="ZAR-10852"/>
    <d v="2025-02-13T00:00:00"/>
    <s v="8 PM - 12 AM"/>
    <x v="323"/>
    <s v="Sambalpur"/>
    <s v="Women"/>
    <s v="Blouse"/>
    <s v="Rangriti"/>
    <s v="Wedding Guest"/>
    <s v="Website"/>
    <n v="1"/>
    <n v="2600"/>
    <s v="11-20%"/>
    <n v="15"/>
    <s v="Valid"/>
    <s v="Match"/>
    <n v="2600"/>
    <n v="390"/>
    <n v="2210"/>
    <n v="1877.54"/>
    <n v="332.46"/>
    <b v="0"/>
    <n v="0"/>
    <s v="Card"/>
    <s v="Ananya"/>
    <s v="Walk-in"/>
    <n v="3.5"/>
    <x v="4"/>
    <x v="4"/>
  </r>
  <r>
    <s v="ZAR-10637"/>
    <d v="2025-03-03T00:00:00"/>
    <s v="4 AM - 8 AM"/>
    <x v="98"/>
    <s v="Puri"/>
    <s v="Men"/>
    <s v="Indo-Western"/>
    <s v="Designer Collection"/>
    <s v="Family Function"/>
    <s v="Store"/>
    <n v="1"/>
    <n v="7800"/>
    <s v="1-10%"/>
    <n v="5"/>
    <s v="Valid"/>
    <s v="Match"/>
    <n v="7800"/>
    <n v="390"/>
    <n v="7410"/>
    <n v="5057.21"/>
    <n v="2352.79"/>
    <b v="0"/>
    <n v="0"/>
    <s v="UPI"/>
    <s v="Neha"/>
    <s v="Repeat Customer"/>
    <n v="5"/>
    <x v="9"/>
    <x v="2"/>
  </r>
  <r>
    <s v="ZAR-10075"/>
    <d v="2025-10-12T00:00:00"/>
    <s v="8 AM - 12 PM"/>
    <x v="181"/>
    <s v="Puri"/>
    <s v="Women"/>
    <s v="Kurti"/>
    <s v="Zaree Studio"/>
    <s v="Casual"/>
    <s v="Store"/>
    <n v="1"/>
    <n v="1300"/>
    <s v="21-30%"/>
    <n v="30"/>
    <s v="Valid"/>
    <s v="Match"/>
    <n v="1300"/>
    <n v="390"/>
    <n v="910"/>
    <n v="706.95"/>
    <n v="203.05"/>
    <b v="0"/>
    <n v="0"/>
    <s v="COD"/>
    <s v="Karan"/>
    <s v="WhatsApp"/>
    <n v="4.5"/>
    <x v="3"/>
    <x v="0"/>
  </r>
  <r>
    <s v="ZAR-10689"/>
    <d v="2025-07-05T00:00:00"/>
    <s v="8 PM - 12 AM"/>
    <x v="324"/>
    <s v="Berhampur"/>
    <s v="Kids"/>
    <s v="Kids Gown"/>
    <s v="Manyavar"/>
    <s v="Casual"/>
    <s v="Store"/>
    <n v="1"/>
    <n v="2600"/>
    <s v="11-20%"/>
    <n v="20"/>
    <s v="Valid"/>
    <s v="Match"/>
    <n v="2600"/>
    <n v="520"/>
    <n v="2080"/>
    <n v="1395.73"/>
    <n v="684.27"/>
    <b v="0"/>
    <n v="0"/>
    <s v="COD"/>
    <s v="Rohit"/>
    <s v="Google"/>
    <n v="4.5"/>
    <x v="0"/>
    <x v="5"/>
  </r>
  <r>
    <s v="ZAR-10985"/>
    <d v="2025-07-09T00:00:00"/>
    <s v="8 PM - 12 AM"/>
    <x v="325"/>
    <s v="Sambalpur"/>
    <s v="Women"/>
    <s v="Dupatta"/>
    <s v="Zaree Studio"/>
    <s v="Puja"/>
    <s v="Store"/>
    <n v="1"/>
    <n v="1150"/>
    <s v="1-10%"/>
    <n v="5"/>
    <s v="Valid"/>
    <s v="Match"/>
    <n v="1150"/>
    <n v="57.5"/>
    <n v="1092.5"/>
    <n v="848.64"/>
    <n v="243.86"/>
    <b v="0"/>
    <n v="0"/>
    <s v="COD"/>
    <s v="Unknown"/>
    <s v="Instagram"/>
    <s v="Not Rated"/>
    <x v="0"/>
    <x v="1"/>
  </r>
  <r>
    <s v="ZAR-10240"/>
    <d v="2025-04-18T00:00:00"/>
    <s v="4 PM - 8 PM"/>
    <x v="326"/>
    <s v="Sambalpur"/>
    <s v="Women"/>
    <s v="Gown"/>
    <s v="Manyavar"/>
    <s v="Festive"/>
    <s v="Instagram"/>
    <n v="3"/>
    <n v="11400"/>
    <s v="21-30%"/>
    <n v="25"/>
    <s v="Valid"/>
    <s v="Match"/>
    <n v="34200"/>
    <n v="8550"/>
    <n v="25650"/>
    <n v="19419.29"/>
    <n v="6230.71"/>
    <b v="0"/>
    <n v="0"/>
    <s v="COD"/>
    <s v="Neha"/>
    <s v="WhatsApp"/>
    <n v="5"/>
    <x v="7"/>
    <x v="3"/>
  </r>
  <r>
    <s v="ZAR-10147"/>
    <d v="2025-04-29T00:00:00"/>
    <s v="12 AM - 4 AM"/>
    <x v="204"/>
    <s v="Berhampur"/>
    <s v="Women"/>
    <s v="Lehenga"/>
    <s v="Zaree Studio"/>
    <s v="Festive"/>
    <s v="WhatsApp"/>
    <n v="4"/>
    <n v="26050"/>
    <s v="0%"/>
    <n v="0"/>
    <s v="Valid"/>
    <s v="Match"/>
    <n v="104200"/>
    <n v="0"/>
    <n v="104200"/>
    <n v="56423.35"/>
    <n v="47776.65"/>
    <b v="0"/>
    <n v="0"/>
    <s v="Cash"/>
    <s v="Meera"/>
    <s v="Google"/>
    <n v="4"/>
    <x v="7"/>
    <x v="6"/>
  </r>
  <r>
    <s v="ZAR-10800"/>
    <d v="2025-04-10T00:00:00"/>
    <s v="4 AM - 8 AM"/>
    <x v="254"/>
    <s v="Sambalpur"/>
    <s v="Men"/>
    <s v="Kurta Pajama"/>
    <s v="Local Artisan"/>
    <s v="Wedding"/>
    <s v="Store"/>
    <n v="1"/>
    <n v="4050"/>
    <s v="11-20%"/>
    <n v="15"/>
    <s v="Valid"/>
    <s v="Match"/>
    <n v="4050"/>
    <n v="607.5"/>
    <n v="3442.5"/>
    <n v="2454.38"/>
    <n v="988.12"/>
    <b v="0"/>
    <n v="0"/>
    <s v="UPI"/>
    <s v="Karan"/>
    <s v="WhatsApp"/>
    <n v="3.5"/>
    <x v="7"/>
    <x v="4"/>
  </r>
  <r>
    <s v="ZAR-10236"/>
    <d v="2025-01-02T00:00:00"/>
    <s v="8 AM - 12 PM"/>
    <x v="327"/>
    <s v="Puri"/>
    <s v="Women"/>
    <s v="Gown"/>
    <s v="Rangriti"/>
    <s v="Puja"/>
    <s v="Instagram"/>
    <n v="1"/>
    <n v="11450"/>
    <s v="21-30%"/>
    <n v="30"/>
    <s v="Valid"/>
    <s v="Match"/>
    <n v="11450"/>
    <n v="3435"/>
    <n v="8015"/>
    <n v="7613.79"/>
    <n v="401.21"/>
    <b v="0"/>
    <n v="0"/>
    <s v="UPI"/>
    <s v="Rohit"/>
    <s v="Google"/>
    <n v="4.5"/>
    <x v="10"/>
    <x v="4"/>
  </r>
  <r>
    <s v="ZAR-10222"/>
    <d v="2025-10-01T00:00:00"/>
    <s v="4 AM - 8 AM"/>
    <x v="328"/>
    <s v="Sambalpur"/>
    <s v="Women"/>
    <s v="Dupatta"/>
    <s v="Zaree Studio"/>
    <s v="Puja"/>
    <s v="Phone"/>
    <n v="4"/>
    <n v="2300"/>
    <s v="11-20%"/>
    <n v="15"/>
    <s v="Valid"/>
    <s v="Match"/>
    <n v="9200"/>
    <n v="1380"/>
    <n v="7820"/>
    <n v="4793.45"/>
    <n v="3026.55"/>
    <b v="0"/>
    <n v="0"/>
    <s v="UPI"/>
    <s v="Karan"/>
    <s v="WhatsApp"/>
    <n v="3.5"/>
    <x v="3"/>
    <x v="1"/>
  </r>
  <r>
    <s v="ZAR-10479"/>
    <d v="2025-06-13T00:00:00"/>
    <s v="4 AM - 8 AM"/>
    <x v="195"/>
    <s v="Sambalpur"/>
    <s v="Women"/>
    <s v="Gown"/>
    <s v="Aurelia"/>
    <s v="Wedding Guest"/>
    <s v="Store"/>
    <n v="2"/>
    <n v="4750"/>
    <s v="1-10%"/>
    <n v="10"/>
    <s v="Valid"/>
    <s v="Match"/>
    <n v="9500"/>
    <n v="950"/>
    <n v="8550"/>
    <n v="5754.97"/>
    <n v="2795.03"/>
    <b v="0"/>
    <n v="0"/>
    <s v="Card"/>
    <s v="Meera"/>
    <s v="Repeat Customer"/>
    <n v="3"/>
    <x v="2"/>
    <x v="3"/>
  </r>
  <r>
    <s v="ZAR-10882"/>
    <d v="2025-04-07T00:00:00"/>
    <s v="4 AM - 8 AM"/>
    <x v="329"/>
    <s v="Rourkela"/>
    <s v="Men"/>
    <s v="Kurta Pajama"/>
    <s v="Local Artisan"/>
    <s v="Festive"/>
    <s v="Website"/>
    <n v="1"/>
    <n v="6700"/>
    <s v="1-10%"/>
    <n v="10"/>
    <s v="Valid"/>
    <s v="Match"/>
    <n v="6700"/>
    <n v="670"/>
    <n v="6030"/>
    <n v="4903.74"/>
    <n v="1126.26"/>
    <b v="0"/>
    <n v="0"/>
    <s v="COD"/>
    <s v="Karan"/>
    <s v="Google"/>
    <n v="4.5"/>
    <x v="7"/>
    <x v="2"/>
  </r>
  <r>
    <s v="ZAR-10134"/>
    <d v="2025-10-23T00:00:00"/>
    <s v="4 PM - 8 PM"/>
    <x v="96"/>
    <s v="Balasore"/>
    <s v="Women"/>
    <s v="Bridal Lehenga"/>
    <s v="Local Artisan"/>
    <s v="Reception"/>
    <s v="Website"/>
    <n v="2"/>
    <n v="33000"/>
    <s v="21-30%"/>
    <n v="25"/>
    <s v="Valid"/>
    <s v="Match"/>
    <n v="66000"/>
    <n v="16500"/>
    <n v="49500"/>
    <n v="42685.120000000003"/>
    <n v="6814.88"/>
    <b v="0"/>
    <n v="0"/>
    <s v="Cash"/>
    <s v="Priya"/>
    <s v="Instagram"/>
    <n v="5"/>
    <x v="3"/>
    <x v="4"/>
  </r>
  <r>
    <s v="ZAR-11000"/>
    <d v="2025-07-23T00:00:00"/>
    <s v="4 PM - 8 PM"/>
    <x v="176"/>
    <s v="Puri"/>
    <s v="Kids"/>
    <s v="Kids Kurta"/>
    <s v="Designer Collection"/>
    <s v="Casual"/>
    <s v="Website"/>
    <n v="1"/>
    <n v="3150"/>
    <s v="1-10%"/>
    <n v="5"/>
    <s v="Valid"/>
    <s v="Match"/>
    <n v="3150"/>
    <n v="157.5"/>
    <n v="2992.5"/>
    <n v="1888.4"/>
    <n v="1104.0999999999999"/>
    <b v="0"/>
    <n v="0"/>
    <s v="UPI"/>
    <s v="Priya"/>
    <s v="WhatsApp"/>
    <n v="5"/>
    <x v="0"/>
    <x v="1"/>
  </r>
  <r>
    <s v="ZAR-10845"/>
    <d v="2025-06-07T00:00:00"/>
    <s v="12 AM - 4 AM"/>
    <x v="330"/>
    <s v="Berhampur"/>
    <s v="Women"/>
    <s v="Bridal Lehenga"/>
    <s v="FabIndia"/>
    <s v="Festive"/>
    <s v="Website"/>
    <n v="1"/>
    <n v="53450"/>
    <s v="1-10%"/>
    <n v="10"/>
    <s v="Valid"/>
    <s v="Match"/>
    <n v="53450"/>
    <n v="5345"/>
    <n v="48105"/>
    <n v="39058.61"/>
    <n v="9046.39"/>
    <b v="0"/>
    <n v="0"/>
    <s v="Card"/>
    <s v="Priya"/>
    <s v="Referral"/>
    <n v="4"/>
    <x v="2"/>
    <x v="5"/>
  </r>
  <r>
    <s v="ZAR-10187"/>
    <d v="2025-03-26T00:00:00"/>
    <s v="12 PM - 4 PM"/>
    <x v="331"/>
    <s v="Sambalpur"/>
    <s v="Women"/>
    <s v="Kurti"/>
    <s v="Biba"/>
    <s v="Festive"/>
    <s v="Store"/>
    <n v="2"/>
    <n v="1200"/>
    <s v="0%"/>
    <n v="0"/>
    <s v="Valid"/>
    <s v="Match"/>
    <n v="2400"/>
    <n v="0"/>
    <n v="2400"/>
    <n v="1330.06"/>
    <n v="1069.94"/>
    <b v="0"/>
    <n v="0"/>
    <s v="Net Banking"/>
    <s v="Priya"/>
    <s v="Instagram"/>
    <n v="4"/>
    <x v="9"/>
    <x v="1"/>
  </r>
  <r>
    <s v="ZAR-10043"/>
    <d v="2025-04-27T00:00:00"/>
    <s v="8 AM - 12 PM"/>
    <x v="332"/>
    <s v="Sambalpur"/>
    <s v="Kids"/>
    <s v="Kids Sherwani"/>
    <s v="Biba"/>
    <s v="Engagement"/>
    <s v="Store"/>
    <n v="5"/>
    <n v="4300"/>
    <s v="21-30%"/>
    <n v="30"/>
    <s v="Valid"/>
    <s v="Match"/>
    <n v="21500"/>
    <n v="6450"/>
    <n v="15050"/>
    <n v="12098.18"/>
    <n v="2951.82"/>
    <b v="0"/>
    <n v="0"/>
    <s v="Card"/>
    <s v="Karan"/>
    <s v="Google"/>
    <n v="3"/>
    <x v="7"/>
    <x v="0"/>
  </r>
  <r>
    <s v="ZAR-11001"/>
    <d v="2025-08-09T00:00:00"/>
    <s v="4 PM - 8 PM"/>
    <x v="333"/>
    <s v="Cuttack"/>
    <s v="Women"/>
    <s v="Saree"/>
    <s v="Local Artisan"/>
    <s v="Reception"/>
    <s v="Store"/>
    <n v="1"/>
    <n v="27300"/>
    <s v="1-10%"/>
    <n v="10"/>
    <s v="Valid"/>
    <s v="Match"/>
    <n v="27300"/>
    <n v="2730"/>
    <n v="24570"/>
    <n v="16332.91"/>
    <n v="8237.09"/>
    <b v="0"/>
    <n v="0"/>
    <s v="COD"/>
    <s v="Karan"/>
    <s v="Walk-in"/>
    <n v="4"/>
    <x v="6"/>
    <x v="5"/>
  </r>
  <r>
    <s v="ZAR-10110"/>
    <d v="2025-07-24T00:00:00"/>
    <s v="4 AM - 8 AM"/>
    <x v="297"/>
    <s v="Sambalpur "/>
    <s v="Women"/>
    <s v="Gown"/>
    <s v="Aurelia"/>
    <s v="Festive"/>
    <s v="Store"/>
    <n v="1"/>
    <n v="13250"/>
    <s v="21-30%"/>
    <n v="30"/>
    <s v="Valid"/>
    <s v="Match"/>
    <n v="13250"/>
    <n v="3975"/>
    <n v="9275"/>
    <n v="7896.76"/>
    <n v="1378.24"/>
    <b v="0"/>
    <n v="0"/>
    <s v="Card"/>
    <s v="Ananya"/>
    <s v="Instagram"/>
    <n v="4"/>
    <x v="0"/>
    <x v="4"/>
  </r>
  <r>
    <s v="ZAR-10925"/>
    <d v="2025-01-28T00:00:00"/>
    <s v="8 AM - 12 PM"/>
    <x v="21"/>
    <s v="Rourkela"/>
    <s v="Kids"/>
    <s v="Kids Kurta"/>
    <s v="Biba"/>
    <s v="Festive"/>
    <s v="Website"/>
    <n v="3"/>
    <n v="3350"/>
    <s v="0%"/>
    <n v="0"/>
    <s v="Valid"/>
    <s v="Match"/>
    <n v="10050"/>
    <n v="0"/>
    <n v="10050"/>
    <n v="5879.17"/>
    <n v="4170.83"/>
    <b v="0"/>
    <n v="0"/>
    <s v="Cash"/>
    <s v="Meera"/>
    <s v="Repeat Customer"/>
    <n v="4.5"/>
    <x v="10"/>
    <x v="6"/>
  </r>
  <r>
    <s v="ZAR-10058"/>
    <d v="2025-12-17T00:00:00"/>
    <s v="8 AM - 12 PM"/>
    <x v="334"/>
    <s v="Balasore"/>
    <s v="Kids"/>
    <s v="Kids Gown"/>
    <s v="Manyavar"/>
    <s v="Festive"/>
    <s v="Store"/>
    <n v="1"/>
    <n v="4500"/>
    <s v="0%"/>
    <n v="0"/>
    <s v="Valid"/>
    <s v="Match"/>
    <n v="4500"/>
    <n v="0"/>
    <n v="4500"/>
    <n v="2572.42"/>
    <n v="1927.58"/>
    <b v="0"/>
    <n v="0"/>
    <s v="Cash"/>
    <s v="Ananya"/>
    <s v="Instagram"/>
    <n v="4"/>
    <x v="1"/>
    <x v="1"/>
  </r>
  <r>
    <s v="ZAR-10532"/>
    <d v="2025-06-28T00:00:00"/>
    <s v="4 PM - 8 PM"/>
    <x v="335"/>
    <s v="Rourkela"/>
    <s v="Women"/>
    <s v="Bridal Lehenga"/>
    <s v="Local Artisan"/>
    <s v="Wedding"/>
    <s v="Instagram"/>
    <n v="1"/>
    <n v="124200"/>
    <s v="11-20%"/>
    <n v="15"/>
    <s v="Valid"/>
    <s v="Match"/>
    <n v="124200"/>
    <n v="18630"/>
    <n v="105570"/>
    <n v="90735.72"/>
    <n v="14834.28"/>
    <b v="0"/>
    <n v="0"/>
    <s v="Net Banking"/>
    <s v="Karan"/>
    <s v="Walk-in"/>
    <n v="5"/>
    <x v="2"/>
    <x v="5"/>
  </r>
  <r>
    <s v="ZAR-10874"/>
    <d v="2025-04-28T00:00:00"/>
    <s v="4 PM - 8 PM"/>
    <x v="336"/>
    <s v="Bhubaneshwar"/>
    <s v="Men"/>
    <s v="Indo-Western"/>
    <s v="Manyavar"/>
    <s v="Wedding"/>
    <s v="Store"/>
    <n v="1"/>
    <n v="11700"/>
    <s v="11-20%"/>
    <n v="20"/>
    <s v="Valid"/>
    <s v="Match"/>
    <n v="11700"/>
    <n v="2340"/>
    <n v="9360"/>
    <n v="6176.68"/>
    <n v="3183.32"/>
    <b v="0"/>
    <n v="0"/>
    <s v="Net Banking"/>
    <s v="Rohit"/>
    <s v="Walk-in"/>
    <n v="4.5"/>
    <x v="7"/>
    <x v="2"/>
  </r>
  <r>
    <s v="ZAR-10605"/>
    <d v="2025-04-17T00:00:00"/>
    <s v="4 PM - 8 PM"/>
    <x v="82"/>
    <s v="Bhubaneshwar"/>
    <s v="Kids"/>
    <s v="Kids Gown"/>
    <s v="Manyavar"/>
    <s v="Family Function"/>
    <s v="Phone"/>
    <n v="2"/>
    <n v="1350"/>
    <s v="21-30%"/>
    <n v="25"/>
    <s v="Valid"/>
    <s v="Match"/>
    <n v="2700"/>
    <n v="675"/>
    <n v="2025"/>
    <n v="1634.25"/>
    <n v="390.75"/>
    <b v="0"/>
    <n v="0"/>
    <s v="Cash"/>
    <s v="Unknown"/>
    <s v="Instagram"/>
    <n v="3"/>
    <x v="7"/>
    <x v="4"/>
  </r>
  <r>
    <s v="ZAR-10868"/>
    <d v="2025-08-04T00:00:00"/>
    <s v="12 AM - 4 AM"/>
    <x v="330"/>
    <s v="Rourkela"/>
    <s v="Women"/>
    <s v="Bridal Lehenga"/>
    <s v="Manyavar"/>
    <s v="Festive"/>
    <s v="WhatsApp"/>
    <n v="1"/>
    <n v="49900"/>
    <s v="21-30%"/>
    <n v="25"/>
    <s v="Valid"/>
    <s v="Match"/>
    <n v="49900"/>
    <n v="12475"/>
    <n v="37425"/>
    <n v="33017.699999999997"/>
    <n v="4407.3"/>
    <b v="0"/>
    <n v="0"/>
    <s v="COD"/>
    <s v="Sanjay"/>
    <s v="Referral"/>
    <n v="5"/>
    <x v="6"/>
    <x v="2"/>
  </r>
  <r>
    <s v="ZAR-10026"/>
    <d v="2025-07-06T00:00:00"/>
    <s v="12 PM - 4 PM"/>
    <x v="337"/>
    <s v="Balasore"/>
    <s v="Kids"/>
    <s v="Kids Sherwani"/>
    <s v="Biba"/>
    <s v="Wedding"/>
    <s v="Phone"/>
    <n v="4"/>
    <n v="4700"/>
    <s v="21-30%"/>
    <n v="25"/>
    <s v="Valid"/>
    <s v="Match"/>
    <n v="18800"/>
    <n v="4700"/>
    <n v="14100"/>
    <n v="12549.72"/>
    <n v="1550.28"/>
    <b v="0"/>
    <n v="0"/>
    <s v="Net Banking"/>
    <s v="Priya"/>
    <s v="Google"/>
    <n v="5"/>
    <x v="0"/>
    <x v="0"/>
  </r>
  <r>
    <s v="ZAR-10652"/>
    <d v="2025-05-19T00:00:00"/>
    <s v="4 AM - 8 AM"/>
    <x v="338"/>
    <s v="Cuttack"/>
    <s v="Men"/>
    <s v="Dhoti Set"/>
    <s v="Zaree Studio"/>
    <s v="Wedding"/>
    <s v="Store"/>
    <n v="2"/>
    <n v="5250"/>
    <s v="1-10%"/>
    <n v="5"/>
    <s v="Valid"/>
    <s v="Match"/>
    <n v="10500"/>
    <n v="525"/>
    <n v="9975"/>
    <n v="7663.01"/>
    <n v="2311.9899999999998"/>
    <b v="0"/>
    <n v="0"/>
    <s v="Net Banking"/>
    <s v="Priya"/>
    <s v="Walk-in"/>
    <n v="3.5"/>
    <x v="8"/>
    <x v="2"/>
  </r>
  <r>
    <s v="ZAR-10450"/>
    <d v="2025-05-08T00:00:00"/>
    <s v="4 PM - 8 PM"/>
    <x v="339"/>
    <s v="Sambalpur"/>
    <s v="Women"/>
    <s v="Blouse"/>
    <s v="Local Artisan"/>
    <s v="Wedding Guest"/>
    <s v="Instagram"/>
    <n v="5"/>
    <n v="2750"/>
    <s v="21-30%"/>
    <n v="25"/>
    <s v="Valid"/>
    <s v="Match"/>
    <n v="13750"/>
    <n v="3437.5"/>
    <n v="10312.5"/>
    <n v="9881.2800000000007"/>
    <n v="431.22"/>
    <b v="0"/>
    <n v="0"/>
    <s v="UPI"/>
    <s v="Sanjay"/>
    <s v="WhatsApp"/>
    <n v="4"/>
    <x v="8"/>
    <x v="4"/>
  </r>
  <r>
    <s v="ZAR-10535"/>
    <d v="2025-05-18T00:00:00"/>
    <s v="4 AM - 8 AM"/>
    <x v="340"/>
    <s v="Balasore"/>
    <s v="Kids"/>
    <s v="Kids Lehenga"/>
    <s v="Zaree Studio"/>
    <s v="Casual"/>
    <s v="Store"/>
    <n v="2"/>
    <n v="8550"/>
    <s v="1-10%"/>
    <n v="10"/>
    <s v="Valid"/>
    <s v="Match"/>
    <n v="17100"/>
    <n v="1710"/>
    <n v="15390"/>
    <n v="11955.13"/>
    <n v="3434.87"/>
    <b v="0"/>
    <n v="0"/>
    <s v="UPI"/>
    <s v="Ananya"/>
    <s v="WhatsApp"/>
    <n v="4"/>
    <x v="8"/>
    <x v="0"/>
  </r>
  <r>
    <s v="ZAR-10624"/>
    <d v="2025-02-26T00:00:00"/>
    <s v="12 PM - 4 PM"/>
    <x v="341"/>
    <s v="Berhampur"/>
    <s v="Women"/>
    <s v="Saree"/>
    <s v="Rangriti"/>
    <s v="Office"/>
    <s v="Store"/>
    <n v="2"/>
    <n v="22650"/>
    <s v="11-20%"/>
    <n v="20"/>
    <s v="Valid"/>
    <s v="Match"/>
    <n v="45300"/>
    <n v="9060"/>
    <n v="36240"/>
    <n v="32195.91"/>
    <n v="4044.09"/>
    <b v="0"/>
    <n v="0"/>
    <s v="UPI"/>
    <s v="Sanjay"/>
    <s v="Referral"/>
    <n v="3.5"/>
    <x v="4"/>
    <x v="1"/>
  </r>
  <r>
    <s v="ZAR-10755"/>
    <d v="2025-07-09T00:00:00"/>
    <s v="12 AM - 4 AM"/>
    <x v="342"/>
    <s v="Berhampur"/>
    <s v="Women"/>
    <s v="Bridal Lehenga"/>
    <s v="Aurelia"/>
    <s v="Reception"/>
    <s v="Website"/>
    <n v="1"/>
    <n v="52800"/>
    <s v="21-30%"/>
    <n v="25"/>
    <s v="Valid"/>
    <s v="Match"/>
    <n v="52800"/>
    <n v="13200"/>
    <n v="39600"/>
    <n v="28512.67"/>
    <n v="11087.33"/>
    <b v="0"/>
    <n v="0"/>
    <s v="Card"/>
    <s v="Sanjay"/>
    <s v="WhatsApp"/>
    <n v="3.5"/>
    <x v="0"/>
    <x v="1"/>
  </r>
  <r>
    <s v="ZAR-10934"/>
    <d v="2025-05-01T00:00:00"/>
    <s v="8 AM - 12 PM"/>
    <x v="343"/>
    <s v="Berhampur"/>
    <s v="Kids"/>
    <s v="Kids Gown"/>
    <s v="Local Artisan"/>
    <s v="Wedding"/>
    <s v="Website"/>
    <n v="1"/>
    <n v="4750"/>
    <s v="1-10%"/>
    <n v="5"/>
    <s v="Valid"/>
    <s v="Match"/>
    <n v="4750"/>
    <n v="237.5"/>
    <n v="4512.5"/>
    <n v="2893.56"/>
    <n v="1618.94"/>
    <b v="0"/>
    <n v="0"/>
    <s v="UPI"/>
    <s v="Ananya"/>
    <s v="Instagram"/>
    <n v="4.5"/>
    <x v="8"/>
    <x v="4"/>
  </r>
  <r>
    <s v="ZAR-10340"/>
    <d v="2025-01-13T00:00:00"/>
    <s v="12 PM - 4 PM"/>
    <x v="344"/>
    <s v="Berhampur"/>
    <s v="Women"/>
    <s v="Gown"/>
    <s v="Biba"/>
    <s v="Casual"/>
    <s v="Store"/>
    <n v="2"/>
    <n v="12300"/>
    <s v="0%"/>
    <n v="0"/>
    <s v="Valid"/>
    <s v="Match"/>
    <n v="24600"/>
    <n v="0"/>
    <n v="24600"/>
    <n v="15193.71"/>
    <n v="9406.2900000000009"/>
    <b v="0"/>
    <n v="0"/>
    <s v="Cash"/>
    <s v="Rohit"/>
    <s v="Instagram"/>
    <n v="5"/>
    <x v="10"/>
    <x v="2"/>
  </r>
  <r>
    <s v="ZAR-10053"/>
    <d v="2025-03-02T00:00:00"/>
    <s v="8 PM - 12 AM"/>
    <x v="345"/>
    <s v="Cuttack"/>
    <s v="Women"/>
    <s v="Lehenga"/>
    <s v="Designer Collection"/>
    <s v="Engagement"/>
    <s v="Store"/>
    <n v="3"/>
    <n v="15550"/>
    <s v="0%"/>
    <n v="0"/>
    <s v="Valid"/>
    <s v="Match"/>
    <n v="46650"/>
    <n v="0"/>
    <n v="46650"/>
    <n v="28993.84"/>
    <n v="17656.16"/>
    <b v="0"/>
    <n v="0"/>
    <s v="Net Banking"/>
    <s v="Rohit"/>
    <s v="Google"/>
    <n v="4"/>
    <x v="9"/>
    <x v="0"/>
  </r>
  <r>
    <s v="ZAR-10669"/>
    <d v="2025-05-09T00:00:00"/>
    <s v="12 PM - 4 PM"/>
    <x v="346"/>
    <s v="Sambalpur "/>
    <s v="Women"/>
    <s v="Gown"/>
    <s v="Aurelia"/>
    <s v="Office"/>
    <s v="Store"/>
    <n v="3"/>
    <n v="2800"/>
    <s v="1-10%"/>
    <n v="10"/>
    <s v="Valid"/>
    <s v="Match"/>
    <n v="8400"/>
    <n v="840"/>
    <n v="7560"/>
    <n v="6072.36"/>
    <n v="1487.64"/>
    <b v="0"/>
    <n v="0"/>
    <s v="COD"/>
    <s v="Neha"/>
    <s v="Repeat Customer"/>
    <n v="3"/>
    <x v="8"/>
    <x v="3"/>
  </r>
  <r>
    <s v="ZAR-10520"/>
    <d v="2025-02-22T00:00:00"/>
    <s v="12 PM - 4 PM"/>
    <x v="75"/>
    <s v="Sambalpur"/>
    <s v="Men"/>
    <s v="Shirt"/>
    <s v="Aurelia"/>
    <s v="Festive"/>
    <s v="Store"/>
    <n v="2"/>
    <n v="3400"/>
    <s v="21-30%"/>
    <n v="25"/>
    <s v="Valid"/>
    <s v="Match"/>
    <n v="6800"/>
    <n v="1700"/>
    <n v="5100"/>
    <n v="4523.42"/>
    <n v="576.58000000000004"/>
    <b v="0"/>
    <n v="0"/>
    <s v="Cash"/>
    <s v="Rohit"/>
    <s v="Walk-in"/>
    <n v="4"/>
    <x v="4"/>
    <x v="5"/>
  </r>
  <r>
    <s v="ZAR-10928"/>
    <d v="2025-12-05T00:00:00"/>
    <s v="8 PM - 12 AM"/>
    <x v="347"/>
    <s v="Balasore"/>
    <s v="Women"/>
    <s v="Lehenga"/>
    <s v="Biba"/>
    <s v="Reception"/>
    <s v="WhatsApp"/>
    <n v="1"/>
    <n v="44950"/>
    <s v="21-30%"/>
    <n v="30"/>
    <s v="Valid"/>
    <s v="Match"/>
    <n v="44950"/>
    <n v="13485"/>
    <n v="31465"/>
    <n v="27111.3"/>
    <n v="4353.7"/>
    <b v="0"/>
    <n v="0"/>
    <s v="Net Banking"/>
    <s v="Rohit"/>
    <s v="Instagram"/>
    <n v="4"/>
    <x v="1"/>
    <x v="3"/>
  </r>
  <r>
    <s v="ZAR-10638"/>
    <d v="2025-09-05T00:00:00"/>
    <s v="4 AM - 8 AM"/>
    <x v="51"/>
    <s v="Sambalpur"/>
    <s v="Women"/>
    <s v="Blouse"/>
    <s v="Aurelia"/>
    <s v="Office"/>
    <s v="WhatsApp"/>
    <n v="4"/>
    <n v="4950"/>
    <s v="30%+"/>
    <s v="10"/>
    <s v="Invalid Discount"/>
    <s v="Match"/>
    <n v="19800"/>
    <n v="1980"/>
    <n v="17820"/>
    <n v="13661.64"/>
    <n v="4158.3599999999997"/>
    <b v="0"/>
    <n v="0"/>
    <s v="Card"/>
    <s v="Karan"/>
    <s v="Not Recorded"/>
    <n v="4.5"/>
    <x v="11"/>
    <x v="3"/>
  </r>
  <r>
    <s v="ZAR-10266"/>
    <d v="2025-11-02T00:00:00"/>
    <s v="4 PM - 8 PM"/>
    <x v="348"/>
    <s v="Cuttack"/>
    <s v="Men"/>
    <s v="Dhoti Set"/>
    <s v="Local Artisan"/>
    <s v="Festive"/>
    <s v="Store"/>
    <n v="2"/>
    <n v="3200"/>
    <s v="1-10%"/>
    <n v="10"/>
    <s v="Valid"/>
    <s v="Match"/>
    <n v="6400"/>
    <n v="640"/>
    <n v="5760"/>
    <n v="4626.67"/>
    <n v="1133.33"/>
    <b v="0"/>
    <n v="0"/>
    <s v="Card"/>
    <s v="Neha"/>
    <s v="Instagram"/>
    <s v="Not Rated"/>
    <x v="5"/>
    <x v="0"/>
  </r>
  <r>
    <s v="ZAR-10541"/>
    <d v="2025-06-16T00:00:00"/>
    <s v="8 PM - 12 AM"/>
    <x v="349"/>
    <s v="Cuttack"/>
    <s v="Women"/>
    <s v="Gown"/>
    <s v="FabIndia"/>
    <s v="Puja"/>
    <s v="Instagram"/>
    <n v="1"/>
    <n v="2700"/>
    <s v="0%"/>
    <n v="0"/>
    <s v="Valid"/>
    <s v="Match"/>
    <n v="2700"/>
    <n v="0"/>
    <n v="2700"/>
    <n v="1979.94"/>
    <n v="720.06"/>
    <b v="0"/>
    <n v="0"/>
    <s v="Net Banking"/>
    <s v="Sanjay"/>
    <s v="WhatsApp"/>
    <n v="3"/>
    <x v="2"/>
    <x v="2"/>
  </r>
  <r>
    <s v="ZAR-10717"/>
    <d v="2025-01-08T00:00:00"/>
    <s v="4 AM - 8 AM"/>
    <x v="350"/>
    <s v="Sambalpur"/>
    <s v="Women"/>
    <s v="Lehenga"/>
    <s v="Local Artisan"/>
    <s v="Engagement"/>
    <s v="Website"/>
    <n v="2"/>
    <n v="20300"/>
    <s v="1-10%"/>
    <n v="5"/>
    <s v="Valid"/>
    <s v="Match"/>
    <n v="40600"/>
    <n v="2030"/>
    <n v="38570"/>
    <n v="24193.16"/>
    <n v="14376.84"/>
    <b v="0"/>
    <n v="0"/>
    <s v="Cash"/>
    <s v="Neha"/>
    <s v="Repeat Customer"/>
    <n v="4"/>
    <x v="10"/>
    <x v="1"/>
  </r>
  <r>
    <s v="ZAR-10961"/>
    <d v="2025-10-23T00:00:00"/>
    <s v="4 AM - 8 AM"/>
    <x v="351"/>
    <s v="Balasore"/>
    <s v="Women"/>
    <s v="Lehenga"/>
    <s v="Zaree Studio"/>
    <s v="Reception"/>
    <s v="Instagram"/>
    <n v="1"/>
    <n v="22400"/>
    <s v="1-10%"/>
    <n v="10"/>
    <s v="Valid"/>
    <s v="Match"/>
    <n v="22400"/>
    <n v="2240"/>
    <n v="20160"/>
    <n v="15054.73"/>
    <n v="5105.2700000000004"/>
    <b v="0"/>
    <n v="0"/>
    <s v="Card"/>
    <s v="Rohit"/>
    <s v="WhatsApp"/>
    <n v="3.5"/>
    <x v="3"/>
    <x v="4"/>
  </r>
  <r>
    <s v="ZAR-10954"/>
    <d v="2025-12-07T00:00:00"/>
    <s v="4 AM - 8 AM"/>
    <x v="352"/>
    <s v="Sambalpur"/>
    <s v="Women"/>
    <s v="Dupatta"/>
    <s v="Local Artisan"/>
    <s v="Office"/>
    <s v="Website"/>
    <n v="3"/>
    <n v="1800"/>
    <s v="0%"/>
    <n v="0"/>
    <s v="Valid"/>
    <s v="Match"/>
    <n v="5400"/>
    <n v="0"/>
    <n v="5400"/>
    <n v="3923.59"/>
    <n v="1476.41"/>
    <b v="0"/>
    <n v="0"/>
    <s v="UPI"/>
    <s v="Neha"/>
    <s v="Referral"/>
    <n v="4"/>
    <x v="1"/>
    <x v="0"/>
  </r>
  <r>
    <s v="ZAR-10881"/>
    <d v="2025-09-12T00:00:00"/>
    <s v="12 PM - 4 PM"/>
    <x v="353"/>
    <s v="Rourkela"/>
    <s v="Men"/>
    <s v="Kurta Pajama"/>
    <s v="Rangriti"/>
    <s v="Festive"/>
    <s v="Store"/>
    <n v="1"/>
    <n v="2900"/>
    <s v="11-20%"/>
    <n v="15"/>
    <s v="Valid"/>
    <s v="Match"/>
    <n v="2900"/>
    <n v="435"/>
    <n v="2465"/>
    <n v="1527.07"/>
    <n v="937.93"/>
    <b v="0"/>
    <n v="0"/>
    <s v="Cash"/>
    <s v="Karan"/>
    <s v="Referral"/>
    <n v="5"/>
    <x v="11"/>
    <x v="3"/>
  </r>
  <r>
    <s v="ZAR-10451"/>
    <d v="2025-02-28T00:00:00"/>
    <s v="8 PM - 12 AM"/>
    <x v="354"/>
    <s v="Cuttack"/>
    <s v="Men"/>
    <s v="Nehru Jacket"/>
    <s v="Biba"/>
    <s v="Festive"/>
    <s v="WhatsApp"/>
    <n v="2"/>
    <n v="3850"/>
    <s v="21-30%"/>
    <n v="30"/>
    <s v="Valid"/>
    <s v="Match"/>
    <n v="7700"/>
    <n v="2310"/>
    <n v="5390"/>
    <n v="4856.84"/>
    <n v="533.16"/>
    <b v="0"/>
    <n v="0"/>
    <s v="Cash"/>
    <s v="Neha"/>
    <s v="WhatsApp"/>
    <n v="3"/>
    <x v="4"/>
    <x v="3"/>
  </r>
  <r>
    <s v="ZAR-10020"/>
    <d v="2025-05-20T00:00:00"/>
    <s v="8 AM - 12 PM"/>
    <x v="116"/>
    <s v="Cuttack"/>
    <s v="Women"/>
    <s v="Saree"/>
    <s v="Biba"/>
    <s v="Reception"/>
    <s v="WhatsApp"/>
    <n v="3"/>
    <n v="10600"/>
    <s v="21-30%"/>
    <n v="25"/>
    <s v="Valid"/>
    <s v="Match"/>
    <n v="31800"/>
    <n v="7950"/>
    <n v="23850"/>
    <n v="20406.349999999999"/>
    <n v="3443.65"/>
    <b v="0"/>
    <n v="0"/>
    <s v="UPI"/>
    <s v="Ananya"/>
    <s v="WhatsApp"/>
    <n v="4"/>
    <x v="8"/>
    <x v="6"/>
  </r>
  <r>
    <s v=" ZAR-10722 "/>
    <d v="2025-04-11T00:00:00"/>
    <s v="12 PM - 4 PM"/>
    <x v="355"/>
    <s v="Berhampur"/>
    <s v="Women"/>
    <s v="Kurti"/>
    <s v="Biba"/>
    <s v="Office"/>
    <s v="Store"/>
    <n v="1"/>
    <n v="2150"/>
    <s v="21-30%"/>
    <n v="25"/>
    <s v="Valid"/>
    <s v="Match"/>
    <n v="2150"/>
    <n v="537.5"/>
    <n v="1612.5"/>
    <n v="1588.84"/>
    <n v="23.66"/>
    <b v="0"/>
    <n v="0"/>
    <s v="COD"/>
    <s v="Ananya"/>
    <s v="Repeat Customer"/>
    <n v="3"/>
    <x v="7"/>
    <x v="3"/>
  </r>
  <r>
    <s v="ZAR-10487"/>
    <d v="2025-09-10T00:00:00"/>
    <s v="8 PM - 12 AM"/>
    <x v="356"/>
    <s v="Berhampur"/>
    <s v="Men"/>
    <s v="Shirt"/>
    <s v="Biba"/>
    <s v="Family Function"/>
    <s v="Store"/>
    <n v="5"/>
    <n v="1500"/>
    <s v="1-10%"/>
    <n v="10"/>
    <s v="Valid"/>
    <s v="Match"/>
    <n v="7500"/>
    <n v="750"/>
    <n v="6750"/>
    <n v="3960.71"/>
    <n v="2789.29"/>
    <b v="0"/>
    <n v="0"/>
    <s v="COD"/>
    <s v="Neha"/>
    <s v="Google"/>
    <n v="3"/>
    <x v="11"/>
    <x v="1"/>
  </r>
  <r>
    <s v="ZAR-10572"/>
    <d v="2025-05-17T00:00:00"/>
    <s v="12 AM - 4 AM"/>
    <x v="357"/>
    <s v="Rourkela"/>
    <s v="Men"/>
    <s v="Sherwani"/>
    <s v="Local Artisan"/>
    <s v="Reception"/>
    <s v="Instagram"/>
    <n v="1"/>
    <n v="13100"/>
    <s v="11-20%"/>
    <n v="15"/>
    <s v="Valid"/>
    <s v="Match"/>
    <n v="13100"/>
    <n v="1965"/>
    <n v="11135"/>
    <n v="9577.85"/>
    <n v="1557.15"/>
    <b v="0"/>
    <n v="0"/>
    <s v="COD"/>
    <s v="Karan"/>
    <s v="WhatsApp"/>
    <n v="4"/>
    <x v="8"/>
    <x v="5"/>
  </r>
  <r>
    <s v="ZAR-10066"/>
    <d v="2025-03-11T00:00:00"/>
    <s v="12 PM - 4 PM"/>
    <x v="174"/>
    <s v="Sambalpur"/>
    <s v="Women"/>
    <s v="Bridal Lehenga"/>
    <s v="Manyavar"/>
    <s v="Festive"/>
    <s v="Instagram"/>
    <n v="1"/>
    <n v="119250"/>
    <s v="1-10%"/>
    <n v="10"/>
    <s v="Valid"/>
    <s v="Match"/>
    <n v="119250"/>
    <n v="11925"/>
    <n v="107325"/>
    <n v="85287.25"/>
    <n v="22037.75"/>
    <b v="0"/>
    <n v="0"/>
    <s v="Net Banking"/>
    <s v="Karan"/>
    <s v="Instagram"/>
    <n v="4.5"/>
    <x v="9"/>
    <x v="6"/>
  </r>
  <r>
    <s v="ZAR-10369"/>
    <d v="2025-06-05T00:00:00"/>
    <s v="12 PM - 4 PM"/>
    <x v="107"/>
    <s v="Balasore"/>
    <s v="Men"/>
    <s v="Indo-Western"/>
    <s v="FabIndia"/>
    <s v="Wedding"/>
    <s v="Phone"/>
    <n v="1"/>
    <n v="5700"/>
    <s v="1-10%"/>
    <n v="10"/>
    <s v="Valid"/>
    <s v="Match"/>
    <n v="5700"/>
    <n v="570"/>
    <n v="5130"/>
    <n v="3382.13"/>
    <n v="1747.87"/>
    <b v="0"/>
    <n v="0"/>
    <s v="UPI"/>
    <s v="Meera"/>
    <s v="Google"/>
    <n v="4.5"/>
    <x v="2"/>
    <x v="4"/>
  </r>
  <r>
    <s v="ZAR-10085"/>
    <d v="2025-11-27T00:00:00"/>
    <s v="4 AM - 8 AM"/>
    <x v="358"/>
    <s v="Cuttack"/>
    <s v="Women"/>
    <s v="Bridal Lehenga"/>
    <s v="Biba"/>
    <s v="Reception"/>
    <s v="WhatsApp"/>
    <n v="1"/>
    <n v="66200"/>
    <s v="21-30%"/>
    <n v="25"/>
    <s v="Valid"/>
    <s v="Match"/>
    <n v="66200"/>
    <n v="16550"/>
    <n v="49650"/>
    <n v="35652.17"/>
    <n v="13997.83"/>
    <b v="0"/>
    <n v="0"/>
    <s v="Net Banking"/>
    <s v="Sanjay"/>
    <s v="Referral"/>
    <n v="4"/>
    <x v="5"/>
    <x v="4"/>
  </r>
  <r>
    <s v="ZAR-10063"/>
    <d v="2025-06-01T00:00:00"/>
    <s v="8 AM - 12 PM"/>
    <x v="359"/>
    <s v="Rourkela"/>
    <s v="Women"/>
    <s v="Blouse"/>
    <s v="Biba"/>
    <s v="Puja"/>
    <s v="Store"/>
    <n v="1"/>
    <n v="1100"/>
    <s v="30%+"/>
    <n v="55"/>
    <s v="Valid"/>
    <s v="Mismatch"/>
    <n v="1100"/>
    <n v="55"/>
    <n v="1045"/>
    <n v="593.80999999999995"/>
    <n v="451.19"/>
    <b v="0"/>
    <n v="0"/>
    <s v="Card"/>
    <s v="Priya"/>
    <s v="Google"/>
    <n v="4"/>
    <x v="2"/>
    <x v="0"/>
  </r>
  <r>
    <s v="ZAR-10441"/>
    <d v="2025-08-10T00:00:00"/>
    <s v="4 AM - 8 AM"/>
    <x v="360"/>
    <s v="Bhubaneshwar"/>
    <s v="Women"/>
    <s v="Gown"/>
    <s v="FabIndia"/>
    <s v="Casual"/>
    <s v="Store"/>
    <n v="1"/>
    <n v="13450"/>
    <s v="1-10%"/>
    <n v="10"/>
    <s v="Valid"/>
    <s v="Match"/>
    <n v="13450"/>
    <n v="1345"/>
    <n v="12105"/>
    <n v="9095.65"/>
    <n v="3009.35"/>
    <b v="0"/>
    <n v="0"/>
    <s v="Net Banking"/>
    <s v="Priya"/>
    <s v="Referral"/>
    <n v="4"/>
    <x v="6"/>
    <x v="0"/>
  </r>
  <r>
    <s v="ZAR-10274"/>
    <d v="2025-12-27T00:00:00"/>
    <s v="12 AM - 4 AM"/>
    <x v="361"/>
    <s v="Bhubaneshwar"/>
    <s v="Men"/>
    <s v="Nehru Jacket"/>
    <s v="Biba"/>
    <s v="Wedding"/>
    <s v="Store"/>
    <n v="1"/>
    <n v="5600"/>
    <s v="1-10%"/>
    <n v="5"/>
    <s v="Valid"/>
    <s v="Match"/>
    <n v="5600"/>
    <n v="280"/>
    <n v="5320"/>
    <n v="3549.86"/>
    <n v="1770.14"/>
    <b v="0"/>
    <n v="0"/>
    <s v="Card"/>
    <s v="Neha"/>
    <s v="Walk-in"/>
    <n v="4"/>
    <x v="1"/>
    <x v="5"/>
  </r>
  <r>
    <s v="ZAR-10287"/>
    <d v="2025-08-31T00:00:00"/>
    <s v="4 PM - 8 PM"/>
    <x v="362"/>
    <s v="Bhubaneshwar"/>
    <s v="Men"/>
    <s v="Kurta Pajama"/>
    <s v="Biba"/>
    <s v="Festive"/>
    <s v="WhatsApp"/>
    <n v="1"/>
    <m/>
    <s v="0%"/>
    <n v="0"/>
    <s v="Valid"/>
    <s v="Match"/>
    <n v="2600"/>
    <n v="0"/>
    <n v="2600"/>
    <n v="1887.85"/>
    <n v="712.15"/>
    <b v="0"/>
    <n v="0"/>
    <s v="COD"/>
    <s v="Rohit"/>
    <s v="Instagram"/>
    <n v="3"/>
    <x v="6"/>
    <x v="0"/>
  </r>
  <r>
    <s v="ZAR-10362"/>
    <d v="2025-06-11T00:00:00"/>
    <s v="4 PM - 8 PM"/>
    <x v="363"/>
    <s v="Bhubaneshwar"/>
    <s v="Women"/>
    <s v="Dupatta"/>
    <s v="Biba"/>
    <s v="Office"/>
    <s v="Store"/>
    <n v="3"/>
    <n v="550"/>
    <s v="11-20%"/>
    <n v="15"/>
    <s v="Valid"/>
    <s v="Match"/>
    <n v="1650"/>
    <n v="247.5"/>
    <n v="1402.5"/>
    <n v="996.67"/>
    <n v="405.83"/>
    <b v="0"/>
    <n v="0"/>
    <s v="Cash"/>
    <s v="Priya"/>
    <s v="Referral"/>
    <n v="4"/>
    <x v="2"/>
    <x v="1"/>
  </r>
  <r>
    <s v="ZAR-10356"/>
    <d v="2025-09-27T00:00:00"/>
    <s v="8 AM - 12 PM"/>
    <x v="364"/>
    <s v="Berhampur"/>
    <s v="Women"/>
    <s v="Gown"/>
    <s v="Rangriti"/>
    <s v="Wedding Guest"/>
    <s v="Walk-in"/>
    <n v="1"/>
    <n v="3900"/>
    <s v="21-30%"/>
    <n v="25"/>
    <s v="Valid"/>
    <s v="Match"/>
    <n v="3900"/>
    <n v="975"/>
    <n v="2925"/>
    <n v="2096.69"/>
    <n v="828.31"/>
    <b v="0"/>
    <n v="0"/>
    <s v="COD"/>
    <s v="Meera"/>
    <s v="Repeat Customer"/>
    <n v="3.5"/>
    <x v="11"/>
    <x v="5"/>
  </r>
  <r>
    <s v=" ZAR-10996 "/>
    <d v="2025-05-26T00:00:00"/>
    <s v="4 PM - 8 PM"/>
    <x v="280"/>
    <s v="Balasore"/>
    <s v="Women"/>
    <s v="Bridal Lehenga"/>
    <s v="FabIndia"/>
    <s v="Reception"/>
    <s v="Website"/>
    <n v="1"/>
    <n v="44150"/>
    <s v="11-20%"/>
    <n v="15"/>
    <s v="Valid"/>
    <s v="Match"/>
    <n v="44150"/>
    <n v="6622.5"/>
    <n v="37527.5"/>
    <n v="25521.14"/>
    <n v="12006.36"/>
    <b v="0"/>
    <n v="0"/>
    <s v="COD"/>
    <s v="Meera"/>
    <s v="Referral"/>
    <n v="4"/>
    <x v="8"/>
    <x v="2"/>
  </r>
  <r>
    <s v="ZAR-10280"/>
    <d v="2025-12-24T00:00:00"/>
    <s v="4 PM - 8 PM"/>
    <x v="365"/>
    <s v="Sambalpur"/>
    <s v="Women"/>
    <s v="Dupatta"/>
    <s v="Rangriti"/>
    <s v="Festive"/>
    <s v="Instagram"/>
    <n v="2"/>
    <n v="4350"/>
    <s v="11-20%"/>
    <n v="15"/>
    <s v="Valid"/>
    <s v="Match"/>
    <n v="8700"/>
    <n v="1305"/>
    <n v="7395"/>
    <n v="6393.03"/>
    <n v="1001.97"/>
    <b v="0"/>
    <n v="0"/>
    <s v="Cash"/>
    <s v="Priya"/>
    <s v="Repeat Customer"/>
    <n v="4"/>
    <x v="1"/>
    <x v="1"/>
  </r>
  <r>
    <s v="ZAR-10014"/>
    <d v="2025-11-27T00:00:00"/>
    <s v="12 AM - 4 AM"/>
    <x v="366"/>
    <s v="Rourkela"/>
    <s v="Women"/>
    <s v="Dupatta"/>
    <s v="Manyavar"/>
    <s v="Wedding Guest"/>
    <s v="WhatsApp"/>
    <n v="2"/>
    <n v="2600"/>
    <s v="21-30%"/>
    <n v="25"/>
    <s v="Valid"/>
    <s v="Match"/>
    <n v="5200"/>
    <n v="1300"/>
    <n v="3900"/>
    <n v="3451.55"/>
    <n v="448.45"/>
    <b v="0"/>
    <n v="0"/>
    <s v="Net Banking"/>
    <s v="Rohit"/>
    <s v="Referral"/>
    <n v="4"/>
    <x v="5"/>
    <x v="4"/>
  </r>
  <r>
    <s v="ZAR-10184"/>
    <d v="2025-06-05T00:00:00"/>
    <s v="12 AM - 4 AM"/>
    <x v="31"/>
    <s v="Rourkela"/>
    <s v="Women"/>
    <s v="Blouse"/>
    <s v="FabIndia"/>
    <s v="Reception"/>
    <s v="Store"/>
    <n v="2"/>
    <n v="7000"/>
    <s v="21-30%"/>
    <n v="25"/>
    <s v="Valid"/>
    <s v="Match"/>
    <n v="14000"/>
    <n v="3500"/>
    <n v="10500"/>
    <n v="10053.370000000001"/>
    <n v="446.63"/>
    <b v="0"/>
    <n v="0"/>
    <s v="UPI"/>
    <s v="Meera"/>
    <s v="WhatsApp"/>
    <n v="5"/>
    <x v="8"/>
    <x v="6"/>
  </r>
  <r>
    <s v="ZAR-10370"/>
    <d v="2025-12-05T00:00:00"/>
    <s v="4 AM - 8 AM"/>
    <x v="367"/>
    <s v="Balasore"/>
    <s v="Men"/>
    <s v="Nehru Jacket"/>
    <s v="Rangriti"/>
    <s v="Wedding"/>
    <s v="Store"/>
    <n v="1"/>
    <n v="5500"/>
    <s v="0%"/>
    <n v="0"/>
    <s v="Valid"/>
    <s v="Match"/>
    <n v="5500"/>
    <n v="0"/>
    <n v="5500"/>
    <n v="4030.69"/>
    <n v="1469.31"/>
    <b v="0"/>
    <n v="0"/>
    <s v="Net Banking"/>
    <s v="Karan"/>
    <s v="Walk-in"/>
    <n v="4"/>
    <x v="1"/>
    <x v="3"/>
  </r>
  <r>
    <s v="ZAR-10496"/>
    <d v="2025-08-29T00:00:00"/>
    <s v="8 AM - 12 PM"/>
    <x v="116"/>
    <s v="Sambalpur"/>
    <s v="Women"/>
    <s v="Gown"/>
    <s v="Manyavar"/>
    <s v="Puja"/>
    <s v="Walk-in"/>
    <n v="3"/>
    <n v="6400"/>
    <s v="21-30%"/>
    <n v="30"/>
    <s v="Valid"/>
    <s v="Match"/>
    <n v="19200"/>
    <n v="5760"/>
    <n v="13440"/>
    <n v="10599.12"/>
    <n v="2840.88"/>
    <b v="0"/>
    <n v="0"/>
    <s v="UPI"/>
    <s v="Rohit"/>
    <s v="Repeat Customer"/>
    <n v="4.5"/>
    <x v="6"/>
    <x v="3"/>
  </r>
  <r>
    <s v="ZAR-10803"/>
    <d v="2025-05-04T00:00:00"/>
    <s v="8 PM - 12 AM"/>
    <x v="368"/>
    <s v="Puri"/>
    <s v="Women"/>
    <s v="Lehenga"/>
    <s v="Rangriti"/>
    <s v="Wedding"/>
    <s v="WhatsApp"/>
    <n v="2"/>
    <n v="10350"/>
    <s v="11-20%"/>
    <n v="20"/>
    <s v="Valid"/>
    <s v="Match"/>
    <n v="20700"/>
    <n v="4140"/>
    <n v="16560"/>
    <n v="14703.6"/>
    <n v="1856.4"/>
    <b v="0"/>
    <n v="0"/>
    <s v="Cash"/>
    <s v="Meera"/>
    <s v="WhatsApp"/>
    <n v="5"/>
    <x v="8"/>
    <x v="0"/>
  </r>
  <r>
    <s v="ZAR-10225"/>
    <d v="2025-01-25T00:00:00"/>
    <s v="8 PM - 12 AM"/>
    <x v="369"/>
    <s v="Rourkela"/>
    <s v="Men"/>
    <s v="Dhoti Set"/>
    <s v="Aurelia"/>
    <s v="Wedding"/>
    <s v="Store"/>
    <n v="2"/>
    <n v="6950"/>
    <s v="21-30%"/>
    <n v="25"/>
    <s v="Valid"/>
    <s v="Match"/>
    <n v="13900"/>
    <n v="3475"/>
    <n v="10425"/>
    <n v="9784.85"/>
    <n v="640.15"/>
    <b v="0"/>
    <n v="0"/>
    <s v="UPI"/>
    <s v="Priya"/>
    <s v="Google"/>
    <n v="4"/>
    <x v="10"/>
    <x v="5"/>
  </r>
  <r>
    <s v="ZAR-10577"/>
    <d v="2025-01-01T00:00:00"/>
    <s v="12 AM - 4 AM"/>
    <x v="370"/>
    <s v="Balasore"/>
    <s v="Women"/>
    <s v="Gown"/>
    <s v="Rangriti"/>
    <s v="Office"/>
    <s v="Store"/>
    <n v="1"/>
    <n v="11400"/>
    <s v="0%"/>
    <n v="0"/>
    <s v="Valid"/>
    <s v="Match"/>
    <n v="11400"/>
    <n v="0"/>
    <n v="11400"/>
    <n v="6383.83"/>
    <n v="5016.17"/>
    <b v="0"/>
    <n v="0"/>
    <s v="Net Banking"/>
    <s v="Rohit"/>
    <s v="Referral"/>
    <n v="4.5"/>
    <x v="10"/>
    <x v="1"/>
  </r>
  <r>
    <s v="ZAR-10705"/>
    <d v="2025-06-30T00:00:00"/>
    <s v="12 AM - 4 AM"/>
    <x v="31"/>
    <s v="Balasore"/>
    <s v="Kids"/>
    <s v="Kids Lehenga"/>
    <s v="Local Artisan"/>
    <s v="Casual"/>
    <s v="Store"/>
    <n v="1"/>
    <n v="10100"/>
    <s v="21-30%"/>
    <n v="25"/>
    <s v="Valid"/>
    <s v="Match"/>
    <n v="10100"/>
    <n v="2525"/>
    <n v="7575"/>
    <n v="5992.57"/>
    <n v="1582.43"/>
    <b v="0"/>
    <n v="0"/>
    <s v="Card"/>
    <s v="Priya"/>
    <s v="Walk-in"/>
    <n v="3.5"/>
    <x v="2"/>
    <x v="2"/>
  </r>
  <r>
    <s v="ZAR-10589"/>
    <d v="2025-01-29T00:00:00"/>
    <s v="4 PM - 8 PM"/>
    <x v="57"/>
    <s v="Sambalpur"/>
    <s v="Women"/>
    <s v="Blouse"/>
    <s v="Biba"/>
    <s v="Wedding Guest"/>
    <s v="Instagram"/>
    <n v="1"/>
    <n v="5850"/>
    <s v="11-20%"/>
    <n v="15"/>
    <s v="Valid"/>
    <s v="Match"/>
    <n v="5850"/>
    <n v="877.5"/>
    <n v="4972.5"/>
    <n v="3240.86"/>
    <n v="1731.64"/>
    <b v="0"/>
    <n v="0"/>
    <s v="UPI"/>
    <s v="Neha"/>
    <s v="Google"/>
    <n v="3"/>
    <x v="10"/>
    <x v="1"/>
  </r>
  <r>
    <s v="ZAR-10549"/>
    <d v="2025-12-04T00:00:00"/>
    <s v="4 AM - 8 AM"/>
    <x v="87"/>
    <s v="Berhampur"/>
    <s v="Women"/>
    <s v="Saree"/>
    <s v="Local Artisan"/>
    <s v="Casual"/>
    <s v="Walk-in"/>
    <n v="2"/>
    <m/>
    <s v="1-10%"/>
    <n v="10"/>
    <s v="Valid"/>
    <s v="Match"/>
    <n v="60500"/>
    <n v="6050"/>
    <n v="54450"/>
    <n v="44562.22"/>
    <n v="9887.7800000000007"/>
    <b v="0"/>
    <n v="0"/>
    <s v="Net Banking"/>
    <s v="Ananya"/>
    <s v="Repeat Customer"/>
    <n v="4"/>
    <x v="1"/>
    <x v="4"/>
  </r>
  <r>
    <s v="ZAR-10677"/>
    <d v="2025-03-14T00:00:00"/>
    <s v="12 AM - 4 AM"/>
    <x v="371"/>
    <s v="Balasore"/>
    <s v="Kids"/>
    <s v="Kids Sherwani"/>
    <s v="Designer Collection"/>
    <s v="Wedding"/>
    <s v="Store"/>
    <n v="2"/>
    <n v="2750"/>
    <s v="1-10%"/>
    <n v="5"/>
    <s v="Valid"/>
    <s v="Match"/>
    <n v="5500"/>
    <n v="275"/>
    <n v="5225"/>
    <n v="3008.53"/>
    <n v="2216.4699999999998"/>
    <b v="0"/>
    <n v="0"/>
    <s v="UPI"/>
    <s v="Priya"/>
    <s v="Referral"/>
    <n v="3"/>
    <x v="9"/>
    <x v="3"/>
  </r>
  <r>
    <s v="ZAR-10758"/>
    <d v="2025-01-21T00:00:00"/>
    <s v="8 AM - 12 PM"/>
    <x v="146"/>
    <s v="Balasore"/>
    <s v="Women"/>
    <s v="Bridal Lehenga"/>
    <s v="Rangriti"/>
    <s v="Festive"/>
    <s v="Phone"/>
    <n v="1"/>
    <n v="64900"/>
    <s v="11-20%"/>
    <n v="15"/>
    <s v="Valid"/>
    <s v="Match"/>
    <n v="64900"/>
    <n v="9735"/>
    <n v="55165"/>
    <n v="45574.58"/>
    <n v="9590.42"/>
    <b v="0"/>
    <n v="0"/>
    <s v="UPI"/>
    <s v="Rohit"/>
    <s v="Referral"/>
    <n v="4"/>
    <x v="10"/>
    <x v="6"/>
  </r>
  <r>
    <s v="ZAR-10178"/>
    <d v="2025-11-21T00:00:00"/>
    <s v="8 PM - 12 AM"/>
    <x v="372"/>
    <s v="Balasore"/>
    <s v="Women"/>
    <s v="Kurti"/>
    <s v="Zaree Studio"/>
    <s v="Reception"/>
    <s v="Store"/>
    <n v="1"/>
    <n v="4400"/>
    <s v="1-10%"/>
    <n v="10"/>
    <s v="Valid"/>
    <s v="Match"/>
    <n v="4400"/>
    <n v="440"/>
    <n v="3960"/>
    <n v="2666.23"/>
    <n v="1293.77"/>
    <b v="0"/>
    <n v="0"/>
    <s v="Card"/>
    <s v="Ananya"/>
    <s v="Google"/>
    <n v="3.5"/>
    <x v="5"/>
    <x v="3"/>
  </r>
  <r>
    <s v=" ZAR-10671 "/>
    <d v="2025-01-19T00:00:00"/>
    <s v="8 AM - 12 PM"/>
    <x v="48"/>
    <s v="Rourkela"/>
    <s v="Women"/>
    <s v="Bridal Lehenga"/>
    <s v="Manyavar"/>
    <s v="Wedding"/>
    <s v="IG"/>
    <n v="2"/>
    <n v="43200"/>
    <s v="21-30%"/>
    <n v="25"/>
    <s v="Valid"/>
    <s v="Match"/>
    <n v="86400"/>
    <n v="21600"/>
    <n v="64800"/>
    <n v="60799.75"/>
    <n v="4000.25"/>
    <b v="0"/>
    <n v="0"/>
    <s v="Cash"/>
    <s v="Karan"/>
    <s v="Instagram"/>
    <n v="4.5"/>
    <x v="10"/>
    <x v="0"/>
  </r>
  <r>
    <s v="ZAR-10633"/>
    <d v="2025-10-30T00:00:00"/>
    <s v="12 PM - 4 PM"/>
    <x v="373"/>
    <s v="Berhampur"/>
    <s v="Women"/>
    <s v="Salwar Suit"/>
    <s v="Designer Collection"/>
    <s v="Puja"/>
    <s v="Store"/>
    <n v="1"/>
    <n v="4850"/>
    <s v="1-10%"/>
    <n v="5"/>
    <s v="Valid"/>
    <s v="Match"/>
    <n v="4850"/>
    <n v="242.5"/>
    <n v="4607.5"/>
    <n v="3163.73"/>
    <n v="1443.77"/>
    <b v="0"/>
    <n v="0"/>
    <s v="Cash"/>
    <s v="Rohit"/>
    <s v="Google"/>
    <n v="3"/>
    <x v="3"/>
    <x v="4"/>
  </r>
  <r>
    <s v="ZAR-10591"/>
    <d v="2025-02-13T00:00:00"/>
    <s v="12 AM - 4 AM"/>
    <x v="53"/>
    <s v="Cuttack"/>
    <s v="Kids"/>
    <s v="Kids Saree"/>
    <s v="Local Artisan"/>
    <s v="Casual"/>
    <s v="Store"/>
    <n v="2"/>
    <n v="1850"/>
    <s v="0%"/>
    <n v="0"/>
    <s v="Valid"/>
    <s v="Match"/>
    <n v="3700"/>
    <n v="0"/>
    <n v="3700"/>
    <n v="2217.44"/>
    <n v="1482.56"/>
    <b v="0"/>
    <n v="0"/>
    <s v="Card"/>
    <s v="Karan"/>
    <s v="WhatsApp"/>
    <n v="5"/>
    <x v="4"/>
    <x v="4"/>
  </r>
  <r>
    <s v="ZAR-10524"/>
    <d v="2025-03-31T00:00:00"/>
    <s v="8 PM - 12 AM"/>
    <x v="374"/>
    <s v="Balasore"/>
    <s v="Women"/>
    <s v="Dupatta"/>
    <s v="Local Artisan"/>
    <s v="Casual"/>
    <s v="Store"/>
    <n v="0"/>
    <n v="3550"/>
    <s v="21-30%"/>
    <n v="25"/>
    <s v="Valid"/>
    <s v="Match"/>
    <n v="14200"/>
    <n v="3550"/>
    <n v="10650"/>
    <n v="7799.28"/>
    <n v="2850.72"/>
    <b v="0"/>
    <n v="0"/>
    <s v="COD"/>
    <s v="Karan"/>
    <s v="WhatsApp"/>
    <n v="4"/>
    <x v="9"/>
    <x v="2"/>
  </r>
  <r>
    <s v="ZAR-10395"/>
    <d v="2025-10-21T00:00:00"/>
    <s v="8 PM - 12 AM"/>
    <x v="375"/>
    <s v="Puri"/>
    <s v="Men"/>
    <s v="Nehru Jacket"/>
    <s v="Designer Collection"/>
    <s v="Family Function"/>
    <s v="Instagram"/>
    <n v="1"/>
    <n v="4500"/>
    <s v="21-30%"/>
    <n v="30"/>
    <s v="Valid"/>
    <s v="Match"/>
    <n v="4500"/>
    <n v="1350"/>
    <n v="3150"/>
    <n v="3310.88"/>
    <n v="-160.88"/>
    <b v="1"/>
    <n v="160.88"/>
    <s v="UPI"/>
    <s v="Rohit"/>
    <s v="WhatsApp"/>
    <s v="Not Rated"/>
    <x v="3"/>
    <x v="6"/>
  </r>
  <r>
    <s v="ZAR-10165"/>
    <d v="2025-10-07T00:00:00"/>
    <s v="4 AM - 8 AM"/>
    <x v="376"/>
    <s v="Bhubaneshwar"/>
    <s v="Men"/>
    <s v="Nehru Jacket"/>
    <s v="Zaree Studio"/>
    <s v="Casual"/>
    <s v="WhatsApp"/>
    <n v="2"/>
    <n v="4900"/>
    <s v="21-30%"/>
    <n v="30"/>
    <s v="Valid"/>
    <s v="Match"/>
    <n v="9800"/>
    <n v="2940"/>
    <n v="6860"/>
    <n v="6646.12"/>
    <n v="213.88"/>
    <b v="0"/>
    <n v="0"/>
    <s v="Net Banking"/>
    <s v="Priya"/>
    <s v="Referral"/>
    <n v="4"/>
    <x v="3"/>
    <x v="6"/>
  </r>
  <r>
    <s v="ZAR-10250"/>
    <d v="2025-03-20T00:00:00"/>
    <s v="12 AM - 4 AM"/>
    <x v="377"/>
    <s v="Balasore"/>
    <s v="Men"/>
    <s v="Shirt"/>
    <s v="Biba"/>
    <s v="Festive"/>
    <s v="Store"/>
    <n v="2"/>
    <n v="3300"/>
    <s v="0%"/>
    <n v="0"/>
    <s v="Valid"/>
    <s v="Match"/>
    <n v="6600"/>
    <n v="0"/>
    <n v="6600"/>
    <n v="4516.49"/>
    <n v="2083.5100000000002"/>
    <b v="0"/>
    <n v="0"/>
    <s v="COD"/>
    <s v="Ananya"/>
    <s v="Repeat Customer"/>
    <n v="3.5"/>
    <x v="9"/>
    <x v="4"/>
  </r>
  <r>
    <s v="ZAR-10640"/>
    <d v="2025-08-20T00:00:00"/>
    <s v="4 PM - 8 PM"/>
    <x v="378"/>
    <s v="Cuttack"/>
    <s v="Men"/>
    <s v="Dhoti Set"/>
    <s v="Manyavar"/>
    <s v="Wedding"/>
    <s v="WhatsApp"/>
    <n v="1"/>
    <n v="2350"/>
    <s v="1-10%"/>
    <n v="10"/>
    <s v="Valid"/>
    <s v="Match"/>
    <n v="2350"/>
    <n v="235"/>
    <n v="2115"/>
    <n v="1421.34"/>
    <n v="693.66"/>
    <b v="0"/>
    <n v="0"/>
    <s v="Cash"/>
    <s v="Meera"/>
    <s v="Repeat Customer"/>
    <n v="4"/>
    <x v="6"/>
    <x v="1"/>
  </r>
  <r>
    <s v="ZAR-10893"/>
    <d v="2025-07-18T00:00:00"/>
    <s v="4 PM - 8 PM"/>
    <x v="379"/>
    <s v="Balasore"/>
    <s v="Women"/>
    <s v="Bridal Lehenga"/>
    <s v="Designer Collection"/>
    <s v="Festive"/>
    <s v="Store"/>
    <n v="1"/>
    <n v="118100"/>
    <s v="1-10%"/>
    <n v="10"/>
    <s v="Valid"/>
    <s v="Match"/>
    <n v="118100"/>
    <n v="11810"/>
    <n v="106290"/>
    <n v="79524.86"/>
    <n v="26765.14"/>
    <b v="0"/>
    <n v="0"/>
    <s v="Cash"/>
    <s v="Meera"/>
    <s v="Walk-in"/>
    <n v="3.5"/>
    <x v="0"/>
    <x v="3"/>
  </r>
  <r>
    <s v="ZAR-10675"/>
    <d v="2025-03-04T00:00:00"/>
    <s v="8 PM - 12 AM"/>
    <x v="380"/>
    <s v="Bhubaneshwar"/>
    <s v="Men"/>
    <s v="Kurta Pajama"/>
    <s v="FabIndia"/>
    <s v="Family Function"/>
    <s v="Store"/>
    <n v="1"/>
    <n v="8000"/>
    <s v="11-20%"/>
    <n v="15"/>
    <s v="Valid"/>
    <s v="Match"/>
    <n v="8000"/>
    <n v="1200"/>
    <n v="6800"/>
    <n v="5002.51"/>
    <n v="1797.49"/>
    <b v="0"/>
    <n v="0"/>
    <s v="Card"/>
    <s v="Sanjay"/>
    <s v="WhatsApp"/>
    <n v="5"/>
    <x v="9"/>
    <x v="6"/>
  </r>
  <r>
    <s v="ZAR-10377"/>
    <d v="2025-06-04T00:00:00"/>
    <s v="8 AM - 12 PM"/>
    <x v="381"/>
    <s v="Bhubaneshwar"/>
    <s v="Women"/>
    <s v="Saree"/>
    <s v="FabIndia"/>
    <s v="Puja"/>
    <s v="Instagram"/>
    <n v="2"/>
    <n v="25600"/>
    <s v="0%"/>
    <n v="0"/>
    <s v="Valid"/>
    <s v="Match"/>
    <n v="51200"/>
    <n v="0"/>
    <n v="51200"/>
    <n v="33688.69"/>
    <n v="17511.310000000001"/>
    <b v="0"/>
    <n v="0"/>
    <s v="COD"/>
    <s v="Neha"/>
    <s v="Walk-in"/>
    <n v="3"/>
    <x v="2"/>
    <x v="1"/>
  </r>
  <r>
    <s v="ZAR-10414"/>
    <d v="2025-02-25T00:00:00"/>
    <s v="12 AM - 4 AM"/>
    <x v="382"/>
    <s v="Rourkela"/>
    <s v="Women"/>
    <s v="Dupatta"/>
    <s v="Rangriti"/>
    <s v="Festive"/>
    <s v="Store"/>
    <n v="1"/>
    <n v="4950"/>
    <s v="1-10%"/>
    <n v="5"/>
    <s v="Valid"/>
    <s v="Match"/>
    <n v="4950"/>
    <n v="247.5"/>
    <n v="4702.5"/>
    <n v="3410.35"/>
    <n v="1292.1500000000001"/>
    <b v="0"/>
    <n v="0"/>
    <s v="UPI"/>
    <s v="Meera"/>
    <s v="Instagram"/>
    <n v="3"/>
    <x v="4"/>
    <x v="6"/>
  </r>
  <r>
    <s v="ZAR-10076"/>
    <d v="2025-04-03T00:00:00"/>
    <s v="4 AM - 8 AM"/>
    <x v="383"/>
    <s v="Balasore"/>
    <s v="Women"/>
    <s v="Saree"/>
    <s v="Rangriti"/>
    <s v="Reception"/>
    <s v="Store"/>
    <n v="2"/>
    <n v="10850"/>
    <s v="1-10%"/>
    <n v="10"/>
    <s v="Valid"/>
    <s v="Match"/>
    <n v="21700"/>
    <n v="2170"/>
    <n v="19530"/>
    <n v="12959.79"/>
    <n v="6570.21"/>
    <b v="0"/>
    <n v="0"/>
    <s v="COD"/>
    <s v="Rohit"/>
    <s v="Google"/>
    <n v="3"/>
    <x v="7"/>
    <x v="4"/>
  </r>
  <r>
    <s v="ZAR-10115"/>
    <d v="2025-06-13T00:00:00"/>
    <s v="4 AM - 8 AM"/>
    <x v="0"/>
    <s v="Berhampur"/>
    <s v="Women"/>
    <s v="Saree"/>
    <s v="Designer Collection"/>
    <s v="Office"/>
    <s v="WhatsApp"/>
    <n v="1"/>
    <n v="21950"/>
    <s v="1-10%"/>
    <n v="10"/>
    <s v="Valid"/>
    <s v="Match"/>
    <n v="21950"/>
    <n v="2195"/>
    <n v="19755"/>
    <n v="15911.58"/>
    <n v="3843.42"/>
    <b v="0"/>
    <n v="0"/>
    <s v="COD"/>
    <s v="Priya"/>
    <s v="Google"/>
    <n v="4.5"/>
    <x v="2"/>
    <x v="3"/>
  </r>
  <r>
    <s v="ZAR-10574"/>
    <d v="2025-04-06T00:00:00"/>
    <s v="4 AM - 8 AM"/>
    <x v="165"/>
    <s v="Puri"/>
    <s v="Women"/>
    <s v="Lehenga"/>
    <s v="Local Artisan"/>
    <s v="Reception"/>
    <s v="Store"/>
    <n v="1"/>
    <n v="35900"/>
    <s v="1-10%"/>
    <n v="5"/>
    <s v="Valid"/>
    <s v="Match"/>
    <n v="35900"/>
    <n v="1795"/>
    <n v="34105"/>
    <n v="24427.61"/>
    <n v="9677.39"/>
    <b v="0"/>
    <n v="0"/>
    <s v="Card"/>
    <s v="Sanjay"/>
    <s v="WhatsApp"/>
    <n v="5"/>
    <x v="7"/>
    <x v="0"/>
  </r>
  <r>
    <s v="ZAR-10645"/>
    <d v="2025-06-11T00:00:00"/>
    <s v="8 PM - 12 AM"/>
    <x v="380"/>
    <s v="Cuttack"/>
    <s v="Kids"/>
    <s v="Kids Sherwani"/>
    <s v="Local Artisan"/>
    <s v="Reception"/>
    <s v="Walk-in"/>
    <n v="1"/>
    <n v="3800"/>
    <s v="21-30%"/>
    <n v="25"/>
    <s v="Valid"/>
    <s v="Match"/>
    <n v="3800"/>
    <n v="950"/>
    <n v="2850"/>
    <n v="2175.4899999999998"/>
    <n v="674.51"/>
    <b v="0"/>
    <n v="0"/>
    <s v="Cash"/>
    <s v="Ananya"/>
    <s v="Walk-in"/>
    <n v="3"/>
    <x v="2"/>
    <x v="1"/>
  </r>
  <r>
    <s v="ZAR-10392"/>
    <d v="2025-05-14T00:00:00"/>
    <s v="4 AM - 8 AM"/>
    <x v="384"/>
    <s v="Sambalpur"/>
    <s v="Women"/>
    <s v="Blouse"/>
    <s v="Designer Collection"/>
    <s v="Wedding Guest"/>
    <s v="Phone"/>
    <n v="2"/>
    <n v="3700"/>
    <s v="21-30%"/>
    <n v="30"/>
    <s v="Valid"/>
    <s v="Match"/>
    <n v="7400"/>
    <n v="2220"/>
    <n v="5180"/>
    <n v="4346.97"/>
    <n v="833.03"/>
    <b v="0"/>
    <n v="0"/>
    <s v="Card"/>
    <s v="Neha"/>
    <s v="Walk-in"/>
    <n v="3.5"/>
    <x v="8"/>
    <x v="1"/>
  </r>
  <r>
    <s v="ZAR-10106"/>
    <d v="2025-12-15T00:00:00"/>
    <s v="4 PM - 8 PM"/>
    <x v="166"/>
    <s v="Cuttack"/>
    <s v="Men"/>
    <s v="Sherwani"/>
    <s v="Local Artisan"/>
    <s v="Reception"/>
    <s v="Website"/>
    <n v="1"/>
    <n v="11750"/>
    <s v="0%"/>
    <n v="0"/>
    <s v="Valid"/>
    <s v="Match"/>
    <n v="11750"/>
    <n v="0"/>
    <n v="11750"/>
    <n v="7273.18"/>
    <n v="4476.82"/>
    <b v="0"/>
    <n v="0"/>
    <s v="COD"/>
    <s v="Meera"/>
    <s v="Instagram"/>
    <n v="3.5"/>
    <x v="1"/>
    <x v="2"/>
  </r>
  <r>
    <s v="ZAR-10116"/>
    <d v="2025-12-19T00:00:00"/>
    <s v="8 PM - 12 AM"/>
    <x v="307"/>
    <s v="Berhampur"/>
    <s v="Men"/>
    <s v="Nehru Jacket"/>
    <s v="Zaree Studio"/>
    <s v="Casual"/>
    <s v="Store"/>
    <n v="1"/>
    <n v="3700"/>
    <s v="11-20%"/>
    <n v="15"/>
    <s v="Valid"/>
    <s v="Match"/>
    <n v="3700"/>
    <n v="555"/>
    <n v="3145"/>
    <n v="2399.13"/>
    <n v="745.87"/>
    <b v="0"/>
    <n v="0"/>
    <s v="COD"/>
    <s v="Sanjay"/>
    <s v="Walk-in"/>
    <n v="5"/>
    <x v="1"/>
    <x v="3"/>
  </r>
  <r>
    <s v="ZAR-10419"/>
    <d v="2025-11-28T00:00:00"/>
    <s v="8 AM - 12 PM"/>
    <x v="385"/>
    <s v="Bhubaneshwar"/>
    <s v="Women"/>
    <s v="Gown"/>
    <s v="FabIndia"/>
    <s v="Office"/>
    <s v="Website"/>
    <n v="1"/>
    <n v="7650"/>
    <s v="1-10%"/>
    <n v="5"/>
    <s v="Valid"/>
    <s v="Match"/>
    <n v="7650"/>
    <n v="382.5"/>
    <n v="7267.5"/>
    <n v="4394.7299999999996"/>
    <n v="2872.77"/>
    <b v="0"/>
    <n v="0"/>
    <s v="Card"/>
    <s v="Ananya"/>
    <s v="Repeat Customer"/>
    <n v="3"/>
    <x v="5"/>
    <x v="3"/>
  </r>
  <r>
    <s v="ZAR-10715"/>
    <d v="2025-07-10T00:00:00"/>
    <s v="4 PM - 8 PM"/>
    <x v="386"/>
    <s v="Sambalpur"/>
    <s v="Men"/>
    <s v="Kurta Pajama"/>
    <s v="Manyavar"/>
    <s v="Wedding"/>
    <s v="Store"/>
    <n v="2"/>
    <n v="3400"/>
    <s v="21-30%"/>
    <n v="30"/>
    <s v="Valid"/>
    <s v="Match"/>
    <n v="6800"/>
    <n v="2040"/>
    <n v="4760"/>
    <n v="4454.54"/>
    <n v="305.45999999999998"/>
    <b v="0"/>
    <n v="0"/>
    <s v="Card"/>
    <s v="Neha"/>
    <s v="WhatsApp"/>
    <n v="5"/>
    <x v="0"/>
    <x v="4"/>
  </r>
  <r>
    <s v="ZAR-10459"/>
    <d v="2025-04-17T00:00:00"/>
    <s v="8 AM - 12 PM"/>
    <x v="18"/>
    <s v="Balasore"/>
    <s v="Men"/>
    <s v="Nehru Jacket"/>
    <s v="Rangriti"/>
    <s v="Casual"/>
    <s v="Store"/>
    <n v="2"/>
    <n v="6350"/>
    <s v="21-30%"/>
    <n v="30"/>
    <s v="Valid"/>
    <s v="Match"/>
    <n v="12700"/>
    <n v="3810"/>
    <n v="8890"/>
    <n v="7056.7"/>
    <n v="1833.3"/>
    <b v="0"/>
    <n v="0"/>
    <s v="Net Banking"/>
    <s v="Sanjay"/>
    <s v="Referral"/>
    <n v="4"/>
    <x v="7"/>
    <x v="4"/>
  </r>
  <r>
    <s v="ZAR-10411"/>
    <d v="2025-05-26T00:00:00"/>
    <s v="12 PM - 4 PM"/>
    <x v="387"/>
    <s v="Balasore"/>
    <s v="Men"/>
    <s v="Dhoti Set"/>
    <s v="Local Artisan"/>
    <s v="Family Function"/>
    <s v="Store"/>
    <n v="1"/>
    <n v="5550"/>
    <s v="11-20%"/>
    <n v="15"/>
    <s v="Valid"/>
    <s v="Match"/>
    <n v="5550"/>
    <n v="832.5"/>
    <n v="4717.5"/>
    <n v="3027.3"/>
    <n v="1690.2"/>
    <b v="0"/>
    <n v="0"/>
    <s v="Cash"/>
    <s v="Meera"/>
    <s v="Google"/>
    <n v="3.5"/>
    <x v="8"/>
    <x v="2"/>
  </r>
  <r>
    <s v="ZAR-10094"/>
    <d v="2025-09-13T00:00:00"/>
    <s v="4 PM - 8 PM"/>
    <x v="388"/>
    <s v="Bhubaneshwar"/>
    <s v="Women"/>
    <s v="Dupatta"/>
    <s v="Biba"/>
    <s v="Reception"/>
    <s v="Instagram"/>
    <n v="2"/>
    <n v="3400"/>
    <s v="0%"/>
    <n v="0"/>
    <s v="Valid"/>
    <s v="Match"/>
    <n v="6800"/>
    <n v="0"/>
    <n v="6800"/>
    <n v="3701.84"/>
    <n v="3098.16"/>
    <b v="0"/>
    <n v="0"/>
    <s v="Net Banking"/>
    <s v="Ananya"/>
    <s v="Repeat Customer"/>
    <n v="3.5"/>
    <x v="11"/>
    <x v="5"/>
  </r>
  <r>
    <s v="ZAR-10980"/>
    <d v="2025-04-23T00:00:00"/>
    <s v="8 PM - 12 AM"/>
    <x v="389"/>
    <s v="Bhubaneshwar"/>
    <s v="Women"/>
    <s v="Saree"/>
    <s v="Rangriti"/>
    <s v="Wedding Guest"/>
    <s v="Store"/>
    <n v="1"/>
    <n v="3250"/>
    <s v="21-30%"/>
    <n v="30"/>
    <s v="Valid"/>
    <s v="Match"/>
    <n v="3250"/>
    <n v="975"/>
    <n v="2275"/>
    <n v="1836.79"/>
    <n v="438.21"/>
    <b v="0"/>
    <n v="0"/>
    <s v="Cash"/>
    <s v="Sanjay"/>
    <s v="Walk-in"/>
    <n v="4"/>
    <x v="7"/>
    <x v="1"/>
  </r>
  <r>
    <s v="ZAR-10091"/>
    <d v="2025-03-05T00:00:00"/>
    <s v="8 AM - 12 PM"/>
    <x v="390"/>
    <s v="Puri"/>
    <s v="Women"/>
    <s v="Gown"/>
    <s v="Rangriti"/>
    <s v="Puja"/>
    <s v="Store"/>
    <n v="1"/>
    <n v="9450"/>
    <s v="21-30%"/>
    <n v="30"/>
    <s v="Valid"/>
    <s v="Match"/>
    <n v="9450"/>
    <n v="2835"/>
    <n v="6615"/>
    <n v="5986.58"/>
    <n v="628.41999999999996"/>
    <b v="0"/>
    <n v="0"/>
    <s v="Card"/>
    <s v="Meera"/>
    <s v="Google"/>
    <n v="3.5"/>
    <x v="9"/>
    <x v="1"/>
  </r>
  <r>
    <s v="ZAR-10338"/>
    <d v="2025-07-01T00:00:00"/>
    <s v="12 AM - 4 AM"/>
    <x v="47"/>
    <s v="Sambalpur"/>
    <s v="Women"/>
    <s v="Gown"/>
    <s v="Manyavar"/>
    <s v="Casual"/>
    <s v="Website"/>
    <n v="1"/>
    <n v="9450"/>
    <s v="11-20%"/>
    <n v="20"/>
    <s v="Valid"/>
    <s v="Match"/>
    <n v="9450"/>
    <n v="1890"/>
    <n v="7560"/>
    <n v="6339.14"/>
    <n v="1220.8599999999999"/>
    <b v="0"/>
    <n v="0"/>
    <s v="COD"/>
    <s v="Neha"/>
    <s v="Google"/>
    <n v="5"/>
    <x v="0"/>
    <x v="6"/>
  </r>
  <r>
    <s v="ZAR-10998"/>
    <d v="2025-05-03T00:00:00"/>
    <s v="12 PM - 4 PM"/>
    <x v="391"/>
    <s v="Sambalpur"/>
    <s v="Women"/>
    <s v="Saree"/>
    <s v="Biba"/>
    <s v="Office"/>
    <s v="Store"/>
    <n v="2"/>
    <n v="33050"/>
    <s v="11-20%"/>
    <n v="20"/>
    <s v="Valid"/>
    <s v="Match"/>
    <n v="66100"/>
    <n v="13220"/>
    <n v="52880"/>
    <n v="36522.5"/>
    <n v="16357.5"/>
    <b v="0"/>
    <n v="0"/>
    <s v="Card"/>
    <s v="Neha"/>
    <s v="Repeat Customer"/>
    <n v="3"/>
    <x v="8"/>
    <x v="5"/>
  </r>
  <r>
    <s v="ZAR-10929"/>
    <d v="2025-10-18T00:00:00"/>
    <s v="8 AM - 12 PM"/>
    <x v="283"/>
    <s v="Cuttack"/>
    <s v="Women"/>
    <s v="Bridal Lehenga"/>
    <s v="Designer Collection"/>
    <s v="Wedding"/>
    <s v="Store"/>
    <n v="1"/>
    <n v="120050"/>
    <s v="1-10%"/>
    <n v="10"/>
    <s v="Valid"/>
    <s v="Match"/>
    <n v="120050"/>
    <n v="12005"/>
    <n v="108045"/>
    <n v="73701.16"/>
    <n v="34343.839999999997"/>
    <b v="0"/>
    <n v="0"/>
    <s v="UPI"/>
    <s v="Rohit"/>
    <s v="Google"/>
    <n v="4"/>
    <x v="3"/>
    <x v="5"/>
  </r>
  <r>
    <s v="ZAR-10941"/>
    <d v="2025-08-05T00:00:00"/>
    <s v="8 PM - 12 AM"/>
    <x v="62"/>
    <s v="Puri"/>
    <s v="Kids"/>
    <s v="Kids Saree"/>
    <s v="Local Artisan"/>
    <s v="Festive"/>
    <s v="Instagram"/>
    <n v="2"/>
    <n v="2050"/>
    <s v="21-30%"/>
    <n v="25"/>
    <s v="Valid"/>
    <s v="Match"/>
    <n v="4100"/>
    <n v="1025"/>
    <n v="3075"/>
    <n v="3003.96"/>
    <n v="71.040000000000006"/>
    <b v="0"/>
    <n v="0"/>
    <s v="UPI"/>
    <s v="Sanjay"/>
    <s v="Referral"/>
    <n v="3.5"/>
    <x v="6"/>
    <x v="6"/>
  </r>
  <r>
    <s v="ZAR-10853"/>
    <d v="2025-01-05T00:00:00"/>
    <s v="12 AM - 4 AM"/>
    <x v="342"/>
    <s v="Puri"/>
    <s v="Women"/>
    <s v="Saree"/>
    <s v="Designer Collection"/>
    <s v="Wedding Guest"/>
    <s v="Store"/>
    <n v="1"/>
    <n v="20800"/>
    <s v="0%"/>
    <n v="0"/>
    <s v="Valid"/>
    <s v="Match"/>
    <n v="20800"/>
    <n v="0"/>
    <n v="20800"/>
    <n v="14768.25"/>
    <n v="6031.75"/>
    <b v="0"/>
    <n v="0"/>
    <s v="Cash"/>
    <s v="Meera"/>
    <s v="WhatsApp"/>
    <n v="3.5"/>
    <x v="10"/>
    <x v="0"/>
  </r>
  <r>
    <s v="ZAR-10599"/>
    <d v="2025-09-14T00:00:00"/>
    <s v="8 AM - 12 PM"/>
    <x v="392"/>
    <s v="Cuttack"/>
    <s v="Women"/>
    <s v="Bridal Lehenga"/>
    <s v="Local Artisan"/>
    <s v="Wedding"/>
    <s v="Store"/>
    <n v="1"/>
    <n v="60400"/>
    <s v="1-10%"/>
    <n v="10"/>
    <s v="Valid"/>
    <s v="Match"/>
    <n v="60400"/>
    <n v="6040"/>
    <n v="54360"/>
    <n v="43621.67"/>
    <n v="10738.33"/>
    <b v="0"/>
    <n v="0"/>
    <s v="Card"/>
    <s v="Karan"/>
    <s v="Walk-in"/>
    <n v="4.5"/>
    <x v="11"/>
    <x v="0"/>
  </r>
  <r>
    <s v="ZAR-10617"/>
    <d v="2025-12-15T00:00:00"/>
    <s v="12 PM - 4 PM"/>
    <x v="313"/>
    <s v="Sambalpur"/>
    <s v="Women"/>
    <s v="Saree"/>
    <s v="Rangriti"/>
    <s v="Wedding Guest"/>
    <s v="WhatsApp"/>
    <n v="1"/>
    <n v="19800"/>
    <s v="21-30%"/>
    <n v="30"/>
    <s v="Valid"/>
    <s v="Match"/>
    <n v="19800"/>
    <n v="5940"/>
    <n v="13860"/>
    <n v="13169.24"/>
    <n v="690.76"/>
    <b v="0"/>
    <n v="0"/>
    <s v="UPI"/>
    <s v="Karan"/>
    <s v="Instagram"/>
    <n v="3"/>
    <x v="1"/>
    <x v="2"/>
  </r>
  <r>
    <s v="ZAR-10096"/>
    <d v="2025-12-03T00:00:00"/>
    <s v="8 PM - 12 AM"/>
    <x v="393"/>
    <s v="Puri"/>
    <s v="Kids"/>
    <s v="Kids Saree"/>
    <s v="FabIndia"/>
    <s v="Casual"/>
    <s v="Instagram"/>
    <n v="1"/>
    <n v="2850"/>
    <s v="0%"/>
    <n v="0"/>
    <s v="Valid"/>
    <s v="Match"/>
    <n v="2850"/>
    <n v="0"/>
    <n v="2850"/>
    <n v="1698.19"/>
    <n v="1151.81"/>
    <b v="0"/>
    <n v="0"/>
    <s v="COD"/>
    <s v="Priya"/>
    <s v="WhatsApp"/>
    <n v="3"/>
    <x v="1"/>
    <x v="1"/>
  </r>
  <r>
    <s v="ZAR-10013"/>
    <d v="2025-03-09T00:00:00"/>
    <s v="4 PM - 8 PM"/>
    <x v="287"/>
    <s v="Rourkela"/>
    <s v="Kids"/>
    <s v="Kids Lehenga"/>
    <s v="Rangriti"/>
    <s v="Family Function"/>
    <s v="Store"/>
    <n v="1"/>
    <n v="7400"/>
    <s v="11-20%"/>
    <n v="15"/>
    <s v="Valid"/>
    <s v="Match"/>
    <n v="7400"/>
    <n v="1110"/>
    <n v="6290"/>
    <n v="4196.78"/>
    <n v="2093.2199999999998"/>
    <b v="0"/>
    <n v="0"/>
    <s v="UPI"/>
    <s v="Karan"/>
    <s v="Google"/>
    <n v="3.5"/>
    <x v="9"/>
    <x v="0"/>
  </r>
  <r>
    <s v="ZAR-10398"/>
    <d v="2025-02-14T00:00:00"/>
    <s v="4 AM - 8 AM"/>
    <x v="328"/>
    <s v="Rourkela"/>
    <s v="Women"/>
    <s v="Salwar Suit"/>
    <s v="Manyavar"/>
    <s v="Casual"/>
    <s v="WhatsApp"/>
    <n v="1"/>
    <n v="4300"/>
    <s v="11-20%"/>
    <n v="15"/>
    <s v="Valid"/>
    <s v="Match"/>
    <n v="4300"/>
    <n v="645"/>
    <n v="3655"/>
    <n v="3063.09"/>
    <n v="591.91"/>
    <b v="0"/>
    <n v="0"/>
    <s v="Net Banking"/>
    <s v="Karan"/>
    <s v="Google"/>
    <n v="4"/>
    <x v="4"/>
    <x v="3"/>
  </r>
  <r>
    <s v="ZAR-10537"/>
    <d v="2025-11-16T00:00:00"/>
    <s v="12 AM - 4 AM"/>
    <x v="394"/>
    <s v="Balasore"/>
    <s v="Men"/>
    <s v="Kurta Pajama"/>
    <s v="Biba"/>
    <s v="Family Function"/>
    <s v="Store"/>
    <n v="3"/>
    <n v="3200"/>
    <s v="11-20%"/>
    <n v="15"/>
    <s v="Valid"/>
    <s v="Match"/>
    <n v="9600"/>
    <n v="1440"/>
    <n v="8160"/>
    <n v="5922.82"/>
    <n v="2237.1799999999998"/>
    <b v="0"/>
    <n v="0"/>
    <s v="UPI"/>
    <s v="Priya"/>
    <s v="Instagram"/>
    <n v="3"/>
    <x v="5"/>
    <x v="0"/>
  </r>
  <r>
    <s v="ZAR-10045"/>
    <d v="2025-04-26T00:00:00"/>
    <s v="4 PM - 8 PM"/>
    <x v="207"/>
    <s v="Rourkela"/>
    <s v="Kids"/>
    <s v="Kids Lehenga"/>
    <s v="Zaree Studio"/>
    <s v="Family Function"/>
    <s v="Website"/>
    <n v="1"/>
    <n v="7800"/>
    <s v="11-20%"/>
    <n v="20"/>
    <s v="Valid"/>
    <s v="Match"/>
    <n v="7800"/>
    <n v="1560"/>
    <n v="6240"/>
    <n v="5412.91"/>
    <n v="827.09"/>
    <b v="0"/>
    <n v="0"/>
    <s v="COD"/>
    <s v="Karan"/>
    <s v="Instagram"/>
    <n v="4"/>
    <x v="7"/>
    <x v="5"/>
  </r>
  <r>
    <s v="ZAR-10044"/>
    <d v="2025-09-02T00:00:00"/>
    <s v="12 AM - 4 AM"/>
    <x v="395"/>
    <s v="Bhubaneshwar"/>
    <s v="Women"/>
    <s v="Bridal Lehenga"/>
    <s v="Manyavar"/>
    <s v="Wedding"/>
    <s v="Walk-in"/>
    <n v="1"/>
    <n v="79400"/>
    <s v="1-10%"/>
    <n v="5"/>
    <s v="Valid"/>
    <s v="Match"/>
    <n v="79400"/>
    <n v="3970"/>
    <n v="75430"/>
    <n v="45698.29"/>
    <n v="29731.71"/>
    <b v="0"/>
    <n v="0"/>
    <s v="COD"/>
    <s v="Priya"/>
    <s v="Instagram"/>
    <n v="3.5"/>
    <x v="11"/>
    <x v="6"/>
  </r>
  <r>
    <s v="ZAR-10331"/>
    <d v="2025-05-06T00:00:00"/>
    <s v="4 PM - 8 PM"/>
    <x v="255"/>
    <s v="Berhampur"/>
    <s v="Women"/>
    <s v="Blouse"/>
    <s v="Manyavar"/>
    <s v="Festive"/>
    <s v="Instagram"/>
    <n v="1"/>
    <n v="3650"/>
    <s v="11-20%"/>
    <n v="20"/>
    <s v="Valid"/>
    <s v="Match"/>
    <n v="3650"/>
    <n v="730"/>
    <n v="2920"/>
    <n v="2379.88"/>
    <n v="540.12"/>
    <b v="0"/>
    <n v="0"/>
    <s v="Card"/>
    <s v="Ananya"/>
    <s v="WhatsApp"/>
    <n v="3"/>
    <x v="8"/>
    <x v="6"/>
  </r>
  <r>
    <s v="ZAR-10169"/>
    <d v="2025-02-17T00:00:00"/>
    <s v="12 PM - 4 PM"/>
    <x v="211"/>
    <s v="Balasore"/>
    <s v="Women"/>
    <s v="Gown"/>
    <s v="Aurelia"/>
    <s v="Puja"/>
    <s v="Instagram"/>
    <n v="1"/>
    <n v="8200"/>
    <s v="11-20%"/>
    <n v="20"/>
    <s v="Valid"/>
    <s v="Match"/>
    <n v="8200"/>
    <n v="1640"/>
    <n v="6560"/>
    <n v="4268.46"/>
    <n v="2291.54"/>
    <b v="0"/>
    <n v="0"/>
    <s v="Net Banking"/>
    <s v="Meera"/>
    <s v="Walk-in"/>
    <n v="4"/>
    <x v="4"/>
    <x v="2"/>
  </r>
  <r>
    <s v="ZAR-10501"/>
    <d v="2025-08-11T00:00:00"/>
    <s v="8 PM - 12 AM"/>
    <x v="396"/>
    <s v="Bhubaneshwar"/>
    <s v="Women"/>
    <s v="Gown"/>
    <s v="FabIndia"/>
    <s v="Festive"/>
    <s v="Store"/>
    <n v="4"/>
    <n v="10750"/>
    <s v="21-30%"/>
    <n v="30"/>
    <s v="Valid"/>
    <s v="Match"/>
    <n v="43000"/>
    <n v="12900"/>
    <n v="30100"/>
    <n v="31798.19"/>
    <n v="-1698.19"/>
    <b v="1"/>
    <n v="1698.19"/>
    <s v="Cash"/>
    <s v="Neha"/>
    <s v="Google"/>
    <n v="3.5"/>
    <x v="6"/>
    <x v="2"/>
  </r>
  <r>
    <s v="ZAR-10884"/>
    <d v="2025-03-17T00:00:00"/>
    <s v="8 PM - 12 AM"/>
    <x v="397"/>
    <s v="Rourkela"/>
    <s v="Women"/>
    <s v="Saree"/>
    <s v="Biba"/>
    <s v="Casual"/>
    <s v="Instagram"/>
    <n v="1"/>
    <s v="21050.0"/>
    <s v="1-10%"/>
    <n v="10"/>
    <s v="Valid"/>
    <s v="Match"/>
    <n v="21050"/>
    <n v="2105"/>
    <n v="18945"/>
    <n v="14499.43"/>
    <n v="4445.57"/>
    <b v="0"/>
    <n v="0"/>
    <s v="Card"/>
    <s v="Priya"/>
    <s v="Referral"/>
    <n v="3"/>
    <x v="9"/>
    <x v="2"/>
  </r>
  <r>
    <s v="ZAR-10603"/>
    <d v="2025-09-15T00:00:00"/>
    <s v="12 AM - 4 AM"/>
    <x v="398"/>
    <s v="Puri"/>
    <s v="Men"/>
    <s v="Kurta Pajama"/>
    <s v="Zaree Studio"/>
    <s v="Family Function"/>
    <s v="WhatsApp"/>
    <n v="1"/>
    <n v="6050"/>
    <s v="11-20%"/>
    <n v="15"/>
    <s v="Valid"/>
    <s v="Match"/>
    <n v="6050"/>
    <n v="907.5"/>
    <n v="5142.5"/>
    <n v="4339.26"/>
    <n v="803.24"/>
    <b v="0"/>
    <n v="0"/>
    <s v="Cash"/>
    <s v="Rohit"/>
    <s v="Walk-in"/>
    <n v="4"/>
    <x v="11"/>
    <x v="2"/>
  </r>
  <r>
    <s v="ZAR-10763"/>
    <d v="2025-09-06T00:00:00"/>
    <s v="8 PM - 12 AM"/>
    <x v="399"/>
    <s v="Puri"/>
    <s v="Men"/>
    <s v="Dhoti Set"/>
    <s v="Rangriti"/>
    <s v="Family Function"/>
    <s v="Store"/>
    <n v="1"/>
    <n v="6250"/>
    <s v="1-10%"/>
    <n v="10"/>
    <s v="Valid"/>
    <s v="Match"/>
    <n v="6250"/>
    <n v="625"/>
    <n v="5625"/>
    <n v="3769.72"/>
    <n v="1855.28"/>
    <b v="0"/>
    <n v="0"/>
    <s v="Cash"/>
    <s v="Rohit"/>
    <s v="Not Recorded"/>
    <n v="3"/>
    <x v="11"/>
    <x v="5"/>
  </r>
  <r>
    <s v="ZAR-10102"/>
    <d v="2025-07-07T00:00:00"/>
    <s v="12 PM - 4 PM"/>
    <x v="400"/>
    <s v="Balasore"/>
    <s v="Women"/>
    <s v="Gown"/>
    <s v="Manyavar"/>
    <s v="Wedding Guest"/>
    <s v="Store"/>
    <n v="2"/>
    <n v="7150"/>
    <s v="11-20%"/>
    <n v="20"/>
    <s v="Valid"/>
    <s v="Match"/>
    <n v="14300"/>
    <n v="2860"/>
    <n v="11440"/>
    <n v="7869.19"/>
    <n v="3570.81"/>
    <b v="0"/>
    <n v="0"/>
    <s v="Net Banking"/>
    <s v="Neha"/>
    <s v="Google"/>
    <s v="Not Rated"/>
    <x v="0"/>
    <x v="2"/>
  </r>
  <r>
    <s v="ZAR-10428"/>
    <d v="2025-10-20T00:00:00"/>
    <s v="4 PM - 8 PM"/>
    <x v="401"/>
    <s v="Bhubaneshwar"/>
    <s v="Kids"/>
    <s v="Kids Gown"/>
    <s v="Rangriti"/>
    <s v="Wedding"/>
    <s v="Store"/>
    <n v="2"/>
    <n v="4800"/>
    <s v="1-10%"/>
    <n v="5"/>
    <s v="Valid"/>
    <s v="Match"/>
    <n v="9600"/>
    <n v="480"/>
    <n v="9120"/>
    <n v="5490.52"/>
    <n v="3629.48"/>
    <b v="0"/>
    <n v="0"/>
    <s v="Card"/>
    <s v="Neha"/>
    <s v="Instagram"/>
    <n v="4"/>
    <x v="3"/>
    <x v="2"/>
  </r>
  <r>
    <s v="ZAR-10180"/>
    <d v="2025-09-26T00:00:00"/>
    <s v="12 AM - 4 AM"/>
    <x v="142"/>
    <s v="Balasore"/>
    <s v="Men"/>
    <s v="Sherwani"/>
    <s v="Zaree Studio"/>
    <s v="Festive"/>
    <s v="Phone"/>
    <n v="1"/>
    <n v="36300"/>
    <s v="21-30%"/>
    <n v="30"/>
    <s v="Valid"/>
    <s v="Match"/>
    <n v="36300"/>
    <n v="10890"/>
    <n v="25410"/>
    <n v="22304.59"/>
    <n v="3105.41"/>
    <b v="0"/>
    <n v="0"/>
    <s v="Net Banking"/>
    <s v="Meera"/>
    <s v="Repeat Customer"/>
    <n v="4"/>
    <x v="11"/>
    <x v="3"/>
  </r>
  <r>
    <s v="ZAR-10446"/>
    <d v="2025-01-23T00:00:00"/>
    <s v="8 PM - 12 AM"/>
    <x v="104"/>
    <s v="Rourkela"/>
    <s v="Men"/>
    <s v="Indo-Western"/>
    <s v="Biba"/>
    <s v="Casual"/>
    <s v="Store"/>
    <n v="1"/>
    <n v="12800"/>
    <s v="21-30%"/>
    <n v="25"/>
    <s v="Valid"/>
    <s v="Match"/>
    <n v="12800"/>
    <n v="3200"/>
    <n v="9600"/>
    <n v="6672.35"/>
    <n v="2927.65"/>
    <b v="0"/>
    <n v="0"/>
    <s v="Cash"/>
    <s v="Meera"/>
    <s v="Instagram"/>
    <s v="Not Rated"/>
    <x v="10"/>
    <x v="4"/>
  </r>
  <r>
    <s v="ZAR-10418"/>
    <d v="2025-06-30T00:00:00"/>
    <s v="8 AM - 12 PM"/>
    <x v="305"/>
    <s v="Bhubaneshwar"/>
    <s v="Women"/>
    <s v="Dupatta"/>
    <s v="Zaree Studio"/>
    <s v="Office"/>
    <s v="Store"/>
    <n v="2"/>
    <n v="1700"/>
    <s v="11-20%"/>
    <n v="15"/>
    <s v="Valid"/>
    <s v="Match"/>
    <n v="3400"/>
    <n v="510"/>
    <n v="2890"/>
    <n v="2229.4699999999998"/>
    <n v="660.53"/>
    <b v="0"/>
    <n v="0"/>
    <s v="Cash"/>
    <s v="Sanjay"/>
    <s v="Instagram"/>
    <n v="4"/>
    <x v="2"/>
    <x v="2"/>
  </r>
  <r>
    <s v="ZAR-10839"/>
    <d v="2025-07-04T00:00:00"/>
    <s v="4 AM - 8 AM"/>
    <x v="402"/>
    <s v="Sambalpur"/>
    <s v="Kids"/>
    <s v="Kids Gown"/>
    <s v="Manyavar"/>
    <s v="Family Function"/>
    <s v="Instagram"/>
    <n v="3"/>
    <n v="3000"/>
    <s v="11-20%"/>
    <n v="15"/>
    <s v="Valid"/>
    <s v="Match"/>
    <n v="9000"/>
    <n v="1350"/>
    <n v="7650"/>
    <n v="5742.18"/>
    <n v="1907.82"/>
    <b v="0"/>
    <n v="0"/>
    <s v="Cash"/>
    <s v="Karan"/>
    <s v="Instagram"/>
    <n v="4"/>
    <x v="0"/>
    <x v="3"/>
  </r>
  <r>
    <s v="ZAR-10890"/>
    <d v="2025-09-02T00:00:00"/>
    <s v="8 PM - 12 AM"/>
    <x v="104"/>
    <s v="Berhampur"/>
    <s v="Women"/>
    <s v="Dupatta"/>
    <s v="FabIndia"/>
    <s v="Wedding Guest"/>
    <s v="Store"/>
    <n v="1"/>
    <n v="2200"/>
    <s v="11-20%"/>
    <n v="20"/>
    <s v="Valid"/>
    <s v="Match"/>
    <n v="2200"/>
    <n v="440"/>
    <n v="1760"/>
    <n v="1429.41"/>
    <n v="330.59"/>
    <b v="0"/>
    <n v="0"/>
    <s v="Cash"/>
    <s v="Ananya"/>
    <s v="Referral"/>
    <n v="4"/>
    <x v="11"/>
    <x v="6"/>
  </r>
  <r>
    <s v="ZAR-10664"/>
    <d v="2025-02-19T00:00:00"/>
    <s v="8 PM - 12 AM"/>
    <x v="403"/>
    <s v="Rourkela"/>
    <s v="Women"/>
    <s v="Dupatta"/>
    <s v="Rangriti"/>
    <s v="Festive"/>
    <s v="Phone"/>
    <n v="1"/>
    <n v="800"/>
    <s v="21-30%"/>
    <n v="25"/>
    <s v="Valid"/>
    <s v="Match"/>
    <n v="800"/>
    <n v="200"/>
    <n v="600"/>
    <n v="444.02"/>
    <n v="155.97999999999999"/>
    <b v="0"/>
    <n v="0"/>
    <s v="Card"/>
    <s v="Karan"/>
    <s v="Google"/>
    <n v="5"/>
    <x v="4"/>
    <x v="1"/>
  </r>
  <r>
    <s v="ZAR-10179"/>
    <d v="2025-12-26T00:00:00"/>
    <s v="12 AM - 4 AM"/>
    <x v="302"/>
    <s v="Rourkela"/>
    <s v="Women"/>
    <s v="Bridal Lehenga"/>
    <s v="FabIndia"/>
    <s v="Engagement"/>
    <s v="Phone"/>
    <n v="1"/>
    <n v="51100"/>
    <s v="1-10%"/>
    <n v="5"/>
    <s v="Valid"/>
    <s v="Match"/>
    <n v="51100"/>
    <n v="2555"/>
    <n v="48545"/>
    <n v="34530.22"/>
    <n v="14014.78"/>
    <b v="0"/>
    <n v="0"/>
    <s v="Card"/>
    <s v="Karan"/>
    <s v="Referral"/>
    <n v="3.5"/>
    <x v="1"/>
    <x v="3"/>
  </r>
  <r>
    <s v="ZAR-10397"/>
    <d v="2025-09-09T00:00:00"/>
    <s v="8 AM - 12 PM"/>
    <x v="404"/>
    <s v="Berhampur"/>
    <s v="Men"/>
    <s v="Shirt"/>
    <s v="Manyavar"/>
    <s v="Casual"/>
    <s v="Store"/>
    <n v="1"/>
    <n v="2950"/>
    <s v="11-20%"/>
    <n v="20"/>
    <s v="Valid"/>
    <s v="Match"/>
    <n v="2950"/>
    <n v="590"/>
    <n v="2360"/>
    <n v="1789.98"/>
    <n v="570.02"/>
    <b v="0"/>
    <n v="0"/>
    <s v="Net Banking"/>
    <s v="Priya"/>
    <s v="Google"/>
    <n v="4"/>
    <x v="11"/>
    <x v="6"/>
  </r>
  <r>
    <s v="ZAR-10682"/>
    <d v="2025-08-27T00:00:00"/>
    <s v="12 AM - 4 AM"/>
    <x v="275"/>
    <s v="Rourkela"/>
    <s v="Men"/>
    <s v="Nehru Jacket"/>
    <s v="Rangriti"/>
    <s v="Family Function"/>
    <s v="Instagram"/>
    <n v="1"/>
    <n v="6650"/>
    <s v="0%"/>
    <n v="0"/>
    <s v="Valid"/>
    <s v="Match"/>
    <n v="6650"/>
    <n v="0"/>
    <n v="6650"/>
    <n v="4101.59"/>
    <n v="2548.41"/>
    <b v="0"/>
    <n v="0"/>
    <s v="Cash"/>
    <s v="Neha"/>
    <s v="Repeat Customer"/>
    <n v="3"/>
    <x v="6"/>
    <x v="1"/>
  </r>
  <r>
    <s v="ZAR-10801"/>
    <d v="2025-01-06T00:00:00"/>
    <s v="8 PM - 12 AM"/>
    <x v="405"/>
    <s v="Berhampur"/>
    <s v="Women"/>
    <s v="Saree"/>
    <s v="Designer Collection"/>
    <s v="Reception"/>
    <s v="Store"/>
    <n v="1"/>
    <n v="8650"/>
    <s v="30%+"/>
    <s v="10"/>
    <s v="Invalid Discount"/>
    <s v="Match"/>
    <n v="8650"/>
    <n v="865"/>
    <n v="7785"/>
    <n v="5945.39"/>
    <n v="1839.61"/>
    <b v="0"/>
    <n v="0"/>
    <s v="Card"/>
    <s v="Karan"/>
    <s v="Google"/>
    <n v="4.5"/>
    <x v="10"/>
    <x v="2"/>
  </r>
  <r>
    <s v="ZAR-10970"/>
    <d v="2025-01-23T00:00:00"/>
    <s v="4 AM - 8 AM"/>
    <x v="139"/>
    <s v="Rourkela"/>
    <s v="Women"/>
    <s v="Lehenga"/>
    <s v="Designer Collection"/>
    <s v="Wedding"/>
    <s v="Store"/>
    <n v="3"/>
    <n v="10900"/>
    <s v="1-10%"/>
    <n v="5"/>
    <s v="Valid"/>
    <s v="Match"/>
    <n v="32700"/>
    <n v="1635"/>
    <n v="31065"/>
    <n v="19958.830000000002"/>
    <n v="11106.17"/>
    <b v="0"/>
    <n v="0"/>
    <s v="Card"/>
    <s v="Rohit"/>
    <s v="WhatsApp"/>
    <n v="5"/>
    <x v="10"/>
    <x v="4"/>
  </r>
  <r>
    <s v="ZAR-10690"/>
    <d v="2025-03-02T00:00:00"/>
    <s v="12 AM - 4 AM"/>
    <x v="406"/>
    <s v="Rourkela"/>
    <s v="Men"/>
    <s v="Shirt"/>
    <s v="Aurelia"/>
    <s v="Family Function"/>
    <s v="Store"/>
    <n v="1"/>
    <n v="1250"/>
    <s v="1-10%"/>
    <n v="10"/>
    <s v="Valid"/>
    <s v="Match"/>
    <n v="1250"/>
    <n v="125"/>
    <n v="1125"/>
    <n v="743.93"/>
    <n v="381.07"/>
    <b v="0"/>
    <n v="0"/>
    <s v="Card"/>
    <s v="Sanjay"/>
    <s v="Instagram"/>
    <n v="5"/>
    <x v="9"/>
    <x v="0"/>
  </r>
  <r>
    <s v="ZAR-10385"/>
    <d v="2025-08-26T00:00:00"/>
    <s v="4 AM - 8 AM"/>
    <x v="228"/>
    <s v="Balasore"/>
    <s v="Women"/>
    <s v="Blouse"/>
    <s v="Designer Collection"/>
    <s v="Office"/>
    <s v="Store"/>
    <n v="2"/>
    <n v="6150"/>
    <s v="0%"/>
    <n v="0"/>
    <s v="Valid"/>
    <s v="Match"/>
    <n v="12300"/>
    <n v="0"/>
    <n v="12300"/>
    <n v="9038.19"/>
    <n v="3261.81"/>
    <b v="0"/>
    <n v="0"/>
    <s v="UPI"/>
    <s v="Meera"/>
    <s v="WhatsApp"/>
    <n v="5"/>
    <x v="6"/>
    <x v="6"/>
  </r>
  <r>
    <s v="ZAR-10966"/>
    <d v="2025-05-01T00:00:00"/>
    <s v="8 PM - 12 AM"/>
    <x v="407"/>
    <s v="Rourkela"/>
    <s v="Kids"/>
    <s v="Kids Saree"/>
    <s v="Biba"/>
    <s v="Casual"/>
    <s v="Store"/>
    <n v="1"/>
    <n v="1300"/>
    <s v="1-10%"/>
    <n v="5"/>
    <s v="Valid"/>
    <s v="Match"/>
    <n v="1300"/>
    <n v="65"/>
    <n v="1235"/>
    <n v="680.9"/>
    <n v="554.1"/>
    <b v="0"/>
    <n v="0"/>
    <s v="Cash"/>
    <s v="Neha"/>
    <s v="Referral"/>
    <n v="3"/>
    <x v="8"/>
    <x v="4"/>
  </r>
  <r>
    <s v="ZAR-10618"/>
    <d v="2025-02-21T00:00:00"/>
    <s v="8 PM - 12 AM"/>
    <x v="408"/>
    <s v="Berhampur"/>
    <s v="Women"/>
    <s v="Dupatta"/>
    <s v="Aurelia"/>
    <s v="Office"/>
    <s v="Instagram"/>
    <n v="2"/>
    <n v="950"/>
    <s v="11-20%"/>
    <n v="20"/>
    <s v="Valid"/>
    <s v="Match"/>
    <n v="1900"/>
    <n v="380"/>
    <n v="1520"/>
    <n v="1375.58"/>
    <n v="144.41999999999999"/>
    <b v="0"/>
    <n v="0"/>
    <s v="Card"/>
    <s v="Meera"/>
    <s v="Google"/>
    <n v="4"/>
    <x v="4"/>
    <x v="3"/>
  </r>
  <r>
    <s v="ZAR-10259"/>
    <d v="2025-09-15T00:00:00"/>
    <s v="12 AM - 4 AM"/>
    <x v="409"/>
    <s v="Cuttack"/>
    <s v="Women"/>
    <s v="Salwar Suit"/>
    <s v="Manyavar"/>
    <s v="Puja"/>
    <s v="Website"/>
    <n v="1"/>
    <n v="2750"/>
    <s v="0%"/>
    <n v="0"/>
    <s v="Valid"/>
    <s v="Match"/>
    <n v="2750"/>
    <n v="0"/>
    <n v="2750"/>
    <n v="1670.06"/>
    <n v="1079.94"/>
    <b v="0"/>
    <n v="0"/>
    <s v="COD"/>
    <s v="Rohit"/>
    <s v="Google"/>
    <n v="5"/>
    <x v="11"/>
    <x v="2"/>
  </r>
  <r>
    <s v="ZAR-10337"/>
    <d v="2025-08-31T00:00:00"/>
    <s v="12 AM - 4 AM"/>
    <x v="410"/>
    <s v="Cuttack"/>
    <s v="Women"/>
    <s v="Bridal Lehenga"/>
    <s v="Local Artisan"/>
    <s v="Casual"/>
    <s v="Store"/>
    <n v="1"/>
    <n v="107050"/>
    <s v="21-30%"/>
    <n v="25"/>
    <s v="Valid"/>
    <s v="Match"/>
    <n v="107050"/>
    <n v="26762.5"/>
    <n v="80287.5"/>
    <n v="66949.48"/>
    <n v="13338.02"/>
    <b v="0"/>
    <n v="0"/>
    <s v="UPI"/>
    <s v="Meera"/>
    <s v="Repeat Customer"/>
    <n v="4"/>
    <x v="6"/>
    <x v="0"/>
  </r>
  <r>
    <s v="ZAR-10017"/>
    <d v="2025-09-18T00:00:00"/>
    <s v="12 AM - 4 AM"/>
    <x v="411"/>
    <s v="Cuttack"/>
    <s v="Women"/>
    <s v="Bridal Lehenga"/>
    <s v="Rangriti"/>
    <s v="Reception"/>
    <s v="Store"/>
    <n v="1"/>
    <n v="98050"/>
    <s v="11-20%"/>
    <n v="20"/>
    <s v="Valid"/>
    <s v="Match"/>
    <n v="98050"/>
    <n v="19610"/>
    <n v="78440"/>
    <n v="54381.98"/>
    <n v="24058.02"/>
    <b v="0"/>
    <n v="0"/>
    <s v="COD"/>
    <s v="Rohit"/>
    <s v="Repeat Customer"/>
    <n v="4"/>
    <x v="11"/>
    <x v="4"/>
  </r>
  <r>
    <s v="ZAR-10635"/>
    <d v="2025-11-13T00:00:00"/>
    <s v="12 AM - 4 AM"/>
    <x v="412"/>
    <s v="Cuttack"/>
    <s v="Kids"/>
    <s v="Kids Gown"/>
    <s v="Local Artisan"/>
    <s v="Festive"/>
    <s v="Store"/>
    <n v="4"/>
    <n v="4400"/>
    <s v="0%"/>
    <n v="0"/>
    <s v="Valid"/>
    <s v="Match"/>
    <n v="17600"/>
    <n v="0"/>
    <n v="17600"/>
    <n v="12416.39"/>
    <n v="5183.6099999999997"/>
    <b v="0"/>
    <n v="0"/>
    <s v="Card"/>
    <s v="Rohit"/>
    <s v="Instagram"/>
    <n v="4"/>
    <x v="5"/>
    <x v="4"/>
  </r>
  <r>
    <s v="ZAR-10326"/>
    <d v="2025-07-18T00:00:00"/>
    <s v="4 PM - 8 PM"/>
    <x v="43"/>
    <s v="Balasore"/>
    <s v="Women"/>
    <s v="Bridal Lehenga"/>
    <s v="Biba"/>
    <s v="Festive"/>
    <s v="Phone"/>
    <n v="1"/>
    <n v="111900"/>
    <s v="21-30%"/>
    <n v="25"/>
    <s v="Valid"/>
    <s v="Match"/>
    <n v="111900"/>
    <n v="27975"/>
    <n v="83925"/>
    <n v="59154.3"/>
    <n v="24770.7"/>
    <b v="0"/>
    <n v="0"/>
    <s v="Net Banking"/>
    <s v="Rohit"/>
    <s v="Google"/>
    <n v="4"/>
    <x v="0"/>
    <x v="3"/>
  </r>
  <r>
    <s v="ZAR-10892"/>
    <d v="2025-08-29T00:00:00"/>
    <s v="12 AM - 4 AM"/>
    <x v="413"/>
    <s v="Sambalpur"/>
    <s v="Women"/>
    <s v="Lehenga"/>
    <s v="Local Artisan"/>
    <s v="Festive"/>
    <s v="Instagram"/>
    <n v="2"/>
    <n v="24300"/>
    <s v="1-10%"/>
    <n v="5"/>
    <s v="Valid"/>
    <s v="Match"/>
    <n v="48600"/>
    <n v="2430"/>
    <n v="46170"/>
    <n v="31725.78"/>
    <n v="14444.22"/>
    <b v="0"/>
    <n v="0"/>
    <s v="UPI"/>
    <s v="Ananya"/>
    <s v="WhatsApp"/>
    <n v="3.5"/>
    <x v="6"/>
    <x v="3"/>
  </r>
  <r>
    <s v="ZAR-10224"/>
    <d v="2025-04-27T00:00:00"/>
    <s v="4 AM - 8 AM"/>
    <x v="414"/>
    <s v="Cuttack"/>
    <s v="Women"/>
    <s v="Blouse"/>
    <s v="Local Artisan"/>
    <s v="Puja"/>
    <s v="Store"/>
    <n v="1"/>
    <n v="3100"/>
    <s v="21-30%"/>
    <n v="30"/>
    <s v="Valid"/>
    <s v="Match"/>
    <n v="3100"/>
    <n v="930"/>
    <n v="2170"/>
    <n v="1887.11"/>
    <n v="282.89"/>
    <b v="0"/>
    <n v="0"/>
    <s v="Cash"/>
    <s v="Meera"/>
    <s v="Repeat Customer"/>
    <n v="2.5"/>
    <x v="7"/>
    <x v="0"/>
  </r>
  <r>
    <s v="ZAR-10181"/>
    <d v="2025-03-01T00:00:00"/>
    <s v="4 AM - 8 AM"/>
    <x v="225"/>
    <s v="Berhampur"/>
    <s v="Women"/>
    <s v="Saree"/>
    <s v="Zaree Studio"/>
    <s v="Wedding Guest"/>
    <s v="Store"/>
    <n v="1"/>
    <n v="10250"/>
    <s v="11-20%"/>
    <n v="20"/>
    <s v="Valid"/>
    <s v="Match"/>
    <n v="10250"/>
    <n v="2050"/>
    <n v="8200"/>
    <n v="6850.14"/>
    <n v="1349.86"/>
    <b v="0"/>
    <n v="0"/>
    <s v="Net Banking"/>
    <s v="Priya"/>
    <s v="Google"/>
    <n v="3.5"/>
    <x v="9"/>
    <x v="5"/>
  </r>
  <r>
    <s v="ZAR-10993"/>
    <d v="2025-11-04T00:00:00"/>
    <s v="12 PM - 4 PM"/>
    <x v="415"/>
    <s v="Rourkela"/>
    <s v="Women"/>
    <s v="Kurti"/>
    <s v="Aurelia"/>
    <s v="Puja"/>
    <s v="WhatsApp"/>
    <n v="2"/>
    <n v="3750"/>
    <s v="0%"/>
    <n v="0"/>
    <s v="Valid"/>
    <s v="Match"/>
    <n v="7500"/>
    <n v="0"/>
    <n v="7500"/>
    <n v="4056.05"/>
    <n v="3443.95"/>
    <b v="0"/>
    <n v="0"/>
    <s v="Card"/>
    <s v="Neha"/>
    <s v="Instagram"/>
    <n v="3"/>
    <x v="5"/>
    <x v="6"/>
  </r>
  <r>
    <s v="ZAR-10024"/>
    <d v="2025-02-05T00:00:00"/>
    <s v="8 AM - 12 PM"/>
    <x v="416"/>
    <s v="Balasore"/>
    <s v="Women"/>
    <s v="Kurti"/>
    <s v="Zaree Studio"/>
    <s v="Puja"/>
    <s v="Store"/>
    <n v="2"/>
    <n v="1550"/>
    <s v="11-20%"/>
    <n v="15"/>
    <s v="Valid"/>
    <s v="Match"/>
    <n v="3100"/>
    <n v="465"/>
    <n v="2635"/>
    <n v="1835.87"/>
    <n v="799.13"/>
    <b v="0"/>
    <n v="0"/>
    <s v="UPI"/>
    <s v="Priya"/>
    <s v="Walk-in"/>
    <n v="4"/>
    <x v="4"/>
    <x v="1"/>
  </r>
  <r>
    <s v="ZAR-10358"/>
    <d v="2025-01-27T00:00:00"/>
    <s v="8 PM - 12 AM"/>
    <x v="417"/>
    <s v="Puri"/>
    <s v="Men"/>
    <s v="Dhoti Set"/>
    <s v="Manyavar"/>
    <s v="Family Function"/>
    <s v="WhatsApp"/>
    <n v="2"/>
    <n v="3150"/>
    <s v="11-20%"/>
    <n v="20"/>
    <s v="Valid"/>
    <s v="Match"/>
    <n v="6300"/>
    <n v="1260"/>
    <n v="5040"/>
    <n v="3510.34"/>
    <n v="1529.66"/>
    <b v="0"/>
    <n v="0"/>
    <s v="COD"/>
    <s v="Ananya"/>
    <s v="Referral"/>
    <n v="3"/>
    <x v="10"/>
    <x v="2"/>
  </r>
  <r>
    <s v="ZAR-10672"/>
    <d v="2025-04-27T00:00:00"/>
    <s v="12 AM - 4 AM"/>
    <x v="418"/>
    <s v="Bhubaneshwar"/>
    <s v="Women"/>
    <s v="Blouse"/>
    <s v="Local Artisan"/>
    <s v="Festive"/>
    <s v="Store"/>
    <n v="2"/>
    <n v="4000"/>
    <s v="11-20%"/>
    <n v="15"/>
    <s v="Valid"/>
    <s v="Match"/>
    <n v="8000"/>
    <n v="1200"/>
    <n v="6800"/>
    <n v="5000.5600000000004"/>
    <n v="1799.44"/>
    <b v="0"/>
    <n v="0"/>
    <s v="UPI"/>
    <s v="Neha"/>
    <s v="Google"/>
    <n v="4.5"/>
    <x v="7"/>
    <x v="0"/>
  </r>
  <r>
    <s v="ZAR-10869"/>
    <d v="2025-03-25T00:00:00"/>
    <s v="4 PM - 8 PM"/>
    <x v="419"/>
    <s v="Sambalpur"/>
    <s v="Women"/>
    <s v="Salwar Suit"/>
    <s v="Designer Collection"/>
    <s v="Office"/>
    <s v="Phone"/>
    <n v="1"/>
    <n v="5100"/>
    <s v="11-20%"/>
    <n v="20"/>
    <s v="Valid"/>
    <s v="Match"/>
    <n v="5100"/>
    <n v="1020"/>
    <n v="4080"/>
    <n v="3160.64"/>
    <n v="919.36"/>
    <b v="0"/>
    <n v="0"/>
    <s v="Cash"/>
    <s v="Rohit"/>
    <s v="Referral"/>
    <n v="4.5"/>
    <x v="9"/>
    <x v="6"/>
  </r>
  <r>
    <s v="ZAR-10342"/>
    <d v="2025-06-14T00:00:00"/>
    <s v="4 AM - 8 AM"/>
    <x v="420"/>
    <s v="Sambalpur"/>
    <s v="Women"/>
    <s v="Salwar Suit"/>
    <s v="Manyavar"/>
    <s v="Casual"/>
    <s v="Store"/>
    <n v="2"/>
    <n v="1950"/>
    <s v="21-30%"/>
    <n v="25"/>
    <s v="Valid"/>
    <s v="Match"/>
    <n v="3900"/>
    <n v="975"/>
    <n v="2925"/>
    <n v="2793.45"/>
    <n v="131.55000000000001"/>
    <b v="0"/>
    <n v="0"/>
    <s v="Cash"/>
    <s v="Ananya"/>
    <s v="Instagram"/>
    <n v="3"/>
    <x v="2"/>
    <x v="5"/>
  </r>
  <r>
    <s v="ZAR-10433"/>
    <d v="2025-03-24T00:00:00"/>
    <s v="8 PM - 12 AM"/>
    <x v="421"/>
    <s v="Berhampur"/>
    <s v="Women"/>
    <s v="Gown"/>
    <s v="Designer Collection"/>
    <s v="Reception"/>
    <s v="Store"/>
    <n v="3"/>
    <n v="11450"/>
    <s v="21-30%"/>
    <n v="30"/>
    <s v="Valid"/>
    <s v="Match"/>
    <n v="34350"/>
    <n v="10305"/>
    <n v="24045"/>
    <n v="18620.689999999999"/>
    <n v="5424.31"/>
    <b v="0"/>
    <n v="0"/>
    <s v="UPI"/>
    <s v="Meera"/>
    <s v="Instagram"/>
    <n v="4.5"/>
    <x v="9"/>
    <x v="2"/>
  </r>
  <r>
    <s v="ZAR-10955"/>
    <d v="2025-06-17T00:00:00"/>
    <s v="4 AM - 8 AM"/>
    <x v="124"/>
    <s v="Bhubaneshwar"/>
    <s v="Women"/>
    <s v="Salwar Suit"/>
    <s v="Rangriti"/>
    <s v="Puja"/>
    <s v="Website"/>
    <n v="1"/>
    <n v="7100"/>
    <s v="0%"/>
    <n v="0"/>
    <s v="Valid"/>
    <s v="Match"/>
    <n v="7100"/>
    <n v="0"/>
    <n v="7100"/>
    <n v="5224.72"/>
    <n v="1875.28"/>
    <b v="0"/>
    <n v="0"/>
    <s v="Cash"/>
    <s v="Ananya"/>
    <s v="Instagram"/>
    <n v="4.5"/>
    <x v="2"/>
    <x v="6"/>
  </r>
  <r>
    <s v="ZAR-10860"/>
    <d v="2025-07-15T00:00:00"/>
    <s v="8 PM - 12 AM"/>
    <x v="422"/>
    <s v="Rourkela"/>
    <s v="Men"/>
    <s v="Indo-Western"/>
    <s v="Manyavar"/>
    <s v="Casual"/>
    <s v="Store"/>
    <n v="1"/>
    <n v="9850"/>
    <s v="1-10%"/>
    <n v="5"/>
    <s v="Valid"/>
    <s v="Match"/>
    <n v="9850"/>
    <n v="492.5"/>
    <n v="9357.5"/>
    <n v="6830.17"/>
    <n v="2527.33"/>
    <b v="0"/>
    <n v="0"/>
    <s v="Card"/>
    <s v="Ananya"/>
    <s v="Instagram"/>
    <n v="3.5"/>
    <x v="0"/>
    <x v="6"/>
  </r>
  <r>
    <s v="ZAR-10205"/>
    <d v="2025-02-13T00:00:00"/>
    <s v="8 PM - 12 AM"/>
    <x v="423"/>
    <s v="Puri"/>
    <s v="Women"/>
    <s v="Salwar Suit"/>
    <s v="Local Artisan"/>
    <s v="Puja"/>
    <s v="Store"/>
    <n v="1"/>
    <n v="5850"/>
    <s v="21-30%"/>
    <n v="25"/>
    <s v="Valid"/>
    <s v="Match"/>
    <n v="5850"/>
    <n v="1462.5"/>
    <n v="4387.5"/>
    <n v="3901.03"/>
    <n v="486.47"/>
    <b v="0"/>
    <n v="0"/>
    <s v="COD"/>
    <s v="Sanjay"/>
    <s v="Repeat Customer"/>
    <n v="3.5"/>
    <x v="4"/>
    <x v="4"/>
  </r>
  <r>
    <s v="ZAR-10636"/>
    <d v="2025-01-27T00:00:00"/>
    <s v="8 AM - 12 PM"/>
    <x v="250"/>
    <s v="Puri"/>
    <s v="Women"/>
    <s v="Gown"/>
    <s v="Biba"/>
    <s v="Office"/>
    <s v="Store"/>
    <n v="1"/>
    <n v="12700"/>
    <s v="0%"/>
    <n v="0"/>
    <s v="Valid"/>
    <s v="Match"/>
    <n v="12700"/>
    <n v="0"/>
    <n v="12700"/>
    <n v="9213.9"/>
    <n v="3486.1"/>
    <b v="0"/>
    <n v="0"/>
    <s v="Cash"/>
    <s v="Karan"/>
    <s v="Repeat Customer"/>
    <n v="3"/>
    <x v="10"/>
    <x v="2"/>
  </r>
  <r>
    <s v="ZAR-10095"/>
    <d v="2025-02-04T00:00:00"/>
    <s v="4 PM - 8 PM"/>
    <x v="115"/>
    <s v="Berhampur"/>
    <s v="Women"/>
    <s v="Dupatta"/>
    <s v="Designer Collection"/>
    <s v="Wedding Guest"/>
    <s v="WhatsApp"/>
    <n v="2"/>
    <n v="1350"/>
    <s v="11-20%"/>
    <n v="20"/>
    <s v="Valid"/>
    <s v="Match"/>
    <n v="2700"/>
    <n v="540"/>
    <n v="2160"/>
    <n v="1982.94"/>
    <n v="177.06"/>
    <b v="0"/>
    <n v="0"/>
    <s v="UPI"/>
    <s v="Karan"/>
    <s v="Google"/>
    <s v="Not Rated"/>
    <x v="4"/>
    <x v="6"/>
  </r>
  <r>
    <s v="ZAR-10971"/>
    <d v="2025-05-24T00:00:00"/>
    <s v="8 PM - 12 AM"/>
    <x v="191"/>
    <s v="Rourkela"/>
    <s v="Women"/>
    <s v="Gown"/>
    <s v="Rangriti"/>
    <s v="Festive"/>
    <s v="Website"/>
    <n v="1"/>
    <n v="3700"/>
    <s v="11-20%"/>
    <n v="20"/>
    <s v="Valid"/>
    <s v="Match"/>
    <n v="3700"/>
    <n v="740"/>
    <n v="2960"/>
    <n v="2257.04"/>
    <n v="702.96"/>
    <b v="0"/>
    <n v="0"/>
    <s v="UPI"/>
    <s v="Meera"/>
    <s v="Referral"/>
    <n v="4.5"/>
    <x v="8"/>
    <x v="5"/>
  </r>
  <r>
    <s v="ZAR-10070"/>
    <d v="2025-08-04T00:00:00"/>
    <s v="4 PM - 8 PM"/>
    <x v="424"/>
    <s v="Balasore"/>
    <s v="Women"/>
    <s v="Kurti"/>
    <s v="Rangriti"/>
    <s v="Office"/>
    <s v="Store"/>
    <n v="1"/>
    <n v="2950"/>
    <s v="1-10%"/>
    <n v="10"/>
    <s v="Valid"/>
    <s v="Match"/>
    <n v="2950"/>
    <n v="295"/>
    <n v="2655"/>
    <n v="1568.01"/>
    <n v="1086.99"/>
    <b v="0"/>
    <n v="0"/>
    <s v="Net Banking"/>
    <s v="Neha"/>
    <s v="Walk-in"/>
    <n v="4.5"/>
    <x v="6"/>
    <x v="2"/>
  </r>
  <r>
    <s v="ZAR-10628"/>
    <d v="2025-07-24T00:00:00"/>
    <s v="4 AM - 8 AM"/>
    <x v="425"/>
    <s v="Cuttack"/>
    <s v="Women"/>
    <s v="Salwar Suit"/>
    <s v="Local Artisan"/>
    <s v="Reception"/>
    <s v="Store"/>
    <n v="2"/>
    <n v="5150"/>
    <s v="11-20%"/>
    <n v="15"/>
    <s v="Valid"/>
    <s v="Match"/>
    <n v="10300"/>
    <n v="1545"/>
    <n v="8755"/>
    <n v="6517.68"/>
    <n v="2237.3200000000002"/>
    <b v="0"/>
    <n v="0"/>
    <s v="UPI"/>
    <s v="Neha"/>
    <s v="Not Recorded"/>
    <n v="4"/>
    <x v="0"/>
    <x v="4"/>
  </r>
  <r>
    <s v="ZAR-10286"/>
    <d v="2025-07-05T00:00:00"/>
    <s v="4 PM - 8 PM"/>
    <x v="288"/>
    <s v="Rourkela"/>
    <s v="Women"/>
    <s v="Salwar Suit"/>
    <s v="Aurelia"/>
    <s v="Wedding Guest"/>
    <s v="Store"/>
    <n v="1"/>
    <n v="6150"/>
    <s v="11-20%"/>
    <n v="15"/>
    <s v="Valid"/>
    <s v="Match"/>
    <n v="6150"/>
    <n v="922.5"/>
    <n v="5227.5"/>
    <n v="4254.66"/>
    <n v="972.84"/>
    <b v="0"/>
    <n v="0"/>
    <s v="Cash"/>
    <s v="Karan"/>
    <s v="WhatsApp"/>
    <n v="3.5"/>
    <x v="0"/>
    <x v="5"/>
  </r>
  <r>
    <s v="ZAR-10812"/>
    <d v="2025-04-25T00:00:00"/>
    <s v="8 PM - 12 AM"/>
    <x v="426"/>
    <s v="Cuttack"/>
    <s v="Men"/>
    <s v="Kurta Pajama"/>
    <s v="Zaree Studio"/>
    <s v="Casual"/>
    <s v="Website"/>
    <n v="2"/>
    <n v="5050"/>
    <s v="1-10%"/>
    <n v="10"/>
    <s v="Valid"/>
    <s v="Match"/>
    <n v="10100"/>
    <n v="1010"/>
    <n v="9090"/>
    <n v="5310.57"/>
    <n v="3779.43"/>
    <b v="0"/>
    <n v="0"/>
    <s v="Cash"/>
    <s v="Rohit"/>
    <s v="Instagram"/>
    <n v="3.5"/>
    <x v="7"/>
    <x v="3"/>
  </r>
  <r>
    <s v="ZAR-10436"/>
    <d v="2025-04-12T00:00:00"/>
    <s v="8 AM - 12 PM"/>
    <x v="427"/>
    <s v="Puri"/>
    <s v="Women"/>
    <s v="Bridal Lehenga"/>
    <s v="Biba"/>
    <s v="Festive"/>
    <s v="Store"/>
    <n v="1"/>
    <n v="116750"/>
    <s v="1-10%"/>
    <n v="5"/>
    <s v="Valid"/>
    <s v="Match"/>
    <n v="116750"/>
    <n v="5837.5"/>
    <n v="110912.5"/>
    <n v="85730.47"/>
    <n v="25182.03"/>
    <b v="0"/>
    <n v="0"/>
    <s v="Card"/>
    <s v="Ananya"/>
    <s v="Referral"/>
    <n v="4.5"/>
    <x v="7"/>
    <x v="5"/>
  </r>
  <r>
    <s v="ZAR-10155"/>
    <d v="2025-09-03T00:00:00"/>
    <s v="4 PM - 8 PM"/>
    <x v="161"/>
    <s v="Berhampur"/>
    <s v="Men"/>
    <s v="Shirt"/>
    <s v="Zaree Studio"/>
    <s v="Family Function"/>
    <s v="Store"/>
    <n v="1"/>
    <n v="2150"/>
    <s v="11-20%"/>
    <n v="15"/>
    <s v="Valid"/>
    <s v="Match"/>
    <n v="2150"/>
    <n v="322.5"/>
    <n v="1827.5"/>
    <n v="1586.6"/>
    <n v="240.9"/>
    <b v="0"/>
    <n v="0"/>
    <s v="Cash"/>
    <s v="Karan"/>
    <s v="Repeat Customer"/>
    <n v="4.5"/>
    <x v="11"/>
    <x v="1"/>
  </r>
  <r>
    <s v="ZAR-10077"/>
    <d v="2025-10-18T00:00:00"/>
    <s v="4 PM - 8 PM"/>
    <x v="176"/>
    <s v="Bhubaneshwar"/>
    <s v="Women"/>
    <s v="Gown"/>
    <s v="Rangriti"/>
    <s v="Wedding Guest"/>
    <s v="Store"/>
    <n v="1"/>
    <n v="4450"/>
    <s v="1-10%"/>
    <n v="10"/>
    <s v="Valid"/>
    <s v="Match"/>
    <n v="4450"/>
    <n v="445"/>
    <n v="4005"/>
    <n v="3074.52"/>
    <n v="930.48"/>
    <b v="0"/>
    <n v="0"/>
    <s v="Cash"/>
    <s v="Sanjay"/>
    <s v="WhatsApp"/>
    <n v="5"/>
    <x v="3"/>
    <x v="5"/>
  </r>
  <r>
    <s v="ZAR-10973"/>
    <d v="2025-07-02T00:00:00"/>
    <s v="12 PM - 4 PM"/>
    <x v="244"/>
    <s v="Balasore"/>
    <s v="Women"/>
    <s v="Kurti"/>
    <s v="Zaree Studio"/>
    <s v="Reception"/>
    <s v="Store"/>
    <n v="1"/>
    <n v="4200"/>
    <s v="11-20%"/>
    <n v="15"/>
    <s v="Valid"/>
    <s v="Match"/>
    <n v="4200"/>
    <n v="630"/>
    <n v="3570"/>
    <n v="2827.45"/>
    <n v="742.55"/>
    <b v="0"/>
    <n v="0"/>
    <s v="Cash"/>
    <s v="Rohit"/>
    <s v="Walk-in"/>
    <n v="4.5"/>
    <x v="0"/>
    <x v="1"/>
  </r>
  <r>
    <s v="ZAR-10448"/>
    <d v="2025-07-03T00:00:00"/>
    <s v="8 PM - 12 AM"/>
    <x v="403"/>
    <s v="Puri"/>
    <s v="Men"/>
    <s v="Shirt"/>
    <s v="Local Artisan"/>
    <s v="Family Function"/>
    <s v="Store"/>
    <n v="1"/>
    <n v="3400"/>
    <s v="21-30%"/>
    <n v="25"/>
    <s v="Valid"/>
    <s v="Match"/>
    <n v="3400"/>
    <n v="850"/>
    <n v="2550"/>
    <n v="2219.4299999999998"/>
    <n v="330.57"/>
    <b v="0"/>
    <n v="0"/>
    <s v="UPI"/>
    <s v="Meera"/>
    <s v="Google"/>
    <n v="4"/>
    <x v="0"/>
    <x v="4"/>
  </r>
  <r>
    <s v="ZAR-10190"/>
    <d v="2025-02-03T00:00:00"/>
    <s v="4 AM - 8 AM"/>
    <x v="428"/>
    <s v="Balasore"/>
    <s v="Men"/>
    <s v="Shirt"/>
    <s v="Zaree Studio"/>
    <s v="Wedding"/>
    <s v="Store"/>
    <n v="2"/>
    <n v="1050"/>
    <s v="21-30%"/>
    <n v="30"/>
    <s v="Valid"/>
    <s v="Match"/>
    <n v="2100"/>
    <n v="630"/>
    <n v="1470"/>
    <n v="1126.6400000000001"/>
    <n v="343.36"/>
    <b v="0"/>
    <n v="0"/>
    <s v="Card"/>
    <s v="Neha"/>
    <s v="Google"/>
    <n v="4"/>
    <x v="4"/>
    <x v="2"/>
  </r>
  <r>
    <s v="ZAR-10273"/>
    <d v="2025-04-10T00:00:00"/>
    <s v="12 AM - 4 AM"/>
    <x v="429"/>
    <s v="Berhampur"/>
    <s v="Men"/>
    <s v="Indo-Western"/>
    <s v="Zaree Studio"/>
    <s v="Casual"/>
    <s v="Store"/>
    <n v="3"/>
    <n v="4150"/>
    <s v="21-30%"/>
    <n v="30"/>
    <s v="Valid"/>
    <s v="Match"/>
    <n v="12450"/>
    <n v="3735"/>
    <n v="8715"/>
    <n v="7893.22"/>
    <n v="821.78"/>
    <b v="0"/>
    <n v="0"/>
    <s v="Card"/>
    <s v="Ananya"/>
    <s v="Referral"/>
    <n v="3"/>
    <x v="7"/>
    <x v="4"/>
  </r>
  <r>
    <s v="ZAR-10238"/>
    <d v="2025-08-10T00:00:00"/>
    <s v="4 PM - 8 PM"/>
    <x v="430"/>
    <s v="Berhampur"/>
    <s v="Women"/>
    <s v="Saree"/>
    <s v="Rangriti"/>
    <s v="Reception"/>
    <s v="WhatsApp"/>
    <n v="1"/>
    <n v="33800"/>
    <s v="21-30%"/>
    <n v="25"/>
    <s v="Valid"/>
    <s v="Match"/>
    <n v="33800"/>
    <n v="8450"/>
    <n v="25350"/>
    <n v="17937.18"/>
    <n v="7412.82"/>
    <b v="0"/>
    <n v="0"/>
    <s v="Net Banking"/>
    <s v="Karan"/>
    <s v="Repeat Customer"/>
    <n v="3"/>
    <x v="6"/>
    <x v="0"/>
  </r>
  <r>
    <s v="ZAR-10489"/>
    <d v="2025-11-25T00:00:00"/>
    <s v="8 PM - 12 AM"/>
    <x v="431"/>
    <s v="Bhubaneshwar"/>
    <s v="Women"/>
    <s v="Salwar Suit"/>
    <s v="Rangriti"/>
    <s v="Casual"/>
    <s v="Website"/>
    <n v="3"/>
    <n v="6700"/>
    <s v="0%"/>
    <n v="0"/>
    <s v="Valid"/>
    <s v="Match"/>
    <n v="20100"/>
    <n v="0"/>
    <n v="20100"/>
    <n v="14599.35"/>
    <n v="5500.65"/>
    <b v="0"/>
    <n v="0"/>
    <s v="COD"/>
    <s v="Sanjay"/>
    <s v="Google"/>
    <n v="4"/>
    <x v="5"/>
    <x v="6"/>
  </r>
  <r>
    <s v="ZAR-10119"/>
    <d v="2025-12-27T00:00:00"/>
    <s v="4 AM - 8 AM"/>
    <x v="432"/>
    <s v="Balasore"/>
    <s v="Women"/>
    <s v="Kurti"/>
    <s v="Biba"/>
    <s v="Puja"/>
    <s v="Store"/>
    <n v="1"/>
    <n v="1750"/>
    <s v="1-10%"/>
    <n v="10"/>
    <s v="Valid"/>
    <s v="Match"/>
    <n v="1750"/>
    <n v="175"/>
    <n v="1575"/>
    <n v="1206.9000000000001"/>
    <n v="368.1"/>
    <b v="0"/>
    <n v="0"/>
    <s v="Cash"/>
    <s v="Ananya"/>
    <s v="Repeat Customer"/>
    <n v="5"/>
    <x v="1"/>
    <x v="5"/>
  </r>
  <r>
    <s v="ZAR-10826"/>
    <d v="2025-10-07T00:00:00"/>
    <s v="8 PM - 12 AM"/>
    <x v="433"/>
    <s v="Sambalpur"/>
    <s v="Men"/>
    <s v="Dhoti Set"/>
    <s v="Local Artisan"/>
    <s v="Casual"/>
    <s v="Store"/>
    <n v="2"/>
    <n v="4750"/>
    <s v="11-20%"/>
    <n v="20"/>
    <s v="Valid"/>
    <s v="Match"/>
    <n v="9500"/>
    <n v="1900"/>
    <n v="7600"/>
    <n v="5763.85"/>
    <n v="1836.15"/>
    <b v="0"/>
    <n v="0"/>
    <s v="Net Banking"/>
    <s v="Sanjay"/>
    <s v="Google"/>
    <n v="4"/>
    <x v="3"/>
    <x v="6"/>
  </r>
  <r>
    <s v="ZAR-10514"/>
    <d v="2025-11-06T00:00:00"/>
    <s v="4 AM - 8 AM"/>
    <x v="285"/>
    <s v="Sambalpur"/>
    <s v="Women"/>
    <s v="Kurti"/>
    <s v="Zaree Studio"/>
    <s v="Casual"/>
    <s v="Website"/>
    <n v="1"/>
    <n v="750"/>
    <s v="0%"/>
    <n v="0"/>
    <s v="Valid"/>
    <s v="Match"/>
    <n v="750"/>
    <n v="0"/>
    <n v="750"/>
    <n v="526.05999999999995"/>
    <n v="223.94"/>
    <b v="0"/>
    <n v="0"/>
    <s v="UPI"/>
    <s v="Priya"/>
    <s v="WhatsApp"/>
    <n v="4"/>
    <x v="5"/>
    <x v="4"/>
  </r>
  <r>
    <s v="ZAR-10802"/>
    <d v="2025-06-24T00:00:00"/>
    <s v="8 AM - 12 PM"/>
    <x v="434"/>
    <s v="Rourkela"/>
    <s v="Women"/>
    <s v="Lehenga"/>
    <s v="Manyavar"/>
    <s v="Festive"/>
    <s v="Website"/>
    <n v="2"/>
    <n v="27550"/>
    <s v="1-10%"/>
    <n v="5"/>
    <s v="Valid"/>
    <s v="Match"/>
    <n v="55100"/>
    <n v="2755"/>
    <n v="52345"/>
    <n v="29505.42"/>
    <n v="22839.58"/>
    <b v="0"/>
    <n v="0"/>
    <s v="Net Banking"/>
    <s v="Meera"/>
    <s v="Referral"/>
    <n v="4"/>
    <x v="2"/>
    <x v="6"/>
  </r>
  <r>
    <s v="ZAR-10597"/>
    <d v="2025-03-22T00:00:00"/>
    <s v="12 AM - 4 AM"/>
    <x v="265"/>
    <s v="Sambalpur"/>
    <s v="Women"/>
    <s v="Lehenga"/>
    <s v="Local Artisan"/>
    <s v="Wedding"/>
    <s v="Store"/>
    <n v="1"/>
    <n v="32200"/>
    <s v="21-30%"/>
    <n v="30"/>
    <s v="Valid"/>
    <s v="Match"/>
    <n v="32200"/>
    <n v="9660"/>
    <n v="22540"/>
    <n v="20951.37"/>
    <n v="1588.63"/>
    <b v="0"/>
    <n v="0"/>
    <s v="Card"/>
    <s v="Meera"/>
    <s v="Walk-in"/>
    <n v="4.5"/>
    <x v="9"/>
    <x v="5"/>
  </r>
  <r>
    <s v="ZAR-10128"/>
    <d v="2025-11-02T00:00:00"/>
    <s v="12 AM - 4 AM"/>
    <x v="435"/>
    <s v="Rourkela"/>
    <s v="Kids"/>
    <s v="Kids Sherwani"/>
    <s v="Aurelia"/>
    <s v="Wedding"/>
    <s v="Store"/>
    <n v="3"/>
    <n v="5150"/>
    <s v="21-30%"/>
    <n v="30"/>
    <s v="Valid"/>
    <s v="Match"/>
    <n v="15450"/>
    <n v="4635"/>
    <n v="10815"/>
    <n v="8875.1299999999992"/>
    <n v="1939.87"/>
    <b v="0"/>
    <n v="0"/>
    <s v="COD"/>
    <s v="Neha"/>
    <s v="Walk-in"/>
    <n v="3"/>
    <x v="5"/>
    <x v="0"/>
  </r>
  <r>
    <s v="ZAR-10118"/>
    <d v="2025-12-06T00:00:00"/>
    <s v="12 PM - 4 PM"/>
    <x v="436"/>
    <s v="Rourkela"/>
    <s v="Kids"/>
    <s v="Kids Lehenga"/>
    <s v="FabIndia"/>
    <s v="Wedding"/>
    <s v="Walk-in"/>
    <n v="1"/>
    <n v="9200"/>
    <s v="11-20%"/>
    <n v="20"/>
    <s v="Valid"/>
    <s v="Match"/>
    <n v="9200"/>
    <n v="1840"/>
    <n v="7360"/>
    <n v="5441.9"/>
    <n v="1918.1"/>
    <b v="0"/>
    <n v="0"/>
    <s v="Cash"/>
    <s v="Neha"/>
    <s v="Google"/>
    <n v="4.5"/>
    <x v="1"/>
    <x v="5"/>
  </r>
  <r>
    <s v="ZAR-10475"/>
    <d v="2025-11-16T00:00:00"/>
    <s v="8 PM - 12 AM"/>
    <x v="437"/>
    <s v="Rourkela"/>
    <s v="Women"/>
    <s v="Blouse"/>
    <s v="Biba"/>
    <s v="Office"/>
    <s v="Store"/>
    <n v="1"/>
    <n v="4950"/>
    <s v="21-30%"/>
    <n v="25"/>
    <s v="Valid"/>
    <s v="Match"/>
    <n v="4950"/>
    <n v="1237.5"/>
    <n v="3712.5"/>
    <n v="2928.16"/>
    <n v="784.34"/>
    <b v="0"/>
    <n v="0"/>
    <s v="UPI"/>
    <s v="Meera"/>
    <s v="Walk-in"/>
    <n v="4"/>
    <x v="5"/>
    <x v="0"/>
  </r>
  <r>
    <s v="ZAR-10699"/>
    <d v="2025-01-19T00:00:00"/>
    <s v="8 PM - 12 AM"/>
    <x v="49"/>
    <s v="Bhubaneshwar"/>
    <s v="Men"/>
    <s v="Nehru Jacket"/>
    <s v="Manyavar"/>
    <s v="Casual"/>
    <s v="Store"/>
    <n v="2"/>
    <n v="2900"/>
    <s v="21-30%"/>
    <n v="30"/>
    <s v="Valid"/>
    <s v="Match"/>
    <n v="5800"/>
    <n v="1740"/>
    <n v="4060"/>
    <n v="4135.78"/>
    <n v="-75.78"/>
    <b v="0"/>
    <n v="0"/>
    <s v="Net Banking"/>
    <s v="Meera"/>
    <s v="Walk-in"/>
    <n v="4"/>
    <x v="10"/>
    <x v="0"/>
  </r>
  <r>
    <s v="ZAR-10059"/>
    <d v="2025-04-03T00:00:00"/>
    <s v="4 AM - 8 AM"/>
    <x v="438"/>
    <s v="Bhubaneshwar"/>
    <s v="Women"/>
    <s v="Bridal Lehenga"/>
    <s v="Manyavar"/>
    <s v="Reception"/>
    <s v="Instagram"/>
    <n v="1"/>
    <n v="49400"/>
    <s v="11-20%"/>
    <n v="15"/>
    <s v="Valid"/>
    <s v="Match"/>
    <n v="49400"/>
    <n v="7410"/>
    <n v="41990"/>
    <n v="31838.51"/>
    <n v="10151.49"/>
    <b v="0"/>
    <n v="0"/>
    <s v="Card"/>
    <s v="Sanjay"/>
    <s v="WhatsApp"/>
    <n v="4"/>
    <x v="7"/>
    <x v="4"/>
  </r>
  <r>
    <s v=" ZAR-10680 "/>
    <d v="2025-05-28T00:00:00"/>
    <s v="4 PM - 8 PM"/>
    <x v="439"/>
    <s v="Rourkela"/>
    <s v="Kids"/>
    <s v="Kids Lehenga"/>
    <s v="Designer Collection"/>
    <s v="Wedding"/>
    <s v="Instagram"/>
    <n v="2"/>
    <n v="10150"/>
    <s v="21-30%"/>
    <n v="25"/>
    <s v="Valid"/>
    <s v="Match"/>
    <n v="20300"/>
    <n v="5075"/>
    <n v="15225"/>
    <n v="14720.42"/>
    <n v="504.58"/>
    <b v="0"/>
    <n v="0"/>
    <s v="Card"/>
    <s v="Rohit"/>
    <s v="Not Recorded"/>
    <n v="3.5"/>
    <x v="8"/>
    <x v="1"/>
  </r>
  <r>
    <s v="ZAR-10920"/>
    <d v="2025-01-30T00:00:00"/>
    <s v="12 PM - 4 PM"/>
    <x v="15"/>
    <s v="Cuttack"/>
    <s v="Women"/>
    <s v="Saree"/>
    <s v="FabIndia"/>
    <s v="Festive"/>
    <s v="Store"/>
    <n v="1"/>
    <n v="27250"/>
    <s v="0%"/>
    <n v="0"/>
    <s v="Valid"/>
    <s v="Match"/>
    <n v="27250"/>
    <n v="0"/>
    <n v="27250"/>
    <n v="17172.97"/>
    <n v="10077.030000000001"/>
    <b v="0"/>
    <n v="0"/>
    <s v="COD"/>
    <s v="Meera"/>
    <s v="Referral"/>
    <n v="3.5"/>
    <x v="10"/>
    <x v="4"/>
  </r>
  <r>
    <s v="ZAR-10371"/>
    <d v="2025-02-02T00:00:00"/>
    <s v="4 PM - 8 PM"/>
    <x v="379"/>
    <s v="Sambalpur"/>
    <s v="Women"/>
    <s v="Kurti"/>
    <s v="Zaree Studio"/>
    <s v="Casual"/>
    <s v="Walk-in"/>
    <n v="5"/>
    <n v="800"/>
    <s v="1-10%"/>
    <n v="5"/>
    <s v="Valid"/>
    <s v="Match"/>
    <n v="4000"/>
    <n v="200"/>
    <n v="3800"/>
    <n v="2510.52"/>
    <n v="1289.48"/>
    <b v="0"/>
    <n v="0"/>
    <s v="Cash"/>
    <s v="Ananya"/>
    <s v="Referral"/>
    <n v="3"/>
    <x v="4"/>
    <x v="0"/>
  </r>
  <r>
    <s v="ZAR-10270"/>
    <d v="2025-04-15T00:00:00"/>
    <s v="12 PM - 4 PM"/>
    <x v="440"/>
    <s v="Puri"/>
    <s v="Women"/>
    <s v="Dupatta"/>
    <s v="Biba"/>
    <s v="Puja"/>
    <s v="Instagram"/>
    <n v="2"/>
    <n v="3050"/>
    <s v="21-30%"/>
    <n v="25"/>
    <s v="Valid"/>
    <s v="Match"/>
    <n v="6100"/>
    <n v="1525"/>
    <n v="4575"/>
    <n v="3705.38"/>
    <n v="869.62"/>
    <b v="0"/>
    <n v="0"/>
    <s v="COD"/>
    <s v="Priya"/>
    <s v="WhatsApp"/>
    <n v="4.5"/>
    <x v="7"/>
    <x v="6"/>
  </r>
  <r>
    <s v="ZAR-10048"/>
    <d v="2025-05-28T00:00:00"/>
    <s v="12 PM - 4 PM"/>
    <x v="441"/>
    <s v="Rourkela"/>
    <s v="Women"/>
    <s v="Saree"/>
    <s v="Designer Collection"/>
    <s v="Office"/>
    <s v="Instagram"/>
    <n v="2"/>
    <n v="28100"/>
    <s v="21-30%"/>
    <n v="30"/>
    <s v="Valid"/>
    <s v="Match"/>
    <n v="56200"/>
    <n v="16860"/>
    <n v="39340"/>
    <n v="36261.68"/>
    <n v="3078.32"/>
    <b v="0"/>
    <n v="0"/>
    <s v="UPI"/>
    <s v="Neha"/>
    <s v="Instagram"/>
    <n v="4.5"/>
    <x v="8"/>
    <x v="1"/>
  </r>
  <r>
    <s v="ZAR-10351"/>
    <d v="2025-12-14T00:00:00"/>
    <s v="8 AM - 12 PM"/>
    <x v="442"/>
    <s v="Rourkela"/>
    <s v="Women"/>
    <s v="Blouse"/>
    <s v="Zaree Studio"/>
    <s v="Wedding Guest"/>
    <s v="WhatsApp"/>
    <n v="2"/>
    <n v="2100"/>
    <s v="1-10%"/>
    <n v="10"/>
    <s v="Valid"/>
    <s v="Match"/>
    <n v="4200"/>
    <n v="420"/>
    <n v="3780"/>
    <n v="2460.96"/>
    <n v="1319.04"/>
    <b v="0"/>
    <n v="0"/>
    <s v="COD"/>
    <s v="Neha"/>
    <s v="Google"/>
    <n v="4.5"/>
    <x v="1"/>
    <x v="0"/>
  </r>
  <r>
    <s v="ZAR-10197"/>
    <d v="2025-08-12T00:00:00"/>
    <s v="8 PM - 12 AM"/>
    <x v="407"/>
    <s v="Balasore"/>
    <s v="Women"/>
    <s v="Lehenga"/>
    <s v="Manyavar"/>
    <s v="Engagement"/>
    <s v="Store"/>
    <n v="1"/>
    <n v="19800"/>
    <s v="1-10%"/>
    <n v="5"/>
    <s v="Valid"/>
    <s v="Match"/>
    <n v="19800"/>
    <n v="990"/>
    <n v="18810"/>
    <n v="13486.13"/>
    <n v="5323.87"/>
    <b v="0"/>
    <n v="0"/>
    <s v="Net Banking"/>
    <s v="Priya"/>
    <s v="WhatsApp"/>
    <n v="3.5"/>
    <x v="6"/>
    <x v="6"/>
  </r>
  <r>
    <s v="ZAR-10948"/>
    <d v="2025-08-07T00:00:00"/>
    <s v="4 AM - 8 AM"/>
    <x v="328"/>
    <s v="Cuttack"/>
    <s v="Women"/>
    <s v="Salwar Suit"/>
    <s v="Rangriti"/>
    <s v="Office"/>
    <s v="Walk-in"/>
    <n v="1"/>
    <n v="3000"/>
    <s v="1-10%"/>
    <n v="10"/>
    <s v="Valid"/>
    <s v="Match"/>
    <n v="3000"/>
    <n v="300"/>
    <n v="2700"/>
    <n v="1834.28"/>
    <n v="865.72"/>
    <b v="0"/>
    <n v="0"/>
    <s v="UPI"/>
    <s v="Rohit"/>
    <s v="Instagram"/>
    <n v="4"/>
    <x v="6"/>
    <x v="4"/>
  </r>
  <r>
    <s v="ZAR-10743"/>
    <d v="2025-01-13T00:00:00"/>
    <s v="4 PM - 8 PM"/>
    <x v="255"/>
    <s v="Cuttack"/>
    <s v="Kids"/>
    <s v="Kids Saree"/>
    <s v="Biba"/>
    <s v="Family Function"/>
    <s v="Store"/>
    <n v="1"/>
    <n v="1550"/>
    <s v="1-10%"/>
    <n v="10"/>
    <s v="Valid"/>
    <s v="Match"/>
    <n v="1550"/>
    <n v="155"/>
    <n v="1395"/>
    <n v="1067.49"/>
    <n v="327.51"/>
    <b v="0"/>
    <n v="0"/>
    <s v="UPI"/>
    <s v="Neha"/>
    <s v="Instagram"/>
    <n v="4"/>
    <x v="10"/>
    <x v="2"/>
  </r>
  <r>
    <s v="ZAR-10265"/>
    <d v="2025-02-13T00:00:00"/>
    <s v="4 AM - 8 AM"/>
    <x v="443"/>
    <s v="Berhampur"/>
    <s v="Kids"/>
    <s v="Kids Lehenga"/>
    <s v="Manyavar"/>
    <s v="Casual"/>
    <s v="Phone"/>
    <n v="2"/>
    <n v="10850"/>
    <s v="21-30%"/>
    <n v="30"/>
    <s v="Valid"/>
    <s v="Match"/>
    <n v="21700"/>
    <n v="6510"/>
    <n v="15190"/>
    <n v="12637.21"/>
    <n v="2552.79"/>
    <b v="0"/>
    <n v="0"/>
    <s v="COD"/>
    <s v="Meera"/>
    <s v="Walk-in"/>
    <n v="3.5"/>
    <x v="4"/>
    <x v="4"/>
  </r>
  <r>
    <s v="ZAR-10445"/>
    <d v="2025-12-15T00:00:00"/>
    <s v="12 AM - 4 AM"/>
    <x v="444"/>
    <s v="Sambalpur"/>
    <s v="Men"/>
    <s v="Shirt"/>
    <s v="Zaree Studio"/>
    <s v="Wedding"/>
    <s v="Instagram"/>
    <n v="1"/>
    <n v="1100"/>
    <s v="1-10%"/>
    <n v="10"/>
    <s v="Valid"/>
    <s v="Match"/>
    <n v="1100"/>
    <n v="110"/>
    <n v="990"/>
    <n v="736.88"/>
    <n v="253.12"/>
    <b v="0"/>
    <n v="0"/>
    <s v="UPI"/>
    <s v="Sanjay"/>
    <s v="WhatsApp"/>
    <n v="3.5"/>
    <x v="1"/>
    <x v="2"/>
  </r>
  <r>
    <s v="ZAR-10681"/>
    <d v="2025-10-20T00:00:00"/>
    <s v="12 PM - 4 PM"/>
    <x v="445"/>
    <s v="Berhampur"/>
    <s v="Women"/>
    <s v="Salwar Suit"/>
    <s v="Zaree Studio"/>
    <s v="Office"/>
    <s v="Store"/>
    <n v="1"/>
    <n v="2400"/>
    <s v="11-20%"/>
    <n v="20"/>
    <s v="Valid"/>
    <s v="Match"/>
    <n v="2400"/>
    <n v="480"/>
    <n v="1920"/>
    <n v="1404.2"/>
    <n v="515.79999999999995"/>
    <b v="0"/>
    <n v="0"/>
    <s v="UPI"/>
    <s v="Priya"/>
    <s v="Repeat Customer"/>
    <n v="5"/>
    <x v="3"/>
    <x v="2"/>
  </r>
  <r>
    <s v="ZAR-10306"/>
    <d v="2025-12-03T00:00:00"/>
    <s v="4 AM - 8 AM"/>
    <x v="304"/>
    <s v="Berhampur"/>
    <s v="Women"/>
    <s v="Lehenga"/>
    <s v="FabIndia"/>
    <s v="Engagement"/>
    <s v="Store"/>
    <n v="1"/>
    <n v="13350"/>
    <s v="11-20%"/>
    <n v="15"/>
    <s v="Valid"/>
    <s v="Match"/>
    <n v="13350"/>
    <n v="2002.5"/>
    <n v="11347.5"/>
    <n v="8424.2800000000007"/>
    <n v="2923.22"/>
    <b v="0"/>
    <n v="0"/>
    <s v="Cash"/>
    <s v="Sanjay"/>
    <s v="WhatsApp"/>
    <n v="4.5"/>
    <x v="1"/>
    <x v="1"/>
  </r>
  <r>
    <s v="ZAR-10343"/>
    <d v="2025-05-19T00:00:00"/>
    <s v="4 AM - 8 AM"/>
    <x v="158"/>
    <s v="Puri"/>
    <s v="Kids"/>
    <s v="Kids Sherwani"/>
    <s v="FabIndia"/>
    <s v="Wedding"/>
    <s v="Store"/>
    <n v="1"/>
    <n v="3950"/>
    <s v="1-10%"/>
    <n v="10"/>
    <s v="Valid"/>
    <s v="Match"/>
    <n v="3950"/>
    <n v="395"/>
    <n v="3555"/>
    <n v="2531.4"/>
    <n v="1023.6"/>
    <b v="0"/>
    <n v="0"/>
    <s v="COD"/>
    <s v="Sanjay"/>
    <s v="Instagram"/>
    <n v="4"/>
    <x v="8"/>
    <x v="2"/>
  </r>
  <r>
    <s v="ZAR-10604"/>
    <d v="2025-04-21T00:00:00"/>
    <s v="8 PM - 12 AM"/>
    <x v="431"/>
    <s v="Cuttack"/>
    <s v="Men"/>
    <s v="Sherwani"/>
    <s v="FabIndia"/>
    <s v="Engagement"/>
    <s v="WhatsApp"/>
    <n v="1"/>
    <n v="40650"/>
    <s v="21-30%"/>
    <n v="25"/>
    <s v="Valid"/>
    <s v="Match"/>
    <n v="40650"/>
    <n v="10162.5"/>
    <n v="30487.5"/>
    <n v="23208.93"/>
    <n v="7278.57"/>
    <b v="0"/>
    <n v="0"/>
    <s v="Cash"/>
    <s v="Unknown"/>
    <s v="Repeat Customer"/>
    <n v="4"/>
    <x v="7"/>
    <x v="2"/>
  </r>
  <r>
    <s v="ZAR-10976"/>
    <d v="2025-05-17T00:00:00"/>
    <s v="8 PM - 12 AM"/>
    <x v="446"/>
    <s v="Balasore"/>
    <s v="Women"/>
    <s v="Saree"/>
    <s v="Designer Collection"/>
    <s v="Puja"/>
    <s v="Instagram"/>
    <n v="1"/>
    <n v="15600"/>
    <s v="21-30%"/>
    <n v="25"/>
    <s v="Valid"/>
    <s v="Match"/>
    <n v="15600"/>
    <n v="3900"/>
    <n v="11700"/>
    <n v="10900.84"/>
    <n v="799.16"/>
    <b v="0"/>
    <n v="0"/>
    <s v="Card"/>
    <s v="Meera"/>
    <s v="Repeat Customer"/>
    <n v="4.5"/>
    <x v="8"/>
    <x v="5"/>
  </r>
  <r>
    <s v="ZAR-10151"/>
    <d v="2025-06-03T00:00:00"/>
    <s v="12 PM - 4 PM"/>
    <x v="162"/>
    <s v="Bhubaneshwar"/>
    <s v="Women"/>
    <s v="Salwar Suit"/>
    <s v="Designer Collection"/>
    <s v="Reception"/>
    <s v="Store"/>
    <n v="1"/>
    <n v="5350"/>
    <s v="11-20%"/>
    <n v="15"/>
    <s v="Valid"/>
    <s v="Match"/>
    <n v="5350"/>
    <n v="802.5"/>
    <n v="4547.5"/>
    <n v="3106.81"/>
    <n v="1440.69"/>
    <b v="0"/>
    <n v="0"/>
    <s v="COD"/>
    <s v="Neha"/>
    <s v="Walk-in"/>
    <n v="5"/>
    <x v="2"/>
    <x v="6"/>
  </r>
  <r>
    <s v="ZAR-10126"/>
    <d v="2025-06-18T00:00:00"/>
    <s v="8 AM - 12 PM"/>
    <x v="385"/>
    <s v="Balasore"/>
    <s v="Kids"/>
    <s v="Kids Lehenga"/>
    <s v="Designer Collection"/>
    <s v="Wedding"/>
    <s v="Instagram"/>
    <n v="1"/>
    <n v="5000"/>
    <s v="21-30%"/>
    <n v="30"/>
    <s v="Valid"/>
    <s v="Match"/>
    <n v="5000"/>
    <n v="1500"/>
    <n v="3500"/>
    <n v="2893.69"/>
    <n v="606.30999999999995"/>
    <b v="0"/>
    <n v="0"/>
    <s v="Cash"/>
    <s v="Rohit"/>
    <s v="Google"/>
    <n v="2.5"/>
    <x v="2"/>
    <x v="1"/>
  </r>
  <r>
    <s v="ZAR-10894"/>
    <d v="2025-09-04T00:00:00"/>
    <s v="12 PM - 4 PM"/>
    <x v="447"/>
    <s v="Bhubaneshwar"/>
    <s v="Women"/>
    <s v="Gown"/>
    <s v="Zaree Studio"/>
    <s v="Reception"/>
    <s v="Store"/>
    <n v="2"/>
    <n v="7850"/>
    <s v="21-30%"/>
    <n v="30"/>
    <s v="Valid"/>
    <s v="Match"/>
    <n v="15700"/>
    <n v="4710"/>
    <n v="10990"/>
    <n v="8429.34"/>
    <n v="2560.66"/>
    <b v="0"/>
    <n v="0"/>
    <s v="Cash"/>
    <s v="Rohit"/>
    <s v="Walk-in"/>
    <n v="3.5"/>
    <x v="11"/>
    <x v="4"/>
  </r>
  <r>
    <s v="ZAR-10830"/>
    <d v="2025-03-21T00:00:00"/>
    <s v="4 AM - 8 AM"/>
    <x v="448"/>
    <s v="Cuttack"/>
    <s v="Kids"/>
    <s v="Kids Gown"/>
    <s v="Biba"/>
    <s v="Family Function"/>
    <s v="Instagram"/>
    <n v="1"/>
    <n v="4350"/>
    <s v="21-30%"/>
    <n v="30"/>
    <s v="Valid"/>
    <s v="Match"/>
    <n v="4350"/>
    <n v="1305"/>
    <n v="3045"/>
    <n v="2646.67"/>
    <n v="398.33"/>
    <b v="0"/>
    <n v="0"/>
    <s v="Card"/>
    <s v="Karan"/>
    <s v="WhatsApp"/>
    <n v="5"/>
    <x v="9"/>
    <x v="3"/>
  </r>
  <r>
    <s v="ZAR-10052"/>
    <d v="2025-05-28T00:00:00"/>
    <s v="12 PM - 4 PM"/>
    <x v="449"/>
    <s v="Balasore"/>
    <s v="Men"/>
    <s v="Shirt"/>
    <s v="Manyavar"/>
    <s v="Casual"/>
    <s v="Store"/>
    <n v="1"/>
    <n v="2200"/>
    <s v="1-10%"/>
    <n v="10"/>
    <s v="Valid"/>
    <s v="Match"/>
    <n v="2200"/>
    <n v="220"/>
    <n v="1980"/>
    <n v="1409.82"/>
    <n v="570.17999999999995"/>
    <b v="0"/>
    <n v="0"/>
    <s v="Cash"/>
    <s v="Neha"/>
    <s v="Instagram"/>
    <n v="5"/>
    <x v="8"/>
    <x v="1"/>
  </r>
  <r>
    <s v="ZAR-10355"/>
    <d v="2025-10-23T00:00:00"/>
    <s v="12 PM - 4 PM"/>
    <x v="450"/>
    <s v="Balasore"/>
    <s v="Women"/>
    <s v="Blouse"/>
    <s v="FabIndia"/>
    <s v="Casual"/>
    <s v="Walk-in"/>
    <n v="1"/>
    <n v="3250"/>
    <s v="11-20%"/>
    <n v="15"/>
    <s v="Valid"/>
    <s v="Match"/>
    <n v="3250"/>
    <n v="487.5"/>
    <n v="2762.5"/>
    <n v="2122.27"/>
    <n v="640.23"/>
    <b v="0"/>
    <n v="0"/>
    <s v="UPI"/>
    <s v="Ananya"/>
    <s v="Repeat Customer"/>
    <n v="4.5"/>
    <x v="3"/>
    <x v="4"/>
  </r>
  <r>
    <s v="ZAR-10935"/>
    <d v="2025-01-27T00:00:00"/>
    <s v="12 AM - 4 AM"/>
    <x v="238"/>
    <s v="Cuttack"/>
    <s v="Women"/>
    <s v="Bridal Lehenga"/>
    <s v="FabIndia"/>
    <s v="Engagement"/>
    <s v="Store"/>
    <n v="2"/>
    <n v="34050"/>
    <s v="21-30%"/>
    <n v="25"/>
    <s v="Valid"/>
    <s v="Match"/>
    <n v="68100"/>
    <n v="17025"/>
    <n v="51075"/>
    <n v="45119.88"/>
    <n v="5955.12"/>
    <b v="0"/>
    <n v="0"/>
    <s v="COD"/>
    <s v="Ananya"/>
    <s v="Instagram"/>
    <n v="5"/>
    <x v="10"/>
    <x v="2"/>
  </r>
  <r>
    <s v="ZAR-10144"/>
    <d v="2025-11-29T00:00:00"/>
    <s v="12 AM - 4 AM"/>
    <x v="451"/>
    <s v="Rourkela"/>
    <s v="Women"/>
    <s v="Kurti"/>
    <s v="Zaree Studio"/>
    <s v="Wedding Guest"/>
    <s v="Store"/>
    <n v="3"/>
    <n v="1850"/>
    <s v="0%"/>
    <n v="0"/>
    <s v="Valid"/>
    <s v="Match"/>
    <n v="5550"/>
    <n v="0"/>
    <n v="5550"/>
    <n v="3684.21"/>
    <n v="1865.79"/>
    <b v="0"/>
    <n v="0"/>
    <s v="Card"/>
    <s v="Ananya"/>
    <s v="Google"/>
    <n v="5"/>
    <x v="5"/>
    <x v="5"/>
  </r>
  <r>
    <s v="ZAR-10472"/>
    <d v="2025-12-22T00:00:00"/>
    <s v="4 AM - 8 AM"/>
    <x v="139"/>
    <s v="Rourkela"/>
    <s v="Women"/>
    <s v="Blouse"/>
    <s v="Rangriti"/>
    <s v="Puja"/>
    <s v="Store"/>
    <n v="2"/>
    <n v="1700"/>
    <s v="21-30%"/>
    <n v="30"/>
    <s v="Valid"/>
    <s v="Match"/>
    <n v="3400"/>
    <n v="1020"/>
    <n v="2380"/>
    <n v="2163.8000000000002"/>
    <n v="216.2"/>
    <b v="0"/>
    <n v="0"/>
    <s v="COD"/>
    <s v="Meera"/>
    <s v="Google"/>
    <n v="4"/>
    <x v="1"/>
    <x v="2"/>
  </r>
  <r>
    <s v="ZAR-10401"/>
    <d v="2025-09-09T00:00:00"/>
    <s v="8 PM - 12 AM"/>
    <x v="452"/>
    <s v="Cuttack"/>
    <s v="Women"/>
    <s v="Blouse"/>
    <s v="FabIndia"/>
    <s v="Casual"/>
    <s v="Store"/>
    <n v="2"/>
    <n v="1650"/>
    <s v="1-10%"/>
    <n v="10"/>
    <s v="Valid"/>
    <s v="Match"/>
    <n v="3300"/>
    <n v="330"/>
    <n v="2970"/>
    <n v="2018.86"/>
    <n v="951.14"/>
    <b v="0"/>
    <n v="0"/>
    <s v="COD"/>
    <s v="Sanjay"/>
    <s v="Repeat Customer"/>
    <n v="3"/>
    <x v="11"/>
    <x v="6"/>
  </r>
  <r>
    <s v=" ZAR-10631 "/>
    <d v="2025-12-19T00:00:00"/>
    <s v="12 AM - 4 AM"/>
    <x v="453"/>
    <s v="Sambalpur"/>
    <s v="Women"/>
    <s v="Gown"/>
    <s v="Rangriti"/>
    <s v="Office"/>
    <s v="Store"/>
    <n v="2"/>
    <n v="7150"/>
    <s v="0%"/>
    <n v="0"/>
    <s v="Valid"/>
    <s v="Match"/>
    <n v="14300"/>
    <n v="0"/>
    <n v="14300"/>
    <n v="7466.31"/>
    <n v="6833.69"/>
    <b v="0"/>
    <n v="0"/>
    <s v="Net Banking"/>
    <s v="Priya"/>
    <s v="Repeat Customer"/>
    <n v="3.5"/>
    <x v="1"/>
    <x v="3"/>
  </r>
  <r>
    <s v="ZAR-10322"/>
    <d v="2025-06-13T00:00:00"/>
    <s v="12 PM - 4 PM"/>
    <x v="192"/>
    <s v="Sambalpur"/>
    <s v="Women"/>
    <s v="Lehenga"/>
    <s v="Aurelia"/>
    <s v="Engagement"/>
    <s v="Store"/>
    <n v="3"/>
    <n v="14000"/>
    <s v="1-10%"/>
    <n v="5"/>
    <s v="Valid"/>
    <s v="Match"/>
    <n v="42000"/>
    <n v="2100"/>
    <n v="39900"/>
    <n v="28558.21"/>
    <n v="11341.79"/>
    <b v="0"/>
    <n v="0"/>
    <s v="UPI"/>
    <s v="Rohit"/>
    <s v="Walk-in"/>
    <n v="3.5"/>
    <x v="2"/>
    <x v="3"/>
  </r>
  <r>
    <s v="ZAR-10021"/>
    <d v="2025-05-15T00:00:00"/>
    <s v="4 AM - 8 AM"/>
    <x v="454"/>
    <s v="Rourkela"/>
    <s v="Women"/>
    <s v="Salwar Suit"/>
    <s v="Rangriti"/>
    <s v="Wedding Guest"/>
    <s v="IG"/>
    <n v="1"/>
    <n v="2100"/>
    <s v="1-10%"/>
    <n v="5"/>
    <s v="Valid"/>
    <s v="Match"/>
    <n v="2100"/>
    <n v="105"/>
    <n v="1995"/>
    <n v="1386.35"/>
    <n v="608.65"/>
    <b v="0"/>
    <n v="0"/>
    <s v="Card"/>
    <s v="Neha"/>
    <s v="Instagram"/>
    <n v="3"/>
    <x v="8"/>
    <x v="4"/>
  </r>
  <r>
    <s v="ZAR-10908"/>
    <d v="2025-10-18T00:00:00"/>
    <s v="12 PM - 4 PM"/>
    <x v="455"/>
    <s v="Sambalpur"/>
    <s v="Kids"/>
    <s v="Kids Gown"/>
    <s v="Local Artisan"/>
    <s v="Family Function"/>
    <s v="Walk-in"/>
    <n v="2"/>
    <n v="4750"/>
    <s v="21-30%"/>
    <n v="30"/>
    <s v="Valid"/>
    <s v="Match"/>
    <n v="9500"/>
    <n v="2850"/>
    <n v="6650"/>
    <n v="5519.12"/>
    <n v="1130.8800000000001"/>
    <b v="0"/>
    <n v="0"/>
    <s v="Cash"/>
    <s v="Ananya"/>
    <s v="Walk-in"/>
    <n v="4"/>
    <x v="3"/>
    <x v="5"/>
  </r>
  <r>
    <s v="ZAR-10805"/>
    <d v="2025-11-05T00:00:00"/>
    <s v="12 AM - 4 AM"/>
    <x v="456"/>
    <s v="Puri"/>
    <s v="Women"/>
    <s v="Dupatta"/>
    <s v="FabIndia"/>
    <s v="Casual"/>
    <s v="WhatsApp"/>
    <n v="3"/>
    <n v="3250"/>
    <s v="21-30%"/>
    <n v="25"/>
    <s v="Valid"/>
    <s v="Match"/>
    <n v="9750"/>
    <n v="2437.5"/>
    <n v="7312.5"/>
    <n v="5890.65"/>
    <n v="1421.85"/>
    <b v="0"/>
    <n v="0"/>
    <s v="COD"/>
    <s v="Karan"/>
    <s v="WhatsApp"/>
    <n v="3"/>
    <x v="5"/>
    <x v="1"/>
  </r>
  <r>
    <s v="ZAR-10816"/>
    <d v="2025-08-18T00:00:00"/>
    <s v="4 PM - 8 PM"/>
    <x v="379"/>
    <s v="Bhubaneshwar"/>
    <s v="Women"/>
    <s v="Blouse"/>
    <s v="Rangriti"/>
    <s v="Reception"/>
    <s v="Website"/>
    <n v="1"/>
    <n v="3950"/>
    <s v="1-10%"/>
    <n v="5"/>
    <s v="Valid"/>
    <s v="Match"/>
    <n v="3950"/>
    <n v="197.5"/>
    <n v="3752.5"/>
    <n v="2073.2199999999998"/>
    <n v="1679.28"/>
    <b v="0"/>
    <n v="0"/>
    <s v="Cash"/>
    <s v="Ananya"/>
    <s v="WhatsApp"/>
    <n v="3.5"/>
    <x v="6"/>
    <x v="2"/>
  </r>
  <r>
    <s v="ZAR-10409"/>
    <d v="2025-04-09T00:00:00"/>
    <s v="8 AM - 12 PM"/>
    <x v="234"/>
    <s v="Puri"/>
    <s v="Women"/>
    <s v="Lehenga"/>
    <s v="Designer Collection"/>
    <s v="Wedding"/>
    <s v="Store"/>
    <n v="2"/>
    <n v="10750"/>
    <s v="0%"/>
    <n v="0"/>
    <s v="Valid"/>
    <s v="Match"/>
    <n v="21500"/>
    <n v="0"/>
    <n v="21500"/>
    <n v="13681.41"/>
    <n v="7818.59"/>
    <b v="0"/>
    <n v="0"/>
    <s v="Cash"/>
    <s v="Karan"/>
    <s v="Repeat Customer"/>
    <n v="3.5"/>
    <x v="7"/>
    <x v="1"/>
  </r>
  <r>
    <s v="ZAR-10539"/>
    <d v="2025-06-25T00:00:00"/>
    <s v="8 AM - 12 PM"/>
    <x v="457"/>
    <s v="Cuttack"/>
    <s v="Kids"/>
    <s v="Kids Gown"/>
    <s v="Zaree Studio"/>
    <s v="Family Function"/>
    <s v="Phone"/>
    <n v="0"/>
    <n v="4100"/>
    <s v="1-10%"/>
    <n v="10"/>
    <s v="Valid"/>
    <s v="Match"/>
    <n v="8200"/>
    <n v="820"/>
    <n v="7380"/>
    <n v="4932.8999999999996"/>
    <n v="2447.1"/>
    <b v="0"/>
    <n v="0"/>
    <s v="Cash"/>
    <s v="Meera"/>
    <s v="Referral"/>
    <n v="4.5"/>
    <x v="2"/>
    <x v="1"/>
  </r>
  <r>
    <s v="ZAR-10040"/>
    <d v="2025-12-26T00:00:00"/>
    <s v="8 AM - 12 PM"/>
    <x v="458"/>
    <s v="Bhubaneshwar"/>
    <s v="Women"/>
    <s v="Kurti"/>
    <s v="Local Artisan"/>
    <s v="Festive"/>
    <s v="Store"/>
    <n v="1"/>
    <n v="2050"/>
    <s v="1-10%"/>
    <n v="10"/>
    <s v="Valid"/>
    <s v="Match"/>
    <n v="2050"/>
    <n v="205"/>
    <n v="1845"/>
    <n v="1463.02"/>
    <n v="381.98"/>
    <b v="0"/>
    <n v="0"/>
    <s v="Net Banking"/>
    <s v="Neha"/>
    <s v="Walk-in"/>
    <n v="5"/>
    <x v="1"/>
    <x v="3"/>
  </r>
  <r>
    <s v="ZAR-10177"/>
    <d v="2025-05-27T00:00:00"/>
    <s v="8 PM - 12 AM"/>
    <x v="459"/>
    <s v="Berhampur"/>
    <s v="Women"/>
    <s v="Kurti"/>
    <s v="Manyavar"/>
    <s v="Casual"/>
    <s v="WhatsApp"/>
    <n v="1"/>
    <n v="850"/>
    <s v="21-30%"/>
    <n v="30"/>
    <s v="Valid"/>
    <s v="Match"/>
    <n v="850"/>
    <n v="255"/>
    <n v="595"/>
    <n v="516.41999999999996"/>
    <n v="78.58"/>
    <b v="0"/>
    <n v="0"/>
    <s v="Cash"/>
    <s v="Ananya"/>
    <s v="Referral"/>
    <n v="3"/>
    <x v="8"/>
    <x v="6"/>
  </r>
  <r>
    <s v="ZAR-10247"/>
    <d v="2025-04-22T00:00:00"/>
    <s v="4 PM - 8 PM"/>
    <x v="9"/>
    <s v="Rourkela"/>
    <s v="Women"/>
    <s v="Kurti"/>
    <s v="Rangriti"/>
    <s v="Reception"/>
    <s v="Phone"/>
    <n v="2"/>
    <n v="4050"/>
    <s v="1-10%"/>
    <n v="10"/>
    <s v="Valid"/>
    <s v="Match"/>
    <n v="8100"/>
    <n v="810"/>
    <n v="7290"/>
    <n v="4854.9399999999996"/>
    <n v="2435.06"/>
    <b v="0"/>
    <n v="0"/>
    <s v="Cash"/>
    <s v="Sanjay"/>
    <s v="Walk-in"/>
    <n v="3"/>
    <x v="7"/>
    <x v="6"/>
  </r>
  <r>
    <s v="ZAR-10836"/>
    <d v="2025-05-28T00:00:00"/>
    <s v="4 PM - 8 PM"/>
    <x v="17"/>
    <s v="Cuttack"/>
    <s v="Men"/>
    <s v="Sherwani"/>
    <s v="Rangriti"/>
    <s v="Wedding"/>
    <s v="Store"/>
    <n v="1"/>
    <n v="40100"/>
    <s v="1-10%"/>
    <n v="5"/>
    <s v="Valid"/>
    <s v="Match"/>
    <n v="40100"/>
    <n v="2005"/>
    <n v="38095"/>
    <n v="26159.84"/>
    <n v="11935.16"/>
    <b v="0"/>
    <n v="0"/>
    <s v="Net Banking"/>
    <s v="Neha"/>
    <s v="Repeat Customer"/>
    <n v="5"/>
    <x v="8"/>
    <x v="1"/>
  </r>
  <r>
    <s v="ZAR-10847"/>
    <d v="2025-09-02T00:00:00"/>
    <s v="4 AM - 8 AM"/>
    <x v="460"/>
    <s v="Bhubaneshwar"/>
    <s v="Kids"/>
    <s v="Kids Lehenga"/>
    <s v="Manyavar"/>
    <s v="Wedding"/>
    <s v="Instagram"/>
    <n v="1"/>
    <n v="9700"/>
    <s v="11-20%"/>
    <n v="15"/>
    <s v="Valid"/>
    <s v="Match"/>
    <n v="9700"/>
    <n v="1455"/>
    <n v="8245"/>
    <n v="6052.98"/>
    <n v="2192.02"/>
    <b v="0"/>
    <n v="0"/>
    <s v="Net Banking"/>
    <s v="Ananya"/>
    <s v="Google"/>
    <n v="4"/>
    <x v="11"/>
    <x v="6"/>
  </r>
  <r>
    <s v="ZAR-10761"/>
    <d v="2025-09-01T00:00:00"/>
    <s v="8 PM - 12 AM"/>
    <x v="347"/>
    <s v="Balasore"/>
    <s v="Women"/>
    <s v="Salwar Suit"/>
    <s v="Manyavar"/>
    <s v="Reception"/>
    <s v="Store"/>
    <n v="2"/>
    <n v="4000"/>
    <s v="11-20%"/>
    <n v="20"/>
    <s v="Valid"/>
    <s v="Match"/>
    <n v="8000"/>
    <n v="1600"/>
    <n v="6400"/>
    <n v="5275.65"/>
    <n v="1124.3499999999999"/>
    <b v="0"/>
    <n v="0"/>
    <s v="COD"/>
    <s v="Priya"/>
    <s v="Google"/>
    <n v="3.5"/>
    <x v="11"/>
    <x v="2"/>
  </r>
  <r>
    <s v="ZAR-10866"/>
    <d v="2025-03-15T00:00:00"/>
    <s v="12 AM - 4 AM"/>
    <x v="31"/>
    <s v="Puri"/>
    <s v="Women"/>
    <s v="Blouse"/>
    <s v="Manyavar"/>
    <s v="Reception"/>
    <s v="Store"/>
    <n v="1"/>
    <n v="3300"/>
    <s v="21-30%"/>
    <n v="30"/>
    <s v="Valid"/>
    <s v="Match"/>
    <n v="3300"/>
    <n v="990"/>
    <n v="2310"/>
    <n v="1916.53"/>
    <n v="393.47"/>
    <b v="0"/>
    <n v="0"/>
    <s v="Cash"/>
    <s v="Priya"/>
    <s v="Google"/>
    <n v="4"/>
    <x v="9"/>
    <x v="5"/>
  </r>
  <r>
    <s v="ZAR-10156"/>
    <d v="2025-11-28T00:00:00"/>
    <s v="4 PM - 8 PM"/>
    <x v="461"/>
    <s v="Berhampur"/>
    <s v="Women"/>
    <s v="Lehenga"/>
    <s v="Local Artisan"/>
    <s v="Festive"/>
    <s v="Phone"/>
    <n v="1"/>
    <n v="11150"/>
    <s v="21-30%"/>
    <n v="25"/>
    <s v="Valid"/>
    <s v="Match"/>
    <n v="11150"/>
    <n v="2787.5"/>
    <n v="8362.5"/>
    <n v="6668.84"/>
    <n v="1693.66"/>
    <b v="0"/>
    <n v="0"/>
    <s v="UPI"/>
    <s v="Ananya"/>
    <s v="Instagram"/>
    <n v="4"/>
    <x v="5"/>
    <x v="3"/>
  </r>
  <r>
    <s v="ZAR-10289"/>
    <d v="2025-10-30T00:00:00"/>
    <s v="4 PM - 8 PM"/>
    <x v="462"/>
    <s v="Balasore"/>
    <s v="Kids"/>
    <s v="Kids Sherwani"/>
    <s v="Biba"/>
    <s v="Festive"/>
    <s v="WhatsApp"/>
    <n v="4"/>
    <n v="3650"/>
    <s v="21-30%"/>
    <n v="25"/>
    <s v="Valid"/>
    <s v="Match"/>
    <n v="14600"/>
    <n v="3650"/>
    <n v="10950"/>
    <n v="9324.19"/>
    <n v="1625.81"/>
    <b v="0"/>
    <n v="0"/>
    <s v="Cash"/>
    <s v="Sanjay"/>
    <s v="Repeat Customer"/>
    <n v="4.5"/>
    <x v="3"/>
    <x v="4"/>
  </r>
  <r>
    <s v="ZAR-10615"/>
    <d v="2025-03-27T00:00:00"/>
    <s v="4 PM - 8 PM"/>
    <x v="463"/>
    <s v="Cuttack"/>
    <s v="Women"/>
    <s v="Kurti"/>
    <s v="FabIndia"/>
    <s v="Reception"/>
    <s v="Store"/>
    <n v="1"/>
    <n v="3550"/>
    <s v="21-30%"/>
    <n v="25"/>
    <s v="Valid"/>
    <s v="Match"/>
    <n v="3550"/>
    <n v="887.5"/>
    <n v="2662.5"/>
    <n v="2272.4899999999998"/>
    <n v="390.01"/>
    <b v="0"/>
    <n v="0"/>
    <s v="Cash"/>
    <s v="Ananya"/>
    <s v="Referral"/>
    <n v="4.5"/>
    <x v="9"/>
    <x v="4"/>
  </r>
  <r>
    <s v="ZAR-10571"/>
    <d v="2025-03-13T00:00:00"/>
    <s v="8 AM - 12 PM"/>
    <x v="464"/>
    <s v="Rourkela"/>
    <s v="Women"/>
    <s v="Salwar Suit"/>
    <s v="Zaree Studio"/>
    <s v="Reception"/>
    <s v="Store"/>
    <n v="1"/>
    <n v="2600"/>
    <s v="21-30%"/>
    <n v="30"/>
    <s v="Valid"/>
    <s v="Match"/>
    <n v="2600"/>
    <n v="780"/>
    <n v="1820"/>
    <n v="1603.31"/>
    <n v="216.69"/>
    <b v="0"/>
    <n v="0"/>
    <s v="Card"/>
    <s v="Sanjay"/>
    <s v="Google"/>
    <n v="3.5"/>
    <x v="9"/>
    <x v="4"/>
  </r>
  <r>
    <s v="ZAR-10821"/>
    <d v="2025-02-18T00:00:00"/>
    <s v="4 PM - 8 PM"/>
    <x v="465"/>
    <s v="Bhubaneshwar"/>
    <s v="Women"/>
    <s v="Gown"/>
    <s v="FabIndia"/>
    <s v="Puja"/>
    <s v="Website"/>
    <n v="2"/>
    <n v="14800"/>
    <s v="1-10%"/>
    <n v="10"/>
    <s v="Valid"/>
    <s v="Match"/>
    <n v="29600"/>
    <n v="2960"/>
    <n v="26640"/>
    <n v="18333.650000000001"/>
    <n v="8306.35"/>
    <b v="0"/>
    <n v="0"/>
    <s v="UPI"/>
    <s v="Rohit"/>
    <s v="Instagram"/>
    <n v="3"/>
    <x v="4"/>
    <x v="6"/>
  </r>
  <r>
    <s v="ZAR-10019"/>
    <d v="2025-06-28T00:00:00"/>
    <s v="12 AM - 4 AM"/>
    <x v="466"/>
    <s v="Cuttack"/>
    <s v="Women"/>
    <s v="Lehenga"/>
    <s v="Zaree Studio"/>
    <s v="Engagement"/>
    <s v="Store"/>
    <n v="1"/>
    <n v="9800"/>
    <s v="1-10%"/>
    <n v="10"/>
    <s v="Valid"/>
    <s v="Match"/>
    <n v="9800"/>
    <n v="980"/>
    <n v="8820"/>
    <n v="5381.58"/>
    <n v="3438.42"/>
    <b v="0"/>
    <n v="0"/>
    <s v="COD"/>
    <s v="Priya"/>
    <s v="WhatsApp"/>
    <n v="4.5"/>
    <x v="2"/>
    <x v="5"/>
  </r>
  <r>
    <s v="ZAR-10129"/>
    <d v="2025-09-19T00:00:00"/>
    <s v="12 PM - 4 PM"/>
    <x v="467"/>
    <s v="Bhubaneshwar"/>
    <s v="Women"/>
    <s v="Blouse"/>
    <s v="Zaree Studio"/>
    <s v="Casual"/>
    <s v="Store"/>
    <n v="1"/>
    <n v="1600"/>
    <s v="11-20%"/>
    <n v="20"/>
    <s v="Valid"/>
    <s v="Match"/>
    <n v="1600"/>
    <n v="320"/>
    <n v="1280"/>
    <n v="1004.07"/>
    <n v="275.93"/>
    <b v="0"/>
    <n v="0"/>
    <s v="COD"/>
    <s v="Sanjay"/>
    <s v="WhatsApp"/>
    <n v="4.5"/>
    <x v="11"/>
    <x v="3"/>
  </r>
  <r>
    <s v="ZAR-10324"/>
    <d v="2025-01-08T00:00:00"/>
    <s v="8 AM - 12 PM"/>
    <x v="468"/>
    <s v="Cuttack"/>
    <s v="Women"/>
    <s v="Saree"/>
    <s v="Manyavar"/>
    <s v="Festive"/>
    <s v="WhatsApp"/>
    <n v="1"/>
    <n v="7250"/>
    <s v="11-20%"/>
    <n v="15"/>
    <s v="Valid"/>
    <s v="Match"/>
    <n v="7250"/>
    <n v="1087.5"/>
    <n v="6162.5"/>
    <n v="4989.4399999999996"/>
    <n v="1173.06"/>
    <b v="0"/>
    <n v="0"/>
    <s v="Net Banking"/>
    <s v="Meera"/>
    <s v="Repeat Customer"/>
    <n v="3"/>
    <x v="10"/>
    <x v="1"/>
  </r>
  <r>
    <s v="ZAR-10257"/>
    <d v="2025-02-25T00:00:00"/>
    <s v="4 AM - 8 AM"/>
    <x v="50"/>
    <s v="Berhampur"/>
    <s v="Women"/>
    <s v="Blouse"/>
    <s v="Aurelia"/>
    <s v="Festive"/>
    <s v="Store"/>
    <n v="1"/>
    <n v="3700"/>
    <s v="1-10%"/>
    <n v="10"/>
    <s v="Valid"/>
    <s v="Match"/>
    <n v="3700"/>
    <n v="370"/>
    <n v="3330"/>
    <n v="2320.39"/>
    <n v="1009.61"/>
    <b v="0"/>
    <n v="0"/>
    <s v="Cash"/>
    <s v="Karan"/>
    <s v="WhatsApp"/>
    <n v="4.5"/>
    <x v="4"/>
    <x v="6"/>
  </r>
  <r>
    <s v="ZAR-10989"/>
    <d v="2025-09-28T00:00:00"/>
    <s v="12 PM - 4 PM"/>
    <x v="469"/>
    <s v="Bhubaneshwar"/>
    <s v="Women"/>
    <s v="Dupatta"/>
    <s v="Local Artisan"/>
    <s v="Wedding Guest"/>
    <s v="Store"/>
    <n v="1"/>
    <n v="3900"/>
    <s v="21-30%"/>
    <n v="25"/>
    <s v="Valid"/>
    <s v="Match"/>
    <n v="3900"/>
    <n v="975"/>
    <n v="2925"/>
    <n v="2650.25"/>
    <n v="274.75"/>
    <b v="0"/>
    <n v="0"/>
    <s v="Cash"/>
    <s v="Karan"/>
    <s v="Google"/>
    <n v="4"/>
    <x v="11"/>
    <x v="0"/>
  </r>
  <r>
    <s v="ZAR-10974"/>
    <d v="2025-04-12T00:00:00"/>
    <s v="4 AM - 8 AM"/>
    <x v="470"/>
    <s v="Rourkela"/>
    <s v="Men"/>
    <s v="Kurta Pajama"/>
    <s v="Rangriti"/>
    <s v="Casual"/>
    <s v="Store"/>
    <n v="2"/>
    <n v="6300"/>
    <s v="1-10%"/>
    <n v="5"/>
    <s v="Valid"/>
    <s v="Match"/>
    <n v="12600"/>
    <n v="630"/>
    <n v="11970"/>
    <n v="8845.2099999999991"/>
    <n v="3124.79"/>
    <b v="0"/>
    <n v="0"/>
    <s v="Card"/>
    <s v="Priya"/>
    <s v="WhatsApp"/>
    <n v="3"/>
    <x v="7"/>
    <x v="5"/>
  </r>
  <r>
    <s v="ZAR-10192"/>
    <d v="2025-09-27T00:00:00"/>
    <s v="4 AM - 8 AM"/>
    <x v="471"/>
    <s v="Puri"/>
    <s v="Women"/>
    <s v="Lehenga"/>
    <s v="FabIndia"/>
    <s v="Festive"/>
    <s v="Store"/>
    <n v="1"/>
    <n v="17650"/>
    <s v="1-10%"/>
    <n v="5"/>
    <s v="Valid"/>
    <s v="Match"/>
    <n v="17650"/>
    <n v="882.5"/>
    <n v="16767.5"/>
    <n v="11673.42"/>
    <n v="5094.08"/>
    <b v="0"/>
    <n v="0"/>
    <s v="Net Banking"/>
    <s v="Neha"/>
    <s v="Google"/>
    <n v="5"/>
    <x v="11"/>
    <x v="5"/>
  </r>
  <r>
    <s v="ZAR-10117"/>
    <d v="2025-12-25T00:00:00"/>
    <s v="12 AM - 4 AM"/>
    <x v="472"/>
    <s v="Bhubaneshwar"/>
    <s v="Women"/>
    <s v="Dupatta"/>
    <s v="Aurelia"/>
    <s v="Casual"/>
    <s v="Store"/>
    <n v="2"/>
    <n v="1150"/>
    <s v="0%"/>
    <n v="0"/>
    <s v="Valid"/>
    <s v="Match"/>
    <n v="2300"/>
    <n v="0"/>
    <n v="2300"/>
    <n v="1485.72"/>
    <n v="814.28"/>
    <b v="0"/>
    <n v="0"/>
    <s v="Net Banking"/>
    <s v="Neha"/>
    <s v="Repeat Customer"/>
    <n v="5"/>
    <x v="1"/>
    <x v="4"/>
  </r>
  <r>
    <s v="ZAR-10622"/>
    <d v="2025-11-18T00:00:00"/>
    <s v="8 AM - 12 PM"/>
    <x v="37"/>
    <s v="Berhampur"/>
    <s v="Women"/>
    <s v="Saree"/>
    <s v="Manyavar"/>
    <s v="Wedding Guest"/>
    <s v="Store"/>
    <n v="2"/>
    <n v="18550"/>
    <s v="21-30%"/>
    <n v="30"/>
    <s v="Valid"/>
    <s v="Match"/>
    <n v="37100"/>
    <n v="11130"/>
    <n v="25970"/>
    <n v="22491.599999999999"/>
    <n v="3478.4"/>
    <b v="0"/>
    <n v="0"/>
    <s v="UPI"/>
    <s v="Neha"/>
    <s v="WhatsApp"/>
    <n v="2.5"/>
    <x v="5"/>
    <x v="6"/>
  </r>
  <r>
    <s v="ZAR-10608"/>
    <d v="2025-11-26T00:00:00"/>
    <s v="12 AM - 4 AM"/>
    <x v="473"/>
    <s v="Puri"/>
    <s v="Women"/>
    <s v="Blouse"/>
    <s v="Biba"/>
    <s v="Wedding Guest"/>
    <s v="Store"/>
    <n v="3"/>
    <n v="2500"/>
    <s v="21-30%"/>
    <n v="25"/>
    <s v="Valid"/>
    <s v="Match"/>
    <n v="7500"/>
    <n v="1875"/>
    <n v="5625"/>
    <n v="3970.41"/>
    <n v="1654.59"/>
    <b v="0"/>
    <n v="0"/>
    <s v="Net Banking"/>
    <s v="Rohit"/>
    <s v="Repeat Customer"/>
    <n v="3.5"/>
    <x v="5"/>
    <x v="1"/>
  </r>
  <r>
    <s v="ZAR-10182"/>
    <d v="2025-12-02T00:00:00"/>
    <s v="12 PM - 4 PM"/>
    <x v="474"/>
    <s v="Sambalpur"/>
    <s v="Kids"/>
    <s v="Kids Kurta"/>
    <s v="Rangriti"/>
    <s v="Wedding"/>
    <s v="Store"/>
    <n v="3"/>
    <n v="3300"/>
    <s v="11-20%"/>
    <n v="20"/>
    <s v="Valid"/>
    <s v="Match"/>
    <n v="9900"/>
    <n v="1980"/>
    <n v="7920"/>
    <n v="6897.19"/>
    <n v="1022.81"/>
    <b v="0"/>
    <n v="0"/>
    <s v="COD"/>
    <s v="Priya"/>
    <s v="Instagram"/>
    <n v="4"/>
    <x v="1"/>
    <x v="6"/>
  </r>
  <r>
    <s v="ZAR-10303"/>
    <d v="2025-11-07T00:00:00"/>
    <s v="8 PM - 12 AM"/>
    <x v="396"/>
    <s v="Bhubaneshwar"/>
    <s v="Men"/>
    <s v="Dhoti Set"/>
    <s v="Designer Collection"/>
    <s v="Family Function"/>
    <s v="Phone"/>
    <n v="2"/>
    <n v="5050"/>
    <s v="0%"/>
    <n v="0"/>
    <s v="Valid"/>
    <s v="Match"/>
    <n v="10100"/>
    <n v="0"/>
    <n v="10100"/>
    <n v="6066.04"/>
    <n v="4033.96"/>
    <b v="0"/>
    <n v="0"/>
    <s v="UPI"/>
    <s v="Priya"/>
    <s v="Repeat Customer"/>
    <n v="3"/>
    <x v="5"/>
    <x v="3"/>
  </r>
  <r>
    <s v="ZAR-10766"/>
    <d v="2025-05-17T00:00:00"/>
    <s v="4 PM - 8 PM"/>
    <x v="255"/>
    <s v="Bhubaneshwar"/>
    <s v="Kids"/>
    <s v="Kids Kurta"/>
    <s v="Biba"/>
    <s v="Festive"/>
    <s v="WhatsApp"/>
    <n v="1"/>
    <n v="2650"/>
    <s v="0%"/>
    <n v="0"/>
    <s v="Valid"/>
    <s v="Match"/>
    <n v="2650"/>
    <n v="0"/>
    <n v="2650"/>
    <n v="1948.98"/>
    <n v="701.02"/>
    <b v="0"/>
    <n v="0"/>
    <s v="UPI"/>
    <s v="Rohit"/>
    <s v="Walk-in"/>
    <n v="3.5"/>
    <x v="8"/>
    <x v="5"/>
  </r>
  <r>
    <s v="ZAR-10719"/>
    <d v="2025-03-26T00:00:00"/>
    <s v="12 PM - 4 PM"/>
    <x v="54"/>
    <s v="Bhubaneshwar"/>
    <s v="Women"/>
    <s v="Bridal Lehenga"/>
    <s v="Designer Collection"/>
    <s v="Wedding"/>
    <s v="Store"/>
    <n v="2"/>
    <n v="101800"/>
    <s v="11-20%"/>
    <n v="20"/>
    <s v="Valid"/>
    <s v="Match"/>
    <n v="203600"/>
    <n v="40720"/>
    <n v="162880"/>
    <n v="112433.65"/>
    <n v="50446.35"/>
    <b v="0"/>
    <n v="0"/>
    <s v="Net Banking"/>
    <s v="Karan"/>
    <s v="Google"/>
    <n v="3.5"/>
    <x v="9"/>
    <x v="1"/>
  </r>
  <r>
    <s v="ZAR-10730"/>
    <d v="2025-10-19T00:00:00"/>
    <s v="4 AM - 8 AM"/>
    <x v="432"/>
    <s v="Rourkela"/>
    <s v="Men"/>
    <s v="Kurta Pajama"/>
    <s v="FabIndia"/>
    <s v="Wedding"/>
    <s v="Walk-in"/>
    <n v="3"/>
    <n v="1750"/>
    <s v="11-20%"/>
    <n v="15"/>
    <s v="Valid"/>
    <s v="Match"/>
    <n v="5250"/>
    <n v="787.5"/>
    <n v="4462.5"/>
    <n v="2909.84"/>
    <n v="1552.66"/>
    <b v="0"/>
    <n v="0"/>
    <s v="COD"/>
    <s v="Neha"/>
    <s v="WhatsApp"/>
    <n v="3.5"/>
    <x v="3"/>
    <x v="0"/>
  </r>
  <r>
    <s v="ZAR-10691"/>
    <d v="2025-03-06T00:00:00"/>
    <s v="12 AM - 4 AM"/>
    <x v="475"/>
    <s v="Rourkela"/>
    <s v="Women"/>
    <s v="Dupatta"/>
    <s v="Local Artisan"/>
    <s v="Wedding Guest"/>
    <s v="Store"/>
    <n v="2"/>
    <n v="1700"/>
    <s v="11-20%"/>
    <n v="15"/>
    <s v="Valid"/>
    <s v="Match"/>
    <n v="3400"/>
    <n v="510"/>
    <n v="2890"/>
    <n v="2323.65"/>
    <n v="566.35"/>
    <b v="0"/>
    <n v="0"/>
    <s v="Net Banking"/>
    <s v="Priya"/>
    <s v="Walk-in"/>
    <n v="3.5"/>
    <x v="9"/>
    <x v="4"/>
  </r>
  <r>
    <s v="ZAR-10667"/>
    <d v="2025-06-24T00:00:00"/>
    <s v="4 AM - 8 AM"/>
    <x v="476"/>
    <s v="Balasore"/>
    <s v="Men"/>
    <s v="Sherwani"/>
    <s v="Aurelia"/>
    <s v="Festive"/>
    <s v="Phone"/>
    <n v="1"/>
    <n v="20650"/>
    <s v="11-20%"/>
    <n v="20"/>
    <s v="Valid"/>
    <s v="Match"/>
    <n v="20650"/>
    <n v="4130"/>
    <n v="16520"/>
    <n v="14665.38"/>
    <n v="1854.62"/>
    <b v="0"/>
    <n v="0"/>
    <s v="COD"/>
    <s v="Meera"/>
    <s v="Google"/>
    <n v="3.5"/>
    <x v="2"/>
    <x v="6"/>
  </r>
  <r>
    <s v="ZAR-10519"/>
    <d v="2025-12-10T00:00:00"/>
    <s v="12 AM - 4 AM"/>
    <x v="477"/>
    <s v="Sambalpur"/>
    <s v="Women"/>
    <s v="Saree"/>
    <s v="Zaree Studio"/>
    <s v="Festive"/>
    <s v="Store"/>
    <n v="1"/>
    <n v="11550"/>
    <s v="30%+"/>
    <n v="55"/>
    <s v="Valid"/>
    <s v="Mismatch"/>
    <n v="11550"/>
    <n v="1732.5"/>
    <n v="9817.5"/>
    <n v="6434.04"/>
    <n v="3383.46"/>
    <b v="0"/>
    <n v="0"/>
    <s v="COD"/>
    <s v="Rohit"/>
    <s v="Google"/>
    <n v="5"/>
    <x v="1"/>
    <x v="1"/>
  </r>
  <r>
    <s v="ZAR-10994"/>
    <d v="2025-04-26T00:00:00"/>
    <s v="12 AM - 4 AM"/>
    <x v="478"/>
    <s v="Rourkela"/>
    <s v="Men"/>
    <s v="Kurta Pajama"/>
    <s v="Designer Collection"/>
    <s v="Festive"/>
    <s v="Website"/>
    <n v="1"/>
    <n v="4700"/>
    <s v="21-30%"/>
    <n v="25"/>
    <s v="Valid"/>
    <s v="Match"/>
    <n v="4700"/>
    <n v="1175"/>
    <n v="3525"/>
    <n v="2778"/>
    <n v="747"/>
    <b v="0"/>
    <n v="0"/>
    <s v="Cash"/>
    <s v="Sanjay"/>
    <s v="Instagram"/>
    <n v="4.5"/>
    <x v="7"/>
    <x v="5"/>
  </r>
  <r>
    <s v="ZAR-10047"/>
    <d v="2025-11-17T00:00:00"/>
    <s v="4 PM - 8 PM"/>
    <x v="479"/>
    <s v="Puri"/>
    <s v="Women"/>
    <s v="Blouse"/>
    <s v="Manyavar"/>
    <s v="Puja"/>
    <s v="Phone"/>
    <n v="1"/>
    <n v="1350"/>
    <s v="1-10%"/>
    <n v="10"/>
    <s v="Valid"/>
    <s v="Match"/>
    <n v="1350"/>
    <n v="135"/>
    <n v="1215"/>
    <n v="935.98"/>
    <n v="279.02"/>
    <b v="0"/>
    <n v="0"/>
    <s v="Cash"/>
    <s v="Meera"/>
    <s v="Walk-in"/>
    <n v="3.5"/>
    <x v="5"/>
    <x v="2"/>
  </r>
  <r>
    <s v="ZAR-10917"/>
    <d v="2025-10-11T00:00:00"/>
    <s v="12 AM - 4 AM"/>
    <x v="480"/>
    <s v="Bhubaneshwar"/>
    <s v="Women"/>
    <s v="Kurti"/>
    <s v="Manyavar"/>
    <s v="Festive"/>
    <s v="Store"/>
    <n v="3"/>
    <n v="1050"/>
    <s v="0%"/>
    <n v="0"/>
    <s v="Valid"/>
    <s v="Match"/>
    <n v="3150"/>
    <n v="0"/>
    <n v="3150"/>
    <n v="2064.5100000000002"/>
    <n v="1085.49"/>
    <b v="0"/>
    <n v="0"/>
    <s v="Net Banking"/>
    <s v="Priya"/>
    <s v="Walk-in"/>
    <n v="4"/>
    <x v="3"/>
    <x v="5"/>
  </r>
  <r>
    <s v="ZAR-10159"/>
    <d v="2025-03-31T00:00:00"/>
    <s v="4 PM - 8 PM"/>
    <x v="17"/>
    <s v="Sambalpur"/>
    <s v="Men"/>
    <s v="Shirt"/>
    <s v="Manyavar"/>
    <s v="Casual"/>
    <s v="Instagram"/>
    <n v="3"/>
    <n v="3350"/>
    <s v="21-30%"/>
    <n v="25"/>
    <s v="Valid"/>
    <s v="Match"/>
    <n v="10050"/>
    <n v="2512.5"/>
    <n v="7537.5"/>
    <n v="5765.29"/>
    <n v="1772.21"/>
    <b v="0"/>
    <n v="0"/>
    <s v="Net Banking"/>
    <s v="Sanjay"/>
    <s v="Instagram"/>
    <n v="4"/>
    <x v="9"/>
    <x v="2"/>
  </r>
  <r>
    <s v="ZAR-10751"/>
    <d v="2025-05-26T00:00:00"/>
    <s v="4 PM - 8 PM"/>
    <x v="481"/>
    <s v="Rourkela"/>
    <s v="Men"/>
    <s v="Dhoti Set"/>
    <s v="Rangriti"/>
    <s v="Casual"/>
    <s v="Phone"/>
    <n v="5"/>
    <n v="4050"/>
    <s v="0%"/>
    <n v="0"/>
    <s v="Valid"/>
    <s v="Match"/>
    <n v="20250"/>
    <n v="0"/>
    <n v="20250"/>
    <n v="13877.44"/>
    <n v="6372.56"/>
    <b v="0"/>
    <n v="0"/>
    <s v="UPI"/>
    <s v="Sanjay"/>
    <s v="Walk-in"/>
    <n v="4"/>
    <x v="8"/>
    <x v="2"/>
  </r>
  <r>
    <s v="ZAR-10173"/>
    <d v="2025-03-10T00:00:00"/>
    <s v="8 PM - 12 AM"/>
    <x v="372"/>
    <s v="Cuttack"/>
    <s v="Women"/>
    <s v="Lehenga"/>
    <s v="FabIndia"/>
    <s v="Reception"/>
    <s v="Store"/>
    <n v="1"/>
    <n v="10900"/>
    <s v="1-10%"/>
    <n v="10"/>
    <s v="Valid"/>
    <s v="Match"/>
    <n v="10900"/>
    <n v="1090"/>
    <n v="9810"/>
    <n v="5996.84"/>
    <n v="3813.16"/>
    <b v="0"/>
    <n v="0"/>
    <s v="Card"/>
    <s v="Karan"/>
    <s v="WhatsApp"/>
    <n v="4"/>
    <x v="9"/>
    <x v="2"/>
  </r>
  <r>
    <s v="ZAR-10018"/>
    <d v="2025-05-14T00:00:00"/>
    <s v="4 AM - 8 AM"/>
    <x v="482"/>
    <s v="Balasore"/>
    <s v="Women"/>
    <s v="Lehenga"/>
    <s v="Biba"/>
    <s v="Reception"/>
    <s v="Store"/>
    <n v="2"/>
    <n v="22950"/>
    <s v="11-20%"/>
    <n v="20"/>
    <s v="Valid"/>
    <s v="Match"/>
    <n v="45900"/>
    <n v="9180"/>
    <n v="36720"/>
    <n v="27062.7"/>
    <n v="9657.2999999999993"/>
    <b v="0"/>
    <n v="0"/>
    <s v="Net Banking"/>
    <s v="Priya"/>
    <s v="Instagram"/>
    <n v="5"/>
    <x v="8"/>
    <x v="1"/>
  </r>
  <r>
    <s v="ZAR-10513"/>
    <d v="2025-06-08T00:00:00"/>
    <s v="12 PM - 4 PM"/>
    <x v="296"/>
    <s v="Balasore"/>
    <s v="Men"/>
    <s v="Indo-Western"/>
    <s v="Aurelia"/>
    <s v="Wedding"/>
    <s v="Instagram"/>
    <n v="3"/>
    <n v="17350"/>
    <s v="1-10%"/>
    <n v="5"/>
    <s v="Valid"/>
    <s v="Match"/>
    <n v="52050"/>
    <n v="2602.5"/>
    <n v="49447.5"/>
    <n v="37033.51"/>
    <n v="12413.99"/>
    <b v="0"/>
    <n v="0"/>
    <s v="COD"/>
    <s v="Karan"/>
    <s v="WhatsApp"/>
    <n v="4.5"/>
    <x v="2"/>
    <x v="0"/>
  </r>
  <r>
    <s v="ZAR-10050"/>
    <d v="2025-02-16T00:00:00"/>
    <s v="12 PM - 4 PM"/>
    <x v="483"/>
    <s v="Rourkela"/>
    <s v="Kids"/>
    <s v="Kids Kurta"/>
    <s v="Designer Collection"/>
    <s v="Casual"/>
    <s v="Store"/>
    <n v="1"/>
    <n v="3500"/>
    <s v="21-30%"/>
    <n v="30"/>
    <s v="Valid"/>
    <s v="Match"/>
    <n v="3500"/>
    <n v="1050"/>
    <n v="2450"/>
    <n v="2198.63"/>
    <n v="251.37"/>
    <b v="0"/>
    <n v="0"/>
    <s v="Cash"/>
    <s v="Karan"/>
    <s v="Google"/>
    <n v="4"/>
    <x v="4"/>
    <x v="0"/>
  </r>
  <r>
    <s v="ZAR-10981"/>
    <d v="2025-12-07T00:00:00"/>
    <s v="8 PM - 12 AM"/>
    <x v="484"/>
    <s v="Puri"/>
    <s v="Men"/>
    <s v="Nehru Jacket"/>
    <s v="Rangriti"/>
    <s v="Wedding"/>
    <s v="Website"/>
    <n v="2"/>
    <n v="1950"/>
    <s v="21-30%"/>
    <n v="30"/>
    <s v="Valid"/>
    <s v="Match"/>
    <n v="3900"/>
    <n v="1170"/>
    <n v="2730"/>
    <n v="2051.44"/>
    <n v="678.56"/>
    <b v="0"/>
    <n v="0"/>
    <s v="UPI"/>
    <s v="Karan"/>
    <s v="Walk-in"/>
    <n v="3.5"/>
    <x v="1"/>
    <x v="0"/>
  </r>
  <r>
    <s v="ZAR-10848"/>
    <d v="2025-02-05T00:00:00"/>
    <s v="4 AM - 8 AM"/>
    <x v="485"/>
    <s v="Berhampur"/>
    <s v="Kids"/>
    <s v="Kids Sherwani"/>
    <s v="Aurelia"/>
    <s v="Reception"/>
    <s v="Walk-in"/>
    <n v="1"/>
    <s v="3250.0"/>
    <s v="0%"/>
    <n v="0"/>
    <s v="Valid"/>
    <s v="Match"/>
    <n v="3250"/>
    <n v="0"/>
    <n v="3250"/>
    <n v="2323.84"/>
    <n v="926.16"/>
    <b v="0"/>
    <n v="0"/>
    <s v="Cash"/>
    <s v="Priya"/>
    <s v="WhatsApp"/>
    <n v="3"/>
    <x v="4"/>
    <x v="1"/>
  </r>
  <r>
    <s v="ZAR-10517"/>
    <d v="2025-05-10T00:00:00"/>
    <s v="4 AM - 8 AM"/>
    <x v="486"/>
    <s v="Bhubaneshwar"/>
    <s v="Women"/>
    <s v="Lehenga"/>
    <s v="FabIndia"/>
    <s v="Festive"/>
    <s v="Store"/>
    <n v="2"/>
    <n v="26150"/>
    <s v="11-20%"/>
    <n v="15"/>
    <s v="Valid"/>
    <s v="Match"/>
    <n v="52300"/>
    <n v="7845"/>
    <n v="44455"/>
    <n v="32384.47"/>
    <n v="12070.53"/>
    <b v="0"/>
    <n v="0"/>
    <s v="Net Banking"/>
    <s v="Meera"/>
    <s v="Walk-in"/>
    <n v="4"/>
    <x v="8"/>
    <x v="5"/>
  </r>
  <r>
    <s v="ZAR-10831"/>
    <d v="2025-04-08T00:00:00"/>
    <s v="12 PM - 4 PM"/>
    <x v="264"/>
    <s v="Berhampur"/>
    <s v="Kids"/>
    <s v="Kids Gown"/>
    <s v="Designer Collection"/>
    <s v="Festive"/>
    <s v="Store"/>
    <n v="1"/>
    <n v="3800"/>
    <s v="11-20%"/>
    <n v="15"/>
    <s v="Valid"/>
    <s v="Match"/>
    <n v="3800"/>
    <n v="570"/>
    <n v="3230"/>
    <n v="2291.2800000000002"/>
    <n v="938.72"/>
    <b v="0"/>
    <n v="0"/>
    <s v="Card"/>
    <s v="Karan"/>
    <s v="WhatsApp"/>
    <n v="5"/>
    <x v="7"/>
    <x v="6"/>
  </r>
  <r>
    <s v="ZAR-10482"/>
    <d v="2025-11-14T00:00:00"/>
    <s v="8 AM - 12 PM"/>
    <x v="487"/>
    <s v="Cuttack"/>
    <s v="Kids"/>
    <s v="Kids Sherwani"/>
    <s v="Biba"/>
    <s v="Festive"/>
    <s v="Store"/>
    <n v="1"/>
    <n v="3700"/>
    <s v="11-20%"/>
    <n v="15"/>
    <s v="Valid"/>
    <s v="Match"/>
    <n v="3700"/>
    <n v="555"/>
    <n v="3145"/>
    <n v="2706.35"/>
    <n v="438.65"/>
    <b v="0"/>
    <n v="0"/>
    <s v="Net Banking"/>
    <s v="Priya"/>
    <s v="WhatsApp"/>
    <n v="4"/>
    <x v="5"/>
    <x v="3"/>
  </r>
  <r>
    <s v="ZAR-10285"/>
    <d v="2025-03-27T00:00:00"/>
    <s v="8 PM - 12 AM"/>
    <x v="488"/>
    <s v="Sambalpur"/>
    <s v="Women"/>
    <s v="Lehenga"/>
    <s v="Aurelia"/>
    <s v="Festive"/>
    <s v="Store"/>
    <n v="1"/>
    <n v="21500"/>
    <s v="21-30%"/>
    <n v="25"/>
    <s v="Valid"/>
    <s v="Match"/>
    <n v="21500"/>
    <n v="5375"/>
    <n v="16125"/>
    <n v="15704.69"/>
    <n v="420.31"/>
    <b v="0"/>
    <n v="0"/>
    <s v="Cash"/>
    <s v="Priya"/>
    <s v="WhatsApp"/>
    <n v="3.5"/>
    <x v="9"/>
    <x v="4"/>
  </r>
  <r>
    <s v="ZAR-10725"/>
    <d v="2025-11-11T00:00:00"/>
    <s v="12 AM - 4 AM"/>
    <x v="489"/>
    <s v="Puri"/>
    <s v="Women"/>
    <s v="Lehenga"/>
    <s v="FabIndia"/>
    <s v="Reception"/>
    <s v="Instagram"/>
    <n v="1"/>
    <n v="39600"/>
    <s v="21-30%"/>
    <n v="30"/>
    <s v="Valid"/>
    <s v="Match"/>
    <n v="39600"/>
    <n v="11880"/>
    <n v="27720"/>
    <n v="22283.72"/>
    <n v="5436.28"/>
    <b v="0"/>
    <n v="0"/>
    <s v="COD"/>
    <s v="Ananya"/>
    <s v="WhatsApp"/>
    <n v="4.5"/>
    <x v="5"/>
    <x v="6"/>
  </r>
  <r>
    <s v="ZAR-10686"/>
    <d v="2025-11-08T00:00:00"/>
    <s v="4 AM - 8 AM"/>
    <x v="312"/>
    <s v="Sambalpur"/>
    <s v="Women"/>
    <s v="Gown"/>
    <s v="FabIndia"/>
    <s v="Puja"/>
    <s v="Store"/>
    <n v="3"/>
    <n v="3050"/>
    <s v="11-20%"/>
    <n v="20"/>
    <s v="Valid"/>
    <s v="Match"/>
    <n v="9150"/>
    <n v="1830"/>
    <n v="7320"/>
    <n v="4809.3999999999996"/>
    <n v="2510.6"/>
    <b v="0"/>
    <n v="0"/>
    <s v="Card"/>
    <s v="Sanjay"/>
    <s v="Repeat Customer"/>
    <n v="4.5"/>
    <x v="5"/>
    <x v="5"/>
  </r>
  <r>
    <s v="ZAR-10227"/>
    <d v="2025-09-04T00:00:00"/>
    <s v="8 AM - 12 PM"/>
    <x v="490"/>
    <s v="Bhubaneshwar"/>
    <s v="Men"/>
    <s v="Nehru Jacket"/>
    <s v="Designer Collection"/>
    <s v="Festive"/>
    <s v="Store"/>
    <n v="2"/>
    <n v="2700"/>
    <s v="1-10%"/>
    <n v="5"/>
    <s v="Valid"/>
    <s v="Match"/>
    <n v="5400"/>
    <n v="270"/>
    <n v="5130"/>
    <n v="3625.59"/>
    <n v="1504.41"/>
    <b v="0"/>
    <n v="0"/>
    <s v="Card"/>
    <s v="Ananya"/>
    <s v="Repeat Customer"/>
    <n v="4.5"/>
    <x v="11"/>
    <x v="4"/>
  </r>
  <r>
    <s v="ZAR-10028"/>
    <d v="2025-03-28T00:00:00"/>
    <s v="8 PM - 12 AM"/>
    <x v="76"/>
    <s v="Sambalpur"/>
    <s v="Women"/>
    <s v="Gown"/>
    <s v="Aurelia"/>
    <s v="Office"/>
    <s v="Store"/>
    <n v="1"/>
    <n v="8300"/>
    <s v="1-10%"/>
    <n v="5"/>
    <s v="Valid"/>
    <s v="Match"/>
    <n v="8300"/>
    <n v="415"/>
    <n v="7885"/>
    <n v="5249.4"/>
    <n v="2635.6"/>
    <b v="0"/>
    <n v="0"/>
    <s v="Cash"/>
    <s v="Rohit"/>
    <s v="Walk-in"/>
    <n v="3"/>
    <x v="9"/>
    <x v="3"/>
  </r>
  <r>
    <s v="ZAR-10789"/>
    <d v="2025-07-13T00:00:00"/>
    <s v="4 PM - 8 PM"/>
    <x v="491"/>
    <s v="Berhampur"/>
    <s v="Women"/>
    <s v="Blouse"/>
    <s v="Rangriti"/>
    <s v="Office"/>
    <s v="Store"/>
    <n v="3"/>
    <n v="1100"/>
    <s v="11-20%"/>
    <n v="15"/>
    <s v="Valid"/>
    <s v="Match"/>
    <n v="3300"/>
    <n v="495"/>
    <n v="2805"/>
    <n v="1749.76"/>
    <n v="1055.24"/>
    <b v="0"/>
    <n v="0"/>
    <s v="Net Banking"/>
    <s v="Ananya"/>
    <s v="Instagram"/>
    <n v="3.5"/>
    <x v="0"/>
    <x v="0"/>
  </r>
  <r>
    <s v="ZAR-10439"/>
    <d v="2025-12-29T00:00:00"/>
    <s v="12 PM - 4 PM"/>
    <x v="199"/>
    <s v="Berhampur"/>
    <s v="Women"/>
    <s v="Gown"/>
    <s v="FabIndia"/>
    <s v="Wedding Guest"/>
    <s v="Store"/>
    <n v="1"/>
    <n v="14700"/>
    <s v="1-10%"/>
    <n v="5"/>
    <s v="Valid"/>
    <s v="Match"/>
    <n v="14700"/>
    <n v="735"/>
    <n v="13965"/>
    <n v="9950.93"/>
    <n v="4014.07"/>
    <b v="0"/>
    <n v="0"/>
    <s v="Card"/>
    <s v="Sanjay"/>
    <s v="Referral"/>
    <n v="3"/>
    <x v="1"/>
    <x v="2"/>
  </r>
  <r>
    <s v="ZAR-10960"/>
    <d v="2025-10-30T00:00:00"/>
    <s v="12 PM - 4 PM"/>
    <x v="293"/>
    <s v="Berhampur"/>
    <s v="Men"/>
    <s v="Kurta Pajama"/>
    <s v="Local Artisan"/>
    <s v="Festive"/>
    <s v="Store"/>
    <n v="1"/>
    <n v="6850"/>
    <s v="1-10%"/>
    <n v="5"/>
    <s v="Valid"/>
    <s v="Match"/>
    <n v="6850"/>
    <n v="342.5"/>
    <n v="6507.5"/>
    <n v="4171.6099999999997"/>
    <n v="2335.89"/>
    <b v="0"/>
    <n v="0"/>
    <s v="Cash"/>
    <s v="Karan"/>
    <s v="Repeat Customer"/>
    <n v="5"/>
    <x v="3"/>
    <x v="4"/>
  </r>
  <r>
    <s v="ZAR-10366"/>
    <d v="2025-02-05T00:00:00"/>
    <s v="12 PM - 4 PM"/>
    <x v="492"/>
    <s v="Cuttack"/>
    <s v="Women"/>
    <s v="Bridal Lehenga"/>
    <s v="Manyavar"/>
    <s v="Festive"/>
    <s v="Instagram"/>
    <n v="1"/>
    <n v="58950"/>
    <s v="1-10%"/>
    <n v="10"/>
    <s v="Valid"/>
    <s v="Match"/>
    <n v="58950"/>
    <n v="5895"/>
    <n v="53055"/>
    <n v="32961.57"/>
    <n v="20093.43"/>
    <b v="0"/>
    <n v="0"/>
    <s v="COD"/>
    <s v="Meera"/>
    <s v="Google"/>
    <n v="3"/>
    <x v="4"/>
    <x v="1"/>
  </r>
  <r>
    <s v="ZAR-10231"/>
    <d v="2025-03-08T00:00:00"/>
    <s v="12 PM - 4 PM"/>
    <x v="493"/>
    <s v="Rourkela"/>
    <s v="Women"/>
    <s v="Dupatta"/>
    <s v="Zaree Studio"/>
    <s v="Wedding Guest"/>
    <s v="Store"/>
    <n v="2"/>
    <n v="4000"/>
    <s v="21-30%"/>
    <n v="30"/>
    <s v="Valid"/>
    <s v="Match"/>
    <n v="8000"/>
    <n v="2400"/>
    <n v="5600"/>
    <n v="5364.66"/>
    <n v="235.34"/>
    <b v="0"/>
    <n v="0"/>
    <s v="COD"/>
    <s v="Meera"/>
    <s v="WhatsApp"/>
    <n v="3.5"/>
    <x v="9"/>
    <x v="5"/>
  </r>
  <r>
    <s v="ZAR-10039"/>
    <d v="2025-05-06T00:00:00"/>
    <s v="12 AM - 4 AM"/>
    <x v="494"/>
    <s v="Rourkela"/>
    <s v="Men"/>
    <s v="Indo-Western"/>
    <s v="Zaree Studio"/>
    <s v="Family Function"/>
    <s v="Store"/>
    <n v="2"/>
    <n v="10100"/>
    <s v="1-10%"/>
    <n v="10"/>
    <s v="Valid"/>
    <s v="Match"/>
    <n v="20200"/>
    <n v="2020"/>
    <n v="18180"/>
    <n v="11936.32"/>
    <n v="6243.68"/>
    <b v="0"/>
    <n v="0"/>
    <s v="Net Banking"/>
    <s v="Meera"/>
    <s v="Referral"/>
    <n v="4"/>
    <x v="8"/>
    <x v="6"/>
  </r>
  <r>
    <s v="ZAR-10975"/>
    <d v="2025-03-23T00:00:00"/>
    <s v="12 PM - 4 PM"/>
    <x v="495"/>
    <s v="Bhubaneshwar"/>
    <s v="Men"/>
    <s v="Nehru Jacket"/>
    <s v="Local Artisan"/>
    <s v="Casual"/>
    <s v="Store"/>
    <n v="1"/>
    <n v="6550"/>
    <s v="21-30%"/>
    <n v="25"/>
    <s v="Valid"/>
    <s v="Match"/>
    <n v="6550"/>
    <n v="1637.5"/>
    <n v="4912.5"/>
    <n v="3497.17"/>
    <n v="1415.33"/>
    <b v="0"/>
    <n v="0"/>
    <s v="UPI"/>
    <s v="Ananya"/>
    <s v="Not Recorded"/>
    <n v="5"/>
    <x v="9"/>
    <x v="0"/>
  </r>
  <r>
    <s v="ZAR-10376"/>
    <d v="2025-09-01T00:00:00"/>
    <s v="8 PM - 12 AM"/>
    <x v="294"/>
    <s v="Cuttack"/>
    <s v="Women"/>
    <s v="Lehenga"/>
    <s v="Aurelia"/>
    <s v="Festive"/>
    <s v="Store"/>
    <n v="2"/>
    <n v="33850"/>
    <s v="1-10%"/>
    <n v="10"/>
    <s v="Valid"/>
    <s v="Match"/>
    <n v="67700"/>
    <n v="6770"/>
    <n v="60930"/>
    <n v="41403.21"/>
    <n v="19526.79"/>
    <b v="0"/>
    <n v="0"/>
    <s v="Card"/>
    <s v="Neha"/>
    <s v="WhatsApp"/>
    <n v="4"/>
    <x v="11"/>
    <x v="2"/>
  </r>
  <r>
    <s v="ZAR-10471"/>
    <d v="2025-10-27T00:00:00"/>
    <s v="12 PM - 4 PM"/>
    <x v="183"/>
    <s v="Rourkela"/>
    <s v="Women"/>
    <s v="Dupatta"/>
    <s v="Local Artisan"/>
    <s v="Casual"/>
    <s v="Phone"/>
    <n v="1"/>
    <n v="3150"/>
    <s v="11-20%"/>
    <n v="15"/>
    <s v="Valid"/>
    <s v="Match"/>
    <n v="3150"/>
    <n v="472.5"/>
    <n v="2677.5"/>
    <n v="2242.31"/>
    <n v="435.19"/>
    <b v="0"/>
    <n v="0"/>
    <s v="Card"/>
    <s v="Rohit"/>
    <s v="Repeat Customer"/>
    <n v="5"/>
    <x v="3"/>
    <x v="2"/>
  </r>
  <r>
    <s v="ZAR-10977"/>
    <d v="2025-08-16T00:00:00"/>
    <s v="8 AM - 12 PM"/>
    <x v="496"/>
    <s v="Sambalpur"/>
    <s v="Women"/>
    <s v="Kurti"/>
    <s v="Local Artisan"/>
    <s v="Wedding Guest"/>
    <s v="Instagram"/>
    <n v="1"/>
    <n v="4300"/>
    <s v="11-20%"/>
    <n v="20"/>
    <s v="Valid"/>
    <s v="Match"/>
    <n v="4300"/>
    <n v="860"/>
    <n v="3440"/>
    <n v="3027.51"/>
    <n v="412.49"/>
    <b v="0"/>
    <n v="0"/>
    <s v="Cash"/>
    <s v="Sanjay"/>
    <s v="Repeat Customer"/>
    <n v="3.5"/>
    <x v="6"/>
    <x v="5"/>
  </r>
  <r>
    <s v="ZAR-10883"/>
    <d v="2025-07-08T00:00:00"/>
    <s v="12 PM - 4 PM"/>
    <x v="497"/>
    <s v="Rourkela"/>
    <s v="Men"/>
    <s v="Shirt"/>
    <s v="Manyavar"/>
    <s v="Wedding"/>
    <s v="Store"/>
    <n v="1"/>
    <n v="3500"/>
    <s v="1-10%"/>
    <n v="10"/>
    <s v="Valid"/>
    <s v="Match"/>
    <n v="3500"/>
    <n v="350"/>
    <n v="3150"/>
    <n v="1888.08"/>
    <n v="1261.92"/>
    <b v="0"/>
    <n v="0"/>
    <s v="Cash"/>
    <s v="Karan"/>
    <s v="WhatsApp"/>
    <n v="5"/>
    <x v="0"/>
    <x v="6"/>
  </r>
  <r>
    <s v="ZAR-10710"/>
    <d v="2025-07-23T00:00:00"/>
    <s v="4 AM - 8 AM"/>
    <x v="498"/>
    <s v="Sambalpur "/>
    <s v="Kids"/>
    <s v="Kids Sherwani"/>
    <s v="Manyavar"/>
    <s v="Engagement"/>
    <s v="Store"/>
    <n v="1"/>
    <n v="4800"/>
    <s v="11-20%"/>
    <n v="20"/>
    <s v="Valid"/>
    <s v="Match"/>
    <n v="4800"/>
    <n v="960"/>
    <n v="3840"/>
    <n v="3525.8"/>
    <n v="314.2"/>
    <b v="0"/>
    <n v="0"/>
    <s v="UPI"/>
    <s v="Ananya"/>
    <s v="Repeat Customer"/>
    <n v="4"/>
    <x v="0"/>
    <x v="1"/>
  </r>
  <r>
    <s v="ZAR-10732"/>
    <d v="2025-01-05T00:00:00"/>
    <s v="4 AM - 8 AM"/>
    <x v="52"/>
    <s v="Rourkela"/>
    <s v="Men"/>
    <s v="Sherwani"/>
    <s v="FabIndia"/>
    <s v="Wedding"/>
    <s v="Store"/>
    <n v="1"/>
    <n v="19250"/>
    <s v="1-10%"/>
    <n v="10"/>
    <s v="Valid"/>
    <s v="Match"/>
    <n v="19250"/>
    <n v="1925"/>
    <n v="17325"/>
    <n v="13691.61"/>
    <n v="3633.39"/>
    <b v="0"/>
    <n v="0"/>
    <s v="Cash"/>
    <s v="Rohit"/>
    <s v="Google"/>
    <n v="3.5"/>
    <x v="10"/>
    <x v="0"/>
  </r>
  <r>
    <s v="ZAR-10196"/>
    <d v="2025-06-15T00:00:00"/>
    <s v="12 AM - 4 AM"/>
    <x v="252"/>
    <s v="Cuttack"/>
    <s v="Women"/>
    <s v="Saree"/>
    <s v="Rangriti"/>
    <s v="Wedding Guest"/>
    <s v="Instagram"/>
    <n v="1"/>
    <n v="13100"/>
    <s v="21-30%"/>
    <n v="30"/>
    <s v="Valid"/>
    <s v="Match"/>
    <n v="13100"/>
    <n v="3930"/>
    <n v="9170"/>
    <n v="9245.23"/>
    <n v="-75.23"/>
    <b v="0"/>
    <n v="0"/>
    <s v="Cash"/>
    <s v="Karan"/>
    <s v="WhatsApp"/>
    <n v="4.5"/>
    <x v="2"/>
    <x v="0"/>
  </r>
  <r>
    <s v="ZAR-10872"/>
    <d v="2025-04-17T00:00:00"/>
    <s v="12 PM - 4 PM"/>
    <x v="499"/>
    <s v="Bhubaneshwar"/>
    <s v="Women"/>
    <s v="Bridal Lehenga"/>
    <s v="Zaree Studio"/>
    <s v="Reception"/>
    <s v="WhatsApp"/>
    <n v="1"/>
    <n v="74150"/>
    <s v="11-20%"/>
    <n v="20"/>
    <s v="Valid"/>
    <s v="Match"/>
    <n v="74150"/>
    <n v="14830"/>
    <n v="59320"/>
    <n v="51981.09"/>
    <n v="7338.91"/>
    <b v="0"/>
    <n v="0"/>
    <s v="COD"/>
    <s v="Ananya"/>
    <s v="Instagram"/>
    <s v="Not Rated"/>
    <x v="7"/>
    <x v="4"/>
  </r>
  <r>
    <s v="ZAR-10505"/>
    <d v="2025-09-12T00:00:00"/>
    <s v="8 AM - 12 PM"/>
    <x v="500"/>
    <s v="Rourkela"/>
    <s v="Women"/>
    <s v="Bridal Lehenga"/>
    <s v="Rangriti"/>
    <s v="Engagement"/>
    <s v="Store"/>
    <n v="1"/>
    <n v="67800"/>
    <s v="11-20%"/>
    <n v="15"/>
    <s v="Valid"/>
    <s v="Match"/>
    <n v="67800"/>
    <n v="10170"/>
    <n v="57630"/>
    <n v="41355.94"/>
    <n v="16274.06"/>
    <b v="0"/>
    <n v="0"/>
    <s v="Cash"/>
    <s v="Ananya"/>
    <s v="Referral"/>
    <n v="5"/>
    <x v="11"/>
    <x v="3"/>
  </r>
  <r>
    <s v="ZAR-10979"/>
    <d v="2025-11-07T00:00:00"/>
    <s v="4 PM - 8 PM"/>
    <x v="501"/>
    <s v="Bhubaneshwar"/>
    <s v="Women"/>
    <s v="Kurti"/>
    <s v="Rangriti"/>
    <s v="Office"/>
    <s v="Store"/>
    <n v="1"/>
    <n v="3750"/>
    <s v="0%"/>
    <n v="0"/>
    <s v="Valid"/>
    <s v="Match"/>
    <n v="3750"/>
    <n v="0"/>
    <n v="3750"/>
    <n v="2369.44"/>
    <n v="1380.56"/>
    <b v="0"/>
    <n v="0"/>
    <s v="Cash"/>
    <s v="Priya"/>
    <s v="Referral"/>
    <n v="4.5"/>
    <x v="5"/>
    <x v="3"/>
  </r>
  <r>
    <s v="ZAR-10838"/>
    <d v="2025-11-27T00:00:00"/>
    <s v="12 PM - 4 PM"/>
    <x v="502"/>
    <s v="Balasore"/>
    <s v="Women"/>
    <s v="Lehenga"/>
    <s v="Designer Collection"/>
    <s v="Reception"/>
    <s v="Instagram"/>
    <n v="3"/>
    <n v="7750"/>
    <s v="11-20%"/>
    <n v="15"/>
    <s v="Valid"/>
    <s v="Match"/>
    <n v="23250"/>
    <n v="3487.5"/>
    <n v="19762.5"/>
    <n v="16883.830000000002"/>
    <n v="2878.67"/>
    <b v="0"/>
    <n v="0"/>
    <s v="COD"/>
    <s v="Priya"/>
    <s v="Referral"/>
    <n v="5"/>
    <x v="5"/>
    <x v="4"/>
  </r>
  <r>
    <s v="ZAR-10581"/>
    <d v="2025-10-17T00:00:00"/>
    <s v="12 AM - 4 AM"/>
    <x v="429"/>
    <s v="Balasore"/>
    <s v="Men"/>
    <s v="Kurta Pajama"/>
    <s v="Rangriti"/>
    <s v="Family Function"/>
    <s v="Store"/>
    <n v="2"/>
    <n v="5400"/>
    <s v="1-10%"/>
    <n v="5"/>
    <s v="Valid"/>
    <s v="Match"/>
    <n v="10800"/>
    <n v="540"/>
    <n v="10260"/>
    <n v="6304.22"/>
    <n v="3955.78"/>
    <b v="0"/>
    <n v="0"/>
    <s v="Card"/>
    <s v="Sanjay"/>
    <s v="Repeat Customer"/>
    <n v="5"/>
    <x v="3"/>
    <x v="3"/>
  </r>
  <r>
    <s v="ZAR-10978"/>
    <d v="2025-01-28T00:00:00"/>
    <s v="4 AM - 8 AM"/>
    <x v="225"/>
    <s v="Balasore"/>
    <s v="Women"/>
    <s v="Lehenga"/>
    <s v="Manyavar"/>
    <s v="Festive"/>
    <s v="Store"/>
    <n v="1"/>
    <n v="40250"/>
    <s v="21-30%"/>
    <n v="25"/>
    <s v="Valid"/>
    <s v="Match"/>
    <n v="40250"/>
    <n v="10062.5"/>
    <n v="30187.5"/>
    <n v="22052.63"/>
    <n v="8134.87"/>
    <b v="0"/>
    <n v="0"/>
    <s v="UPI"/>
    <s v="Neha"/>
    <s v="Walk-in"/>
    <n v="4"/>
    <x v="10"/>
    <x v="6"/>
  </r>
  <r>
    <s v="ZAR-10164"/>
    <d v="2025-08-23T00:00:00"/>
    <s v="4 PM - 8 PM"/>
    <x v="169"/>
    <s v="Puri"/>
    <s v="Women"/>
    <s v="Kurti"/>
    <s v="Rangriti"/>
    <s v="Wedding Guest"/>
    <s v="WhatsApp"/>
    <n v="1"/>
    <n v="1800"/>
    <s v="11-20%"/>
    <n v="20"/>
    <s v="Valid"/>
    <s v="Match"/>
    <n v="1800"/>
    <n v="360"/>
    <n v="1440"/>
    <n v="1050.31"/>
    <n v="389.69"/>
    <b v="0"/>
    <n v="0"/>
    <s v="Cash"/>
    <s v="Meera"/>
    <s v="Repeat Customer"/>
    <n v="4.5"/>
    <x v="6"/>
    <x v="5"/>
  </r>
  <r>
    <s v="ZAR-10708"/>
    <d v="2025-11-07T00:00:00"/>
    <s v="8 AM - 12 PM"/>
    <x v="65"/>
    <s v="Sambalpur"/>
    <s v="Women"/>
    <s v="Saree"/>
    <s v="Designer Collection"/>
    <s v="Office"/>
    <s v="Store"/>
    <n v="2"/>
    <n v="4950"/>
    <s v="11-20%"/>
    <n v="15"/>
    <s v="Valid"/>
    <s v="Match"/>
    <n v="9900"/>
    <n v="1485"/>
    <n v="8415"/>
    <n v="5571.15"/>
    <n v="2843.85"/>
    <b v="0"/>
    <n v="0"/>
    <s v="Card"/>
    <s v="Ananya"/>
    <s v="Referral"/>
    <n v="4"/>
    <x v="5"/>
    <x v="3"/>
  </r>
  <r>
    <s v="ZAR-10154"/>
    <d v="2025-01-14T00:00:00"/>
    <s v="12 PM - 4 PM"/>
    <x v="503"/>
    <s v="Cuttack"/>
    <s v="Kids"/>
    <s v="Kids Kurta"/>
    <s v="Manyavar"/>
    <s v="Festive"/>
    <s v="Store"/>
    <n v="2"/>
    <n v="2350"/>
    <s v="21-30%"/>
    <n v="25"/>
    <s v="Valid"/>
    <s v="Match"/>
    <n v="4700"/>
    <n v="1175"/>
    <n v="3525"/>
    <n v="3237.72"/>
    <n v="287.27999999999997"/>
    <b v="0"/>
    <n v="0"/>
    <s v="Cash"/>
    <s v="Rohit"/>
    <s v="Referral"/>
    <n v="4"/>
    <x v="10"/>
    <x v="6"/>
  </r>
  <r>
    <s v="ZAR-10687"/>
    <d v="2025-04-25T00:00:00"/>
    <s v="4 PM - 8 PM"/>
    <x v="504"/>
    <s v="Berhampur"/>
    <s v="Women"/>
    <s v="Saree"/>
    <s v="Rangriti"/>
    <s v="Puja"/>
    <s v="Instagram"/>
    <n v="5"/>
    <n v="14450"/>
    <s v="0%"/>
    <n v="0"/>
    <s v="Valid"/>
    <s v="Match"/>
    <n v="72250"/>
    <n v="0"/>
    <n v="72250"/>
    <n v="52752.58"/>
    <n v="19497.419999999998"/>
    <b v="0"/>
    <n v="0"/>
    <s v="COD"/>
    <s v="Meera"/>
    <s v="Instagram"/>
    <s v="Not Rated"/>
    <x v="7"/>
    <x v="3"/>
  </r>
  <r>
    <s v="ZAR-10706"/>
    <d v="2025-01-19T00:00:00"/>
    <s v="12 AM - 4 AM"/>
    <x v="505"/>
    <s v="Berhampur"/>
    <s v="Kids"/>
    <s v="Kids Saree"/>
    <s v="Manyavar"/>
    <s v="Family Function"/>
    <s v="Store"/>
    <n v="2"/>
    <n v="1950"/>
    <s v="1-10%"/>
    <n v="5"/>
    <s v="Valid"/>
    <s v="Match"/>
    <n v="3900"/>
    <n v="195"/>
    <n v="3705"/>
    <n v="2834.53"/>
    <n v="870.47"/>
    <b v="0"/>
    <n v="0"/>
    <s v="Cash"/>
    <s v="Priya"/>
    <s v="Instagram"/>
    <n v="3"/>
    <x v="10"/>
    <x v="0"/>
  </r>
  <r>
    <s v="ZAR-10762"/>
    <d v="2025-01-07T00:00:00"/>
    <s v="8 AM - 12 PM"/>
    <x v="153"/>
    <s v="Balasore"/>
    <s v="Women"/>
    <s v="Kurti"/>
    <s v="Designer Collection"/>
    <s v="Puja"/>
    <s v="Store"/>
    <n v="1"/>
    <n v="800"/>
    <s v="1-10%"/>
    <n v="10"/>
    <s v="Valid"/>
    <s v="Match"/>
    <n v="800"/>
    <n v="80"/>
    <n v="720"/>
    <n v="442.11"/>
    <n v="277.89"/>
    <b v="0"/>
    <n v="0"/>
    <s v="COD"/>
    <s v="Rohit"/>
    <s v="Referral"/>
    <n v="4"/>
    <x v="10"/>
    <x v="6"/>
  </r>
  <r>
    <s v="ZAR-10113"/>
    <d v="2025-10-15T00:00:00"/>
    <s v="4 AM - 8 AM"/>
    <x v="506"/>
    <s v="Berhampur"/>
    <s v="Kids"/>
    <s v="Kids Saree"/>
    <s v="Biba"/>
    <s v="Family Function"/>
    <s v="Store"/>
    <n v="1"/>
    <n v="2900"/>
    <s v="11-20%"/>
    <n v="15"/>
    <s v="Valid"/>
    <s v="Match"/>
    <n v="2900"/>
    <n v="435"/>
    <n v="2465"/>
    <n v="1540.64"/>
    <n v="924.36"/>
    <b v="0"/>
    <n v="0"/>
    <s v="COD"/>
    <s v="Karan"/>
    <s v="Repeat Customer"/>
    <n v="4.5"/>
    <x v="3"/>
    <x v="1"/>
  </r>
  <r>
    <s v="ZAR-10228"/>
    <d v="2025-06-01T00:00:00"/>
    <s v="8 AM - 12 PM"/>
    <x v="364"/>
    <s v="Bhubaneshwar"/>
    <s v="Women"/>
    <s v="Lehenga"/>
    <s v="FabIndia"/>
    <s v="Wedding"/>
    <s v="Store"/>
    <n v="2"/>
    <n v="41400"/>
    <s v="11-20%"/>
    <n v="15"/>
    <s v="Valid"/>
    <s v="Match"/>
    <n v="82800"/>
    <n v="12420"/>
    <n v="70380"/>
    <n v="61065.54"/>
    <n v="9314.4599999999991"/>
    <b v="0"/>
    <n v="0"/>
    <s v="Cash"/>
    <s v="Sanjay"/>
    <s v="WhatsApp"/>
    <n v="4"/>
    <x v="2"/>
    <x v="0"/>
  </r>
  <r>
    <s v="ZAR-10694"/>
    <d v="2025-09-26T00:00:00"/>
    <s v="4 PM - 8 PM"/>
    <x v="504"/>
    <s v="Puri"/>
    <s v="Women"/>
    <s v="Lehenga"/>
    <s v="Manyavar"/>
    <s v="Festive"/>
    <s v="Phone"/>
    <n v="1"/>
    <n v="15850"/>
    <s v="0%"/>
    <n v="0"/>
    <s v="Valid"/>
    <s v="Match"/>
    <n v="15850"/>
    <n v="0"/>
    <n v="15850"/>
    <n v="10209.129999999999"/>
    <n v="5640.87"/>
    <b v="0"/>
    <n v="0"/>
    <s v="Card"/>
    <s v="Ananya"/>
    <s v="WhatsApp"/>
    <s v="Not Rated"/>
    <x v="11"/>
    <x v="3"/>
  </r>
  <r>
    <s v="ZAR-10105"/>
    <d v="2025-10-10T00:00:00"/>
    <s v="4 AM - 8 AM"/>
    <x v="262"/>
    <s v="Bhubaneshwar"/>
    <s v="Women"/>
    <s v="Blouse"/>
    <s v="Designer Collection"/>
    <s v="Reception"/>
    <s v="Store"/>
    <n v="2"/>
    <n v="1050"/>
    <s v="1-10%"/>
    <n v="10"/>
    <s v="Valid"/>
    <s v="Match"/>
    <n v="2100"/>
    <n v="210"/>
    <n v="1890"/>
    <n v="1307.94"/>
    <n v="582.05999999999995"/>
    <b v="0"/>
    <n v="0"/>
    <s v="COD"/>
    <s v="Sanjay"/>
    <s v="Google"/>
    <n v="5"/>
    <x v="3"/>
    <x v="3"/>
  </r>
  <r>
    <s v="ZAR-10423"/>
    <d v="2025-10-04T00:00:00"/>
    <s v="8 AM - 12 PM"/>
    <x v="507"/>
    <s v="Rourkela"/>
    <s v="Men"/>
    <s v="Shirt"/>
    <s v="Manyavar"/>
    <s v="Family Function"/>
    <s v="Store"/>
    <n v="1"/>
    <n v="3450"/>
    <s v="1-10%"/>
    <n v="10"/>
    <s v="Valid"/>
    <s v="Match"/>
    <n v="3450"/>
    <n v="345"/>
    <n v="3105"/>
    <n v="2122.58"/>
    <n v="982.42"/>
    <b v="0"/>
    <n v="0"/>
    <s v="UPI"/>
    <s v="Karan"/>
    <s v="WhatsApp"/>
    <n v="5"/>
    <x v="3"/>
    <x v="5"/>
  </r>
  <r>
    <s v="ZAR-10421"/>
    <d v="2025-12-08T00:00:00"/>
    <s v="8 AM - 12 PM"/>
    <x v="44"/>
    <s v="Berhampur"/>
    <s v="Men"/>
    <s v="Sherwani"/>
    <s v="Rangriti"/>
    <s v="Reception"/>
    <s v="Store"/>
    <n v="1"/>
    <n v="33250"/>
    <s v="11-20%"/>
    <n v="15"/>
    <s v="Valid"/>
    <s v="Match"/>
    <n v="33250"/>
    <n v="4987.5"/>
    <n v="28262.5"/>
    <n v="20967.75"/>
    <n v="7294.75"/>
    <b v="0"/>
    <n v="0"/>
    <s v="COD"/>
    <s v="Rohit"/>
    <s v="Referral"/>
    <n v="4"/>
    <x v="1"/>
    <x v="2"/>
  </r>
  <r>
    <s v="ZAR-10757"/>
    <d v="2025-01-17T00:00:00"/>
    <s v="8 PM - 12 AM"/>
    <x v="508"/>
    <s v="Rourkela"/>
    <s v="Kids"/>
    <s v="Kids Kurta"/>
    <s v="Local Artisan"/>
    <s v="Family Function"/>
    <s v="Website"/>
    <n v="2"/>
    <n v="1400"/>
    <s v="0%"/>
    <n v="0"/>
    <s v="Valid"/>
    <s v="Match"/>
    <n v="2800"/>
    <n v="0"/>
    <n v="2800"/>
    <n v="1460.24"/>
    <n v="1339.76"/>
    <b v="0"/>
    <n v="0"/>
    <s v="Cash"/>
    <s v="Karan"/>
    <s v="Repeat Customer"/>
    <n v="3"/>
    <x v="10"/>
    <x v="3"/>
  </r>
  <r>
    <s v="ZAR-10588"/>
    <d v="2025-02-12T00:00:00"/>
    <s v="8 AM - 12 PM"/>
    <x v="509"/>
    <s v="Balasore"/>
    <s v="Women"/>
    <s v="Bridal Lehenga"/>
    <s v="FabIndia"/>
    <s v="Wedding"/>
    <s v="Instagram"/>
    <n v="1"/>
    <n v="29750"/>
    <s v="1-10%"/>
    <n v="5"/>
    <s v="Valid"/>
    <s v="Match"/>
    <n v="29750"/>
    <n v="1487.5"/>
    <n v="28262.5"/>
    <n v="16335.11"/>
    <n v="11927.39"/>
    <b v="0"/>
    <n v="0"/>
    <s v="UPI"/>
    <s v="Unknown"/>
    <s v="Walk-in"/>
    <n v="3"/>
    <x v="4"/>
    <x v="1"/>
  </r>
  <r>
    <s v="ZAR-10787"/>
    <d v="2025-08-29T00:00:00"/>
    <s v="12 AM - 4 AM"/>
    <x v="85"/>
    <s v="Berhampur"/>
    <s v="Men"/>
    <s v="Kurta Pajama"/>
    <s v="Local Artisan"/>
    <s v="Wedding"/>
    <s v="Website"/>
    <n v="1"/>
    <n v="5150"/>
    <s v="1-10%"/>
    <n v="5"/>
    <s v="Valid"/>
    <s v="Match"/>
    <n v="5150"/>
    <n v="257.5"/>
    <n v="4892.5"/>
    <n v="2836.87"/>
    <n v="2055.63"/>
    <b v="0"/>
    <n v="0"/>
    <s v="Card"/>
    <s v="Sanjay"/>
    <s v="Walk-in"/>
    <n v="4"/>
    <x v="6"/>
    <x v="3"/>
  </r>
  <r>
    <s v="ZAR-10674"/>
    <d v="2025-01-08T00:00:00"/>
    <s v="4 AM - 8 AM"/>
    <x v="282"/>
    <s v="Bhubaneshwar"/>
    <s v="Women"/>
    <s v="Bridal Lehenga"/>
    <s v="Zaree Studio"/>
    <s v="Reception"/>
    <s v="Store"/>
    <n v="2"/>
    <n v="42300"/>
    <s v="11-20%"/>
    <n v="20"/>
    <s v="Valid"/>
    <s v="Match"/>
    <n v="84600"/>
    <n v="16920"/>
    <n v="67680"/>
    <n v="44844.05"/>
    <n v="22835.95"/>
    <b v="0"/>
    <n v="0"/>
    <s v="Cash"/>
    <s v="Priya"/>
    <s v="Repeat Customer"/>
    <n v="4"/>
    <x v="10"/>
    <x v="1"/>
  </r>
  <r>
    <s v="ZAR-10121"/>
    <d v="2025-10-28T00:00:00"/>
    <s v="4 AM - 8 AM"/>
    <x v="510"/>
    <s v="Bhubaneshwar"/>
    <s v="Men"/>
    <s v="Nehru Jacket"/>
    <s v="Rangriti"/>
    <s v="Casual"/>
    <s v="Instagram"/>
    <n v="2"/>
    <n v="7100"/>
    <s v="1-10%"/>
    <n v="5"/>
    <s v="Valid"/>
    <s v="Match"/>
    <n v="14200"/>
    <n v="710"/>
    <n v="13490"/>
    <n v="7725.22"/>
    <n v="5764.78"/>
    <b v="0"/>
    <n v="0"/>
    <s v="Net Banking"/>
    <s v="Priya"/>
    <s v="WhatsApp"/>
    <n v="3"/>
    <x v="3"/>
    <x v="6"/>
  </r>
  <r>
    <s v="ZAR-10055"/>
    <d v="2025-10-10T00:00:00"/>
    <s v="4 PM - 8 PM"/>
    <x v="511"/>
    <s v="Rourkela"/>
    <s v="Women"/>
    <s v="Blouse"/>
    <s v="Local Artisan"/>
    <s v="Reception"/>
    <s v="Phone"/>
    <n v="1"/>
    <n v="6200"/>
    <s v="11-20%"/>
    <n v="15"/>
    <s v="Valid"/>
    <s v="Match"/>
    <n v="6200"/>
    <n v="930"/>
    <n v="5270"/>
    <n v="3694.75"/>
    <n v="1575.25"/>
    <b v="0"/>
    <n v="0"/>
    <s v="Card"/>
    <s v="Meera"/>
    <s v="Google"/>
    <n v="3.5"/>
    <x v="3"/>
    <x v="3"/>
  </r>
  <r>
    <s v="ZAR-10153"/>
    <d v="2025-05-30T00:00:00"/>
    <s v="8 PM - 12 AM"/>
    <x v="389"/>
    <s v="Rourkela"/>
    <s v="Kids"/>
    <s v="Kids Kurta"/>
    <s v="Biba"/>
    <s v="Wedding"/>
    <s v="Phone"/>
    <n v="1"/>
    <n v="2050"/>
    <s v="11-20%"/>
    <n v="15"/>
    <s v="Valid"/>
    <s v="Match"/>
    <n v="2050"/>
    <n v="307.5"/>
    <n v="1742.5"/>
    <n v="1502.9"/>
    <n v="239.6"/>
    <b v="0"/>
    <n v="0"/>
    <s v="Net Banking"/>
    <s v="Priya"/>
    <s v="Instagram"/>
    <n v="4"/>
    <x v="8"/>
    <x v="3"/>
  </r>
  <r>
    <s v="ZAR-10405"/>
    <d v="2025-09-27T00:00:00"/>
    <s v="4 PM - 8 PM"/>
    <x v="2"/>
    <s v="Berhampur"/>
    <s v="Women"/>
    <s v="Kurti"/>
    <s v="Rangriti"/>
    <s v="Casual"/>
    <s v="WhatsApp"/>
    <n v="2"/>
    <n v="3850"/>
    <s v="11-20%"/>
    <n v="20"/>
    <s v="Valid"/>
    <s v="Match"/>
    <n v="7700"/>
    <n v="1540"/>
    <n v="6160"/>
    <n v="5043.1499999999996"/>
    <n v="1116.8499999999999"/>
    <b v="0"/>
    <n v="0"/>
    <s v="UPI"/>
    <s v="Meera"/>
    <s v="Walk-in"/>
    <n v="4"/>
    <x v="11"/>
    <x v="5"/>
  </r>
  <r>
    <s v="ZAR-10953"/>
    <d v="2025-09-24T00:00:00"/>
    <s v="4 PM - 8 PM"/>
    <x v="512"/>
    <s v="Bhubaneshwar"/>
    <s v="Men"/>
    <s v="Nehru Jacket"/>
    <s v="Zaree Studio"/>
    <s v="Wedding"/>
    <s v="Instagram"/>
    <n v="1"/>
    <n v="6700"/>
    <s v="21-30%"/>
    <n v="30"/>
    <s v="Valid"/>
    <s v="Match"/>
    <n v="6700"/>
    <n v="2010"/>
    <n v="4690"/>
    <n v="3625.47"/>
    <n v="1064.53"/>
    <b v="0"/>
    <n v="0"/>
    <s v="Cash"/>
    <s v="Rohit"/>
    <s v="Referral"/>
    <n v="3"/>
    <x v="11"/>
    <x v="1"/>
  </r>
  <r>
    <s v="ZAR-10209"/>
    <d v="2025-01-20T00:00:00"/>
    <s v="4 AM - 8 AM"/>
    <x v="513"/>
    <s v="Rourkela"/>
    <s v="Kids"/>
    <s v="Kids Gown"/>
    <s v="Local Artisan"/>
    <s v="Family Function"/>
    <s v="Store"/>
    <n v="2"/>
    <n v="2200"/>
    <s v="11-20%"/>
    <n v="20"/>
    <s v="Valid"/>
    <s v="Match"/>
    <n v="4400"/>
    <n v="880"/>
    <n v="3520"/>
    <n v="2877.48"/>
    <n v="642.52"/>
    <b v="0"/>
    <n v="0"/>
    <s v="Cash"/>
    <s v="Karan"/>
    <s v="Walk-in"/>
    <n v="3"/>
    <x v="10"/>
    <x v="2"/>
  </r>
  <r>
    <s v="ZAR-10660"/>
    <d v="2025-12-25T00:00:00"/>
    <s v="4 PM - 8 PM"/>
    <x v="163"/>
    <s v="Rourkela"/>
    <s v="Women"/>
    <s v="Saree"/>
    <s v="Designer Collection"/>
    <s v="Wedding Guest"/>
    <s v="Store"/>
    <n v="2"/>
    <n v="29000"/>
    <s v="1-10%"/>
    <n v="5"/>
    <s v="Valid"/>
    <s v="Match"/>
    <n v="58000"/>
    <n v="2900"/>
    <n v="55100"/>
    <n v="36686.93"/>
    <n v="18413.07"/>
    <b v="0"/>
    <n v="0"/>
    <s v="Cash"/>
    <s v="Karan"/>
    <s v="Referral"/>
    <n v="4.5"/>
    <x v="1"/>
    <x v="4"/>
  </r>
  <r>
    <s v="ZAR-10851"/>
    <d v="2025-07-12T00:00:00"/>
    <s v="8 AM - 12 PM"/>
    <x v="514"/>
    <s v="Puri"/>
    <s v="Women"/>
    <s v="Blouse"/>
    <s v="Manyavar"/>
    <s v="Casual"/>
    <s v="Store"/>
    <n v="1"/>
    <n v="3200"/>
    <s v="21-30%"/>
    <n v="25"/>
    <s v="Valid"/>
    <s v="Match"/>
    <n v="3200"/>
    <n v="800"/>
    <n v="2400"/>
    <n v="1854.28"/>
    <n v="545.72"/>
    <b v="0"/>
    <n v="0"/>
    <s v="Cash"/>
    <s v="Karan"/>
    <s v="Referral"/>
    <n v="4"/>
    <x v="0"/>
    <x v="5"/>
  </r>
  <r>
    <s v="ZAR-10769"/>
    <d v="2025-09-30T00:00:00"/>
    <s v="4 AM - 8 AM"/>
    <x v="515"/>
    <s v="Sambalpur"/>
    <s v="Men"/>
    <s v="Nehru Jacket"/>
    <s v="Manyavar"/>
    <s v="Family Function"/>
    <s v="Instagram"/>
    <n v="1"/>
    <n v="4700"/>
    <s v="21-30%"/>
    <n v="25"/>
    <s v="Valid"/>
    <s v="Match"/>
    <n v="4700"/>
    <n v="1175"/>
    <n v="3525"/>
    <n v="2753.82"/>
    <n v="771.18"/>
    <b v="0"/>
    <n v="0"/>
    <s v="Net Banking"/>
    <s v="Ananya"/>
    <s v="Referral"/>
    <n v="3"/>
    <x v="11"/>
    <x v="6"/>
  </r>
  <r>
    <s v="ZAR-10010"/>
    <d v="2025-09-29T00:00:00"/>
    <s v="12 AM - 4 AM"/>
    <x v="105"/>
    <s v="Sambalpur"/>
    <s v="Women"/>
    <s v="Kurti"/>
    <s v="Aurelia"/>
    <s v="Office"/>
    <s v="Store"/>
    <n v="2"/>
    <n v="1300"/>
    <s v="11-20%"/>
    <n v="20"/>
    <s v="Valid"/>
    <s v="Match"/>
    <n v="2600"/>
    <n v="520"/>
    <n v="2080"/>
    <n v="1897.4"/>
    <n v="182.6"/>
    <b v="0"/>
    <n v="0"/>
    <s v="UPI"/>
    <s v="Rohit"/>
    <s v="Repeat Customer"/>
    <n v="4"/>
    <x v="11"/>
    <x v="2"/>
  </r>
  <r>
    <s v="ZAR-10815"/>
    <d v="2025-06-28T00:00:00"/>
    <s v="8 PM - 12 AM"/>
    <x v="516"/>
    <s v="Balasore"/>
    <s v="Men"/>
    <s v="Dhoti Set"/>
    <s v="Biba"/>
    <s v="Casual"/>
    <s v="Phone"/>
    <n v="2"/>
    <n v="3450"/>
    <s v="11-20%"/>
    <n v="20"/>
    <s v="Valid"/>
    <s v="Match"/>
    <n v="6900"/>
    <n v="1380"/>
    <n v="5520"/>
    <n v="3933.84"/>
    <n v="1586.16"/>
    <b v="0"/>
    <n v="0"/>
    <s v="COD"/>
    <s v="Meera"/>
    <s v="Instagram"/>
    <n v="4"/>
    <x v="2"/>
    <x v="5"/>
  </r>
  <r>
    <s v="ZAR-10038"/>
    <d v="2025-08-04T00:00:00"/>
    <s v="12 PM - 4 PM"/>
    <x v="517"/>
    <s v="Rourkela"/>
    <s v="Women"/>
    <s v="Dupatta"/>
    <s v="Biba"/>
    <s v="Casual"/>
    <s v="Phone"/>
    <n v="1"/>
    <n v="3500"/>
    <s v="30%+"/>
    <n v="55"/>
    <s v="Valid"/>
    <s v="Mismatch"/>
    <n v="3500"/>
    <n v="875"/>
    <n v="2625"/>
    <n v="2082.75"/>
    <n v="542.25"/>
    <b v="0"/>
    <n v="0"/>
    <s v="COD"/>
    <s v="Meera"/>
    <s v="Repeat Customer"/>
    <n v="3"/>
    <x v="6"/>
    <x v="2"/>
  </r>
  <r>
    <s v="ZAR-10454"/>
    <d v="2025-04-18T00:00:00"/>
    <s v="12 PM - 4 PM"/>
    <x v="126"/>
    <s v="Cuttack"/>
    <s v="Women"/>
    <s v="Kurti"/>
    <s v="Aurelia"/>
    <s v="Reception"/>
    <s v="Instagram"/>
    <n v="1"/>
    <n v="1150"/>
    <s v="1-10%"/>
    <n v="5"/>
    <s v="Valid"/>
    <s v="Match"/>
    <n v="1150"/>
    <n v="57.5"/>
    <n v="1092.5"/>
    <n v="815.33"/>
    <n v="277.17"/>
    <b v="0"/>
    <n v="0"/>
    <s v="UPI"/>
    <s v="Priya"/>
    <s v="Google"/>
    <n v="4.5"/>
    <x v="7"/>
    <x v="3"/>
  </r>
  <r>
    <s v="ZAR-10653"/>
    <d v="2025-06-04T00:00:00"/>
    <s v="4 PM - 8 PM"/>
    <x v="518"/>
    <s v="Cuttack"/>
    <s v="Men"/>
    <s v="Shirt"/>
    <s v="Manyavar"/>
    <s v="Wedding"/>
    <s v="Instagram"/>
    <n v="1"/>
    <n v="2050"/>
    <s v="0%"/>
    <n v="0"/>
    <s v="Valid"/>
    <s v="Match"/>
    <n v="2050"/>
    <n v="0"/>
    <n v="2050"/>
    <n v="1468.76"/>
    <n v="581.24"/>
    <b v="0"/>
    <n v="0"/>
    <s v="Card"/>
    <s v="Priya"/>
    <s v="Walk-in"/>
    <n v="4.5"/>
    <x v="2"/>
    <x v="1"/>
  </r>
  <r>
    <s v="ZAR-10255"/>
    <d v="2025-12-10T00:00:00"/>
    <s v="8 PM - 12 AM"/>
    <x v="519"/>
    <s v="Bhubaneshwar"/>
    <s v="Women"/>
    <s v="Kurti"/>
    <s v="Designer Collection"/>
    <s v="Festive"/>
    <s v="Store"/>
    <n v="1"/>
    <n v="3450"/>
    <s v="1-10%"/>
    <n v="10"/>
    <s v="Valid"/>
    <s v="Match"/>
    <n v="3450"/>
    <n v="345"/>
    <n v="3105"/>
    <n v="2065.0700000000002"/>
    <n v="1039.93"/>
    <b v="0"/>
    <n v="0"/>
    <s v="Net Banking"/>
    <s v="Priya"/>
    <s v="Repeat Customer"/>
    <n v="4"/>
    <x v="1"/>
    <x v="1"/>
  </r>
  <r>
    <s v="ZAR-10305"/>
    <d v="2025-04-02T00:00:00"/>
    <s v="4 PM - 8 PM"/>
    <x v="481"/>
    <s v="Berhampur"/>
    <s v="Women"/>
    <s v="Kurti"/>
    <s v="FabIndia"/>
    <s v="Reception"/>
    <s v="Store"/>
    <n v="2"/>
    <n v="1450"/>
    <s v="11-20%"/>
    <n v="20"/>
    <s v="Valid"/>
    <s v="Match"/>
    <n v="2900"/>
    <n v="580"/>
    <n v="2320"/>
    <n v="1906.96"/>
    <n v="413.04"/>
    <b v="0"/>
    <n v="0"/>
    <s v="Net Banking"/>
    <s v="Karan"/>
    <s v="WhatsApp"/>
    <n v="4.5"/>
    <x v="7"/>
    <x v="1"/>
  </r>
  <r>
    <s v="ZAR-10753"/>
    <d v="2025-09-11T00:00:00"/>
    <s v="12 PM - 4 PM"/>
    <x v="520"/>
    <s v="Puri"/>
    <s v="Kids"/>
    <s v="Kids Saree"/>
    <s v="Biba"/>
    <s v="Casual"/>
    <s v="Phone"/>
    <n v="1"/>
    <n v="2200"/>
    <s v="1-10%"/>
    <n v="5"/>
    <s v="Valid"/>
    <s v="Match"/>
    <n v="2200"/>
    <n v="110"/>
    <n v="2090"/>
    <n v="1559.78"/>
    <n v="530.22"/>
    <b v="0"/>
    <n v="0"/>
    <s v="UPI"/>
    <s v="Neha"/>
    <s v="Referral"/>
    <n v="4"/>
    <x v="11"/>
    <x v="4"/>
  </r>
  <r>
    <s v="ZAR-10573"/>
    <d v="2025-03-21T00:00:00"/>
    <s v="8 AM - 12 PM"/>
    <x v="521"/>
    <s v="Bhubaneshwar"/>
    <s v="Men"/>
    <s v="Indo-Western"/>
    <s v="Zaree Studio"/>
    <s v="Wedding"/>
    <s v="WhatsApp"/>
    <n v="4"/>
    <n v="5850"/>
    <s v="21-30%"/>
    <n v="30"/>
    <s v="Valid"/>
    <s v="Match"/>
    <n v="23400"/>
    <n v="7020"/>
    <n v="16380"/>
    <n v="12276.89"/>
    <n v="4103.1099999999997"/>
    <b v="0"/>
    <n v="0"/>
    <s v="Net Banking"/>
    <s v="Sanjay"/>
    <s v="Referral"/>
    <n v="4"/>
    <x v="9"/>
    <x v="3"/>
  </r>
  <r>
    <s v="ZAR-10625"/>
    <d v="2025-09-07T00:00:00"/>
    <s v="8 PM - 12 AM"/>
    <x v="206"/>
    <s v="Cuttack"/>
    <s v="Kids"/>
    <s v="Kids Kurta"/>
    <s v="Designer Collection"/>
    <s v="Wedding"/>
    <s v="Instagram"/>
    <n v="1"/>
    <n v="1800"/>
    <s v="0%"/>
    <n v="0"/>
    <s v="Valid"/>
    <s v="Match"/>
    <n v="1800"/>
    <n v="0"/>
    <n v="1800"/>
    <n v="1099.8399999999999"/>
    <n v="700.16"/>
    <b v="0"/>
    <n v="0"/>
    <s v="Card"/>
    <s v="Rohit"/>
    <s v="Referral"/>
    <n v="5"/>
    <x v="11"/>
    <x v="0"/>
  </r>
  <r>
    <s v="ZAR-10716"/>
    <d v="2025-01-03T00:00:00"/>
    <s v="8 AM - 12 PM"/>
    <x v="18"/>
    <s v="Cuttack"/>
    <s v="Men"/>
    <s v="Sherwani"/>
    <s v="Rangriti"/>
    <s v="Festive"/>
    <s v="Store"/>
    <n v="1"/>
    <n v="19050"/>
    <s v="11-20%"/>
    <n v="15"/>
    <s v="Valid"/>
    <s v="Match"/>
    <n v="19050"/>
    <n v="2857.5"/>
    <n v="16192.5"/>
    <n v="10187"/>
    <n v="6005.5"/>
    <b v="0"/>
    <n v="0"/>
    <s v="UPI"/>
    <s v="Neha"/>
    <s v="Google"/>
    <n v="4"/>
    <x v="10"/>
    <x v="3"/>
  </r>
  <r>
    <s v="ZAR-10900"/>
    <d v="2025-02-07T00:00:00"/>
    <s v="4 PM - 8 PM"/>
    <x v="522"/>
    <s v="Cuttack"/>
    <s v="Kids"/>
    <s v="Kids Kurta"/>
    <s v="Biba"/>
    <s v="Wedding"/>
    <s v="Instagram"/>
    <n v="1"/>
    <n v="3100"/>
    <s v="11-20%"/>
    <n v="20"/>
    <s v="Valid"/>
    <s v="Match"/>
    <n v="3100"/>
    <n v="620"/>
    <n v="2480"/>
    <n v="2287.09"/>
    <n v="192.91"/>
    <b v="0"/>
    <n v="0"/>
    <s v="Net Banking"/>
    <s v="Ananya"/>
    <s v="Google"/>
    <n v="3.5"/>
    <x v="4"/>
    <x v="3"/>
  </r>
  <r>
    <s v="ZAR-10264"/>
    <d v="2025-03-10T00:00:00"/>
    <s v="8 PM - 12 AM"/>
    <x v="523"/>
    <s v="Bhubaneshwar"/>
    <s v="Women"/>
    <s v="Dupatta"/>
    <s v="Manyavar"/>
    <s v="Festive"/>
    <s v="Website"/>
    <n v="1"/>
    <n v="600"/>
    <s v="11-20%"/>
    <n v="20"/>
    <s v="Valid"/>
    <s v="Match"/>
    <n v="600"/>
    <n v="120"/>
    <n v="480"/>
    <n v="390.19"/>
    <n v="89.81"/>
    <b v="0"/>
    <n v="0"/>
    <s v="COD"/>
    <s v="Sanjay"/>
    <s v="Repeat Customer"/>
    <n v="4"/>
    <x v="9"/>
    <x v="2"/>
  </r>
  <r>
    <s v="ZAR-10612"/>
    <d v="2025-12-09T00:00:00"/>
    <s v="8 AM - 12 PM"/>
    <x v="524"/>
    <s v="Puri"/>
    <s v="Women"/>
    <s v="Salwar Suit"/>
    <s v="Biba"/>
    <s v="Casual"/>
    <s v="Store"/>
    <n v="1"/>
    <n v="8100"/>
    <s v="11-20%"/>
    <n v="15"/>
    <s v="Valid"/>
    <s v="Match"/>
    <n v="8100"/>
    <n v="1215"/>
    <n v="6885"/>
    <n v="5147.1499999999996"/>
    <n v="1737.85"/>
    <b v="0"/>
    <n v="0"/>
    <s v="Card"/>
    <s v="Rohit"/>
    <s v="Referral"/>
    <n v="4"/>
    <x v="1"/>
    <x v="6"/>
  </r>
  <r>
    <s v="ZAR-10299"/>
    <d v="2025-07-13T00:00:00"/>
    <s v="8 AM - 12 PM"/>
    <x v="292"/>
    <s v="Cuttack"/>
    <s v="Men"/>
    <s v="Nehru Jacket"/>
    <s v="Biba"/>
    <s v="Family Function"/>
    <s v="Store"/>
    <n v="1"/>
    <n v="6400"/>
    <s v="1-10%"/>
    <n v="5"/>
    <s v="Valid"/>
    <s v="Match"/>
    <n v="6400"/>
    <n v="320"/>
    <n v="6080"/>
    <n v="3358.06"/>
    <n v="2721.94"/>
    <b v="0"/>
    <n v="0"/>
    <s v="COD"/>
    <s v="Karan"/>
    <s v="Google"/>
    <n v="4.5"/>
    <x v="0"/>
    <x v="0"/>
  </r>
  <r>
    <s v="ZAR-10416"/>
    <d v="2025-01-17T00:00:00"/>
    <s v="12 PM - 4 PM"/>
    <x v="525"/>
    <s v="Bhubaneshwar"/>
    <s v="Women"/>
    <s v="Gown"/>
    <s v="Designer Collection"/>
    <s v="Casual"/>
    <s v="Store"/>
    <n v="2"/>
    <n v="12600"/>
    <s v="0%"/>
    <n v="0"/>
    <s v="Valid"/>
    <s v="Match"/>
    <n v="25200"/>
    <n v="0"/>
    <n v="25200"/>
    <n v="18385.11"/>
    <n v="6814.89"/>
    <b v="0"/>
    <n v="0"/>
    <s v="UPI"/>
    <s v="Ananya"/>
    <s v="Walk-in"/>
    <n v="4"/>
    <x v="10"/>
    <x v="3"/>
  </r>
  <r>
    <s v="ZAR-10152"/>
    <d v="2025-07-14T00:00:00"/>
    <s v="8 AM - 12 PM"/>
    <x v="526"/>
    <s v="Sambalpur"/>
    <s v="Women"/>
    <s v="Saree"/>
    <s v="Manyavar"/>
    <s v="Reception"/>
    <s v="Store"/>
    <n v="4"/>
    <n v="11900"/>
    <s v="1-10%"/>
    <n v="10"/>
    <s v="Valid"/>
    <s v="Match"/>
    <n v="47600"/>
    <n v="4760"/>
    <n v="42840"/>
    <n v="33565.379999999997"/>
    <n v="9274.6200000000008"/>
    <b v="0"/>
    <n v="0"/>
    <s v="Cash"/>
    <s v="Priya"/>
    <s v="Repeat Customer"/>
    <n v="4.5"/>
    <x v="0"/>
    <x v="2"/>
  </r>
  <r>
    <s v="ZAR-10795"/>
    <d v="2025-05-15T00:00:00"/>
    <s v="12 AM - 4 AM"/>
    <x v="31"/>
    <s v="Sambalpur"/>
    <s v="Men"/>
    <s v="Indo-Western"/>
    <s v="Aurelia"/>
    <s v="Casual"/>
    <s v="Store"/>
    <n v="2"/>
    <n v="13300"/>
    <s v="1-10%"/>
    <n v="10"/>
    <s v="Valid"/>
    <s v="Match"/>
    <n v="26600"/>
    <n v="2660"/>
    <n v="23940"/>
    <n v="18298.650000000001"/>
    <n v="5641.35"/>
    <b v="0"/>
    <n v="0"/>
    <s v="Net Banking"/>
    <s v="Meera"/>
    <s v="Instagram"/>
    <n v="3"/>
    <x v="8"/>
    <x v="4"/>
  </r>
  <r>
    <s v="ZAR-10642"/>
    <d v="2025-05-20T00:00:00"/>
    <s v="8 AM - 12 PM"/>
    <x v="527"/>
    <s v="Bhubaneshwar"/>
    <s v="Women"/>
    <s v="Saree"/>
    <s v="Biba"/>
    <s v="Casual"/>
    <s v="Instagram"/>
    <n v="1"/>
    <n v="15000"/>
    <s v="1-10%"/>
    <n v="10"/>
    <s v="Valid"/>
    <s v="Match"/>
    <n v="15000"/>
    <n v="1500"/>
    <n v="13500"/>
    <n v="7975.42"/>
    <n v="5524.58"/>
    <b v="0"/>
    <n v="0"/>
    <s v="Card"/>
    <s v="Sanjay"/>
    <s v="Walk-in"/>
    <n v="3.5"/>
    <x v="8"/>
    <x v="6"/>
  </r>
  <r>
    <s v="ZAR-10897"/>
    <d v="2025-04-11T00:00:00"/>
    <s v="12 PM - 4 PM"/>
    <x v="315"/>
    <s v="Berhampur"/>
    <s v="Kids"/>
    <s v="Kids Kurta"/>
    <s v="Manyavar"/>
    <s v="Festive"/>
    <s v="Store"/>
    <n v="1"/>
    <n v="1050"/>
    <s v="11-20%"/>
    <n v="20"/>
    <s v="Valid"/>
    <s v="Match"/>
    <n v="1050"/>
    <n v="210"/>
    <n v="840"/>
    <n v="589.15"/>
    <n v="250.85"/>
    <b v="0"/>
    <n v="0"/>
    <s v="COD"/>
    <s v="Sanjay"/>
    <s v="Instagram"/>
    <n v="5"/>
    <x v="7"/>
    <x v="3"/>
  </r>
  <r>
    <s v="ZAR-10552"/>
    <d v="2025-10-31T00:00:00"/>
    <s v="12 PM - 4 PM"/>
    <x v="528"/>
    <s v="Balasore"/>
    <s v="Women"/>
    <s v="Blouse"/>
    <s v="Local Artisan"/>
    <s v="Wedding Guest"/>
    <s v="WhatsApp"/>
    <n v="1"/>
    <n v="2000"/>
    <s v="11-20%"/>
    <n v="20"/>
    <s v="Valid"/>
    <s v="Match"/>
    <n v="2000"/>
    <n v="400"/>
    <n v="1600"/>
    <n v="1326.04"/>
    <n v="273.95999999999998"/>
    <b v="0"/>
    <n v="0"/>
    <s v="Net Banking"/>
    <s v="Priya"/>
    <s v="WhatsApp"/>
    <n v="3.5"/>
    <x v="3"/>
    <x v="3"/>
  </r>
  <r>
    <s v="ZAR-10798"/>
    <d v="2025-11-09T00:00:00"/>
    <s v="12 PM - 4 PM"/>
    <x v="529"/>
    <s v="Cuttack"/>
    <s v="Women"/>
    <s v="Kurti"/>
    <s v="Local Artisan"/>
    <s v="Casual"/>
    <s v="Store"/>
    <n v="2"/>
    <n v="3900"/>
    <s v="1-10%"/>
    <n v="5"/>
    <s v="Valid"/>
    <s v="Match"/>
    <n v="7800"/>
    <n v="390"/>
    <n v="7410"/>
    <n v="4984.05"/>
    <n v="2425.9499999999998"/>
    <b v="0"/>
    <n v="0"/>
    <s v="COD"/>
    <s v="Sanjay"/>
    <s v="Google"/>
    <n v="4"/>
    <x v="5"/>
    <x v="0"/>
  </r>
  <r>
    <s v="ZAR-10490"/>
    <d v="2025-01-03T00:00:00"/>
    <s v="12 PM - 4 PM"/>
    <x v="184"/>
    <s v="Sambalpur"/>
    <s v="Women"/>
    <s v="Bridal Lehenga"/>
    <s v="Aurelia"/>
    <s v="Wedding"/>
    <s v="Store"/>
    <n v="2"/>
    <n v="112550"/>
    <s v="11-20%"/>
    <n v="20"/>
    <s v="Valid"/>
    <s v="Match"/>
    <n v="225100"/>
    <n v="45020"/>
    <n v="180080"/>
    <n v="139280.51999999999"/>
    <n v="40799.480000000003"/>
    <b v="0"/>
    <n v="0"/>
    <s v="Net Banking"/>
    <s v="Ananya"/>
    <s v="Walk-in"/>
    <n v="5"/>
    <x v="10"/>
    <x v="3"/>
  </r>
  <r>
    <s v="ZAR-10712"/>
    <d v="2025-05-18T00:00:00"/>
    <s v="8 PM - 12 AM"/>
    <x v="530"/>
    <s v="Puri"/>
    <s v="Men"/>
    <s v="Sherwani"/>
    <s v="Aurelia"/>
    <s v="Festive"/>
    <s v="Instagram"/>
    <n v="2"/>
    <n v="19200"/>
    <s v="11-20%"/>
    <n v="15"/>
    <s v="Valid"/>
    <s v="Match"/>
    <n v="38400"/>
    <n v="5760"/>
    <n v="32640"/>
    <n v="27329.82"/>
    <n v="5310.18"/>
    <b v="0"/>
    <n v="0"/>
    <s v="Cash"/>
    <s v="Sanjay"/>
    <s v="WhatsApp"/>
    <n v="4"/>
    <x v="8"/>
    <x v="0"/>
  </r>
  <r>
    <s v="ZAR-10149"/>
    <d v="2025-01-03T00:00:00"/>
    <s v="8 AM - 12 PM"/>
    <x v="531"/>
    <s v="Sambalpur"/>
    <s v="Men"/>
    <s v="Shirt"/>
    <s v="Local Artisan"/>
    <s v="Festive"/>
    <s v="WhatsApp"/>
    <n v="1"/>
    <n v="1300"/>
    <s v="1-10%"/>
    <n v="10"/>
    <s v="Valid"/>
    <s v="Match"/>
    <n v="1300"/>
    <n v="130"/>
    <n v="1170"/>
    <n v="706.47"/>
    <n v="463.53"/>
    <b v="0"/>
    <n v="0"/>
    <s v="Net Banking"/>
    <s v="Neha"/>
    <s v="Repeat Customer"/>
    <n v="3.5"/>
    <x v="10"/>
    <x v="3"/>
  </r>
  <r>
    <s v="ZAR-10148"/>
    <d v="2025-12-05T00:00:00"/>
    <s v="12 PM - 4 PM"/>
    <x v="63"/>
    <s v="Puri"/>
    <s v="Women"/>
    <s v="Gown"/>
    <s v="Rangriti"/>
    <s v="Reception"/>
    <s v="Instagram"/>
    <n v="1"/>
    <n v="9400"/>
    <s v="1-10%"/>
    <n v="5"/>
    <s v="Valid"/>
    <s v="Match"/>
    <n v="9400"/>
    <n v="470"/>
    <n v="8930"/>
    <n v="6293.61"/>
    <n v="2636.39"/>
    <b v="0"/>
    <n v="0"/>
    <s v="Cash"/>
    <s v="Rohit"/>
    <s v="Google"/>
    <n v="3"/>
    <x v="1"/>
    <x v="3"/>
  </r>
  <r>
    <s v="ZAR-10849"/>
    <d v="2025-10-30T00:00:00"/>
    <s v="12 PM - 4 PM"/>
    <x v="269"/>
    <s v="Sambalpur"/>
    <s v="Men"/>
    <s v="Sherwani"/>
    <s v="Zaree Studio"/>
    <s v="Engagement"/>
    <s v="Website"/>
    <s v="5"/>
    <n v="20500"/>
    <s v="11-20%"/>
    <n v="15"/>
    <s v="Valid"/>
    <s v="Match"/>
    <n v="102500"/>
    <n v="15375"/>
    <n v="87125"/>
    <n v="53659.8"/>
    <n v="33465.199999999997"/>
    <b v="0"/>
    <n v="0"/>
    <s v="Net Banking"/>
    <s v="Priya"/>
    <s v="Walk-in"/>
    <n v="4.5"/>
    <x v="3"/>
    <x v="4"/>
  </r>
  <r>
    <s v="ZAR-10939"/>
    <d v="2025-08-18T00:00:00"/>
    <s v="4 AM - 8 AM"/>
    <x v="108"/>
    <s v="Balasore"/>
    <s v="Women"/>
    <s v="Saree"/>
    <s v="Aurelia"/>
    <s v="Reception"/>
    <s v="Store"/>
    <n v="1"/>
    <n v="3000"/>
    <s v="0%"/>
    <n v="0"/>
    <s v="Valid"/>
    <s v="Match"/>
    <n v="3000"/>
    <n v="0"/>
    <n v="3000"/>
    <n v="1657.47"/>
    <n v="1342.53"/>
    <b v="0"/>
    <n v="0"/>
    <s v="Net Banking"/>
    <s v="Sanjay"/>
    <s v="Google"/>
    <n v="4"/>
    <x v="6"/>
    <x v="2"/>
  </r>
  <r>
    <s v="ZAR-10786"/>
    <d v="2025-04-28T00:00:00"/>
    <s v="8 PM - 12 AM"/>
    <x v="532"/>
    <s v="Balasore"/>
    <s v="Women"/>
    <s v="Salwar Suit"/>
    <s v="Biba"/>
    <s v="Casual"/>
    <s v="Instagram"/>
    <n v="1"/>
    <n v="7800"/>
    <s v="21-30%"/>
    <n v="30"/>
    <s v="Valid"/>
    <s v="Match"/>
    <n v="7800"/>
    <n v="2340"/>
    <n v="5460"/>
    <n v="5174.84"/>
    <n v="285.16000000000003"/>
    <b v="0"/>
    <n v="0"/>
    <s v="Cash"/>
    <s v="Ananya"/>
    <s v="Walk-in"/>
    <n v="3"/>
    <x v="7"/>
    <x v="2"/>
  </r>
  <r>
    <s v="ZAR-10661"/>
    <d v="2025-08-23T00:00:00"/>
    <s v="12 AM - 4 AM"/>
    <x v="533"/>
    <s v="Rourkela"/>
    <s v="Women"/>
    <s v="Lehenga"/>
    <s v="FabIndia"/>
    <s v="Festive"/>
    <s v="Store"/>
    <n v="2"/>
    <n v="24650"/>
    <s v="1-10%"/>
    <n v="5"/>
    <s v="Valid"/>
    <s v="Match"/>
    <n v="49300"/>
    <n v="2465"/>
    <n v="46835"/>
    <n v="25939.37"/>
    <n v="20895.63"/>
    <b v="0"/>
    <n v="0"/>
    <s v="Card"/>
    <s v="Sanjay"/>
    <s v="WhatsApp"/>
    <n v="3"/>
    <x v="6"/>
    <x v="5"/>
  </r>
  <r>
    <s v="ZAR-10350"/>
    <d v="2025-03-13T00:00:00"/>
    <s v="4 PM - 8 PM"/>
    <x v="534"/>
    <s v="Puri"/>
    <s v="Men"/>
    <s v="Indo-Western"/>
    <s v="Manyavar"/>
    <s v="Casual"/>
    <s v="Instagram"/>
    <n v="2"/>
    <n v="8600"/>
    <s v="0%"/>
    <n v="0"/>
    <s v="Valid"/>
    <s v="Match"/>
    <n v="17200"/>
    <n v="0"/>
    <n v="17200"/>
    <n v="9286.58"/>
    <n v="7913.42"/>
    <b v="0"/>
    <n v="0"/>
    <s v="Net Banking"/>
    <s v="Neha"/>
    <s v="Referral"/>
    <n v="5"/>
    <x v="9"/>
    <x v="4"/>
  </r>
  <r>
    <s v="ZAR-10465"/>
    <d v="2025-07-25T00:00:00"/>
    <s v="4 AM - 8 AM"/>
    <x v="535"/>
    <s v="Bhubaneshwar"/>
    <s v="Men"/>
    <s v="Shirt"/>
    <s v="Zaree Studio"/>
    <s v="Casual"/>
    <s v="Store"/>
    <n v="4"/>
    <n v="3400"/>
    <s v="0%"/>
    <n v="0"/>
    <s v="Valid"/>
    <s v="Match"/>
    <n v="13600"/>
    <n v="0"/>
    <n v="13600"/>
    <n v="8084.2"/>
    <n v="5515.8"/>
    <b v="0"/>
    <n v="0"/>
    <s v="COD"/>
    <s v="Priya"/>
    <s v="Google"/>
    <n v="4.5"/>
    <x v="0"/>
    <x v="3"/>
  </r>
  <r>
    <s v="ZAR-10327"/>
    <d v="2025-09-14T00:00:00"/>
    <s v="12 AM - 4 AM"/>
    <x v="536"/>
    <s v="Puri"/>
    <s v="Women"/>
    <s v="Bridal Lehenga"/>
    <s v="Local Artisan"/>
    <s v="Reception"/>
    <s v="Instagram"/>
    <n v="2"/>
    <n v="91800"/>
    <s v="11-20%"/>
    <n v="15"/>
    <s v="Valid"/>
    <s v="Match"/>
    <n v="183600"/>
    <n v="27540"/>
    <n v="156060"/>
    <n v="99125.09"/>
    <n v="56934.91"/>
    <b v="0"/>
    <n v="0"/>
    <s v="Cash"/>
    <s v="Sanjay"/>
    <s v="Instagram"/>
    <n v="4"/>
    <x v="11"/>
    <x v="0"/>
  </r>
  <r>
    <s v="ZAR-10188"/>
    <d v="2025-06-17T00:00:00"/>
    <s v="4 AM - 8 AM"/>
    <x v="266"/>
    <s v="Balasore"/>
    <s v="Women"/>
    <s v="Salwar Suit"/>
    <s v="Biba"/>
    <s v="Puja"/>
    <s v="Store"/>
    <n v="2"/>
    <n v="7750"/>
    <s v="0%"/>
    <n v="0"/>
    <s v="Valid"/>
    <s v="Match"/>
    <n v="15500"/>
    <n v="0"/>
    <n v="15500"/>
    <n v="8793.2199999999993"/>
    <n v="6706.78"/>
    <b v="0"/>
    <n v="0"/>
    <s v="Cash"/>
    <s v="Meera"/>
    <s v="Walk-in"/>
    <n v="3"/>
    <x v="2"/>
    <x v="6"/>
  </r>
  <r>
    <s v="ZAR-10125"/>
    <d v="2025-11-09T00:00:00"/>
    <s v="8 PM - 12 AM"/>
    <x v="537"/>
    <s v="Rourkela"/>
    <s v="Women"/>
    <s v="Gown"/>
    <s v="Manyavar"/>
    <s v="Wedding Guest"/>
    <s v="Website"/>
    <n v="2"/>
    <n v="12400"/>
    <s v="21-30%"/>
    <n v="30"/>
    <s v="Valid"/>
    <s v="Match"/>
    <n v="24800"/>
    <n v="7440"/>
    <n v="17360"/>
    <n v="13949.89"/>
    <n v="3410.11"/>
    <b v="0"/>
    <n v="0"/>
    <s v="Card"/>
    <s v="Sanjay"/>
    <s v="Referral"/>
    <n v="4"/>
    <x v="5"/>
    <x v="0"/>
  </r>
  <r>
    <s v="ZAR-10861"/>
    <d v="2025-06-05T00:00:00"/>
    <s v="4 PM - 8 PM"/>
    <x v="255"/>
    <s v="Cuttack"/>
    <s v="Women"/>
    <s v="Saree"/>
    <s v="Local Artisan"/>
    <s v="Casual"/>
    <s v="Store"/>
    <n v="1"/>
    <n v="10800"/>
    <s v="11-20%"/>
    <n v="15"/>
    <s v="Valid"/>
    <s v="Match"/>
    <n v="10800"/>
    <n v="1620"/>
    <n v="9180"/>
    <n v="6547.94"/>
    <n v="2632.06"/>
    <b v="0"/>
    <n v="0"/>
    <s v="Card"/>
    <s v="Sanjay"/>
    <s v="Not Recorded"/>
    <n v="4"/>
    <x v="2"/>
    <x v="4"/>
  </r>
  <r>
    <s v="ZAR-10610"/>
    <d v="2025-09-01T00:00:00"/>
    <s v="12 AM - 4 AM"/>
    <x v="538"/>
    <s v="Rourkela"/>
    <s v="Women"/>
    <s v="Gown"/>
    <s v="Aurelia"/>
    <s v="Casual"/>
    <s v="Store"/>
    <n v="2"/>
    <n v="6800"/>
    <s v="1-10%"/>
    <n v="5"/>
    <s v="Valid"/>
    <s v="Match"/>
    <n v="13600"/>
    <n v="680"/>
    <n v="12920"/>
    <n v="9173.25"/>
    <n v="3746.75"/>
    <b v="0"/>
    <n v="0"/>
    <s v="Cash"/>
    <s v="Neha"/>
    <s v="Instagram"/>
    <n v="3.5"/>
    <x v="11"/>
    <x v="2"/>
  </r>
  <r>
    <s v="ZAR-10145"/>
    <d v="2025-09-28T00:00:00"/>
    <s v="12 AM - 4 AM"/>
    <x v="539"/>
    <s v="Cuttack"/>
    <s v="Men"/>
    <s v="Shirt"/>
    <s v="Biba"/>
    <s v="Family Function"/>
    <s v="Website"/>
    <n v="2"/>
    <n v="3300"/>
    <s v="21-30%"/>
    <n v="30"/>
    <s v="Valid"/>
    <s v="Match"/>
    <n v="6600"/>
    <n v="1980"/>
    <n v="4620"/>
    <n v="4846.0200000000004"/>
    <n v="-226.02"/>
    <b v="1"/>
    <n v="226.02"/>
    <s v="COD"/>
    <s v="Neha"/>
    <s v="WhatsApp"/>
    <n v="2.5"/>
    <x v="11"/>
    <x v="0"/>
  </r>
  <r>
    <s v="ZAR-10968"/>
    <d v="2025-04-10T00:00:00"/>
    <s v="4 AM - 8 AM"/>
    <x v="540"/>
    <s v="Balasore"/>
    <s v="Women"/>
    <s v="Bridal Lehenga"/>
    <s v="Biba"/>
    <s v="Engagement"/>
    <s v="Store"/>
    <n v="1"/>
    <n v="53050"/>
    <s v="1-10%"/>
    <n v="10"/>
    <s v="Valid"/>
    <s v="Match"/>
    <n v="53050"/>
    <n v="5305"/>
    <n v="47745"/>
    <n v="27603.05"/>
    <n v="20141.95"/>
    <b v="0"/>
    <n v="0"/>
    <s v="COD"/>
    <s v="Rohit"/>
    <s v="WhatsApp"/>
    <n v="5"/>
    <x v="7"/>
    <x v="4"/>
  </r>
  <r>
    <s v="ZAR-10199"/>
    <d v="2025-12-10T00:00:00"/>
    <s v="8 PM - 12 AM"/>
    <x v="541"/>
    <s v="Sambalpur"/>
    <s v="Women"/>
    <s v="Gown"/>
    <s v="Rangriti"/>
    <s v="Festive"/>
    <s v="Store"/>
    <n v="1"/>
    <n v="14800"/>
    <s v="0%"/>
    <n v="0"/>
    <s v="Valid"/>
    <s v="Match"/>
    <n v="14800"/>
    <n v="0"/>
    <n v="14800"/>
    <n v="10371.33"/>
    <n v="4428.67"/>
    <b v="0"/>
    <n v="0"/>
    <s v="Cash"/>
    <s v="Priya"/>
    <s v="Instagram"/>
    <n v="5"/>
    <x v="1"/>
    <x v="1"/>
  </r>
  <r>
    <s v="ZAR-10611"/>
    <d v="2025-08-31T00:00:00"/>
    <s v="4 AM - 8 AM"/>
    <x v="542"/>
    <s v="Cuttack"/>
    <s v="Kids"/>
    <s v="Kids Gown"/>
    <s v="Rangriti"/>
    <s v="Family Function"/>
    <s v="Website"/>
    <n v="2"/>
    <n v="1450"/>
    <s v="21-30%"/>
    <n v="30"/>
    <s v="Valid"/>
    <s v="Match"/>
    <n v="2900"/>
    <n v="870"/>
    <n v="2030"/>
    <n v="1782.41"/>
    <n v="247.59"/>
    <b v="0"/>
    <n v="0"/>
    <s v="Card"/>
    <s v="Ananya"/>
    <s v="Referral"/>
    <n v="3"/>
    <x v="6"/>
    <x v="0"/>
  </r>
  <r>
    <s v="ZAR-10281"/>
    <d v="2025-06-25T00:00:00"/>
    <s v="8 AM - 12 PM"/>
    <x v="332"/>
    <s v="Rourkela"/>
    <s v="Kids"/>
    <s v="Kids Kurta"/>
    <s v="Local Artisan"/>
    <s v="Wedding"/>
    <s v="Store"/>
    <n v="1"/>
    <n v="2250"/>
    <s v="11-20%"/>
    <n v="15"/>
    <s v="Valid"/>
    <s v="Match"/>
    <n v="2250"/>
    <n v="337.5"/>
    <n v="1912.5"/>
    <n v="1644.47"/>
    <n v="268.02999999999997"/>
    <b v="0"/>
    <n v="0"/>
    <s v="Cash"/>
    <s v="Sanjay"/>
    <s v="Walk-in"/>
    <n v="4"/>
    <x v="2"/>
    <x v="1"/>
  </r>
  <r>
    <s v="ZAR-10295"/>
    <d v="2025-01-07T00:00:00"/>
    <s v="12 AM - 4 AM"/>
    <x v="543"/>
    <s v="Balasore"/>
    <s v="Women"/>
    <s v="Blouse"/>
    <s v="Zaree Studio"/>
    <s v="Casual"/>
    <s v="Store"/>
    <n v="3"/>
    <n v="2000"/>
    <s v="1-10%"/>
    <n v="10"/>
    <s v="Valid"/>
    <s v="Match"/>
    <n v="6000"/>
    <n v="600"/>
    <n v="5400"/>
    <n v="4198.7700000000004"/>
    <n v="1201.23"/>
    <b v="0"/>
    <n v="0"/>
    <s v="Card"/>
    <s v="Sanjay"/>
    <s v="WhatsApp"/>
    <n v="3.5"/>
    <x v="10"/>
    <x v="6"/>
  </r>
  <r>
    <s v="ZAR-10402"/>
    <d v="2025-07-11T00:00:00"/>
    <s v="4 PM - 8 PM"/>
    <x v="544"/>
    <s v="Berhampur"/>
    <s v="Women"/>
    <s v="Salwar Suit"/>
    <s v="Manyavar"/>
    <s v="Puja"/>
    <s v="Store"/>
    <n v="1"/>
    <n v="6300"/>
    <s v="21-30%"/>
    <n v="25"/>
    <s v="Valid"/>
    <s v="Match"/>
    <n v="6300"/>
    <n v="1575"/>
    <n v="4725"/>
    <n v="4410.1400000000003"/>
    <n v="314.86"/>
    <b v="0"/>
    <n v="0"/>
    <s v="Cash"/>
    <s v="Rohit"/>
    <s v="Instagram"/>
    <n v="4"/>
    <x v="0"/>
    <x v="3"/>
  </r>
  <r>
    <s v="ZAR-10124"/>
    <d v="2025-03-10T00:00:00"/>
    <s v="4 PM - 8 PM"/>
    <x v="365"/>
    <s v="Sambalpur"/>
    <s v="Kids"/>
    <s v="Kids Saree"/>
    <s v="Designer Collection"/>
    <s v="Casual"/>
    <s v="Store"/>
    <n v="5"/>
    <n v="1650"/>
    <s v="11-20%"/>
    <n v="20"/>
    <s v="Valid"/>
    <s v="Match"/>
    <n v="8250"/>
    <n v="1650"/>
    <n v="6600"/>
    <n v="5241.6400000000003"/>
    <n v="1358.36"/>
    <b v="0"/>
    <n v="0"/>
    <s v="Cash"/>
    <s v="Unknown"/>
    <s v="Walk-in"/>
    <n v="5"/>
    <x v="9"/>
    <x v="2"/>
  </r>
  <r>
    <s v="ZAR-10185"/>
    <d v="2025-01-31T00:00:00"/>
    <s v="4 AM - 8 AM"/>
    <x v="158"/>
    <s v="Sambalpur"/>
    <s v="Women"/>
    <s v="Salwar Suit"/>
    <s v="FabIndia"/>
    <s v="Puja"/>
    <s v="Store"/>
    <n v="1"/>
    <n v="2550"/>
    <s v="1-10%"/>
    <n v="5"/>
    <s v="Valid"/>
    <s v="Match"/>
    <n v="2550"/>
    <n v="127.5"/>
    <n v="2422.5"/>
    <n v="1561.52"/>
    <n v="860.98"/>
    <b v="0"/>
    <n v="0"/>
    <s v="Net Banking"/>
    <s v="Karan"/>
    <s v="Instagram"/>
    <n v="4"/>
    <x v="10"/>
    <x v="3"/>
  </r>
  <r>
    <s v="ZAR-10204"/>
    <d v="2025-10-06T00:00:00"/>
    <s v="12 PM - 4 PM"/>
    <x v="239"/>
    <s v="Sambalpur "/>
    <s v="Women"/>
    <s v="Dupatta"/>
    <s v="Biba"/>
    <s v="Casual"/>
    <s v="Website"/>
    <n v="3"/>
    <n v="2600"/>
    <s v="1-10%"/>
    <n v="10"/>
    <s v="Valid"/>
    <s v="Match"/>
    <n v="7800"/>
    <n v="780"/>
    <n v="7020"/>
    <n v="4212.3900000000003"/>
    <n v="2807.61"/>
    <b v="0"/>
    <n v="0"/>
    <s v="Net Banking"/>
    <s v="Sanjay"/>
    <s v="Referral"/>
    <n v="3"/>
    <x v="3"/>
    <x v="2"/>
  </r>
  <r>
    <s v="ZAR-10440"/>
    <d v="2025-11-14T00:00:00"/>
    <s v="12 PM - 4 PM"/>
    <x v="67"/>
    <s v="Rourkela"/>
    <s v="Kids"/>
    <s v="Kids Sherwani"/>
    <s v="Manyavar"/>
    <s v="Wedding"/>
    <s v="Instagram"/>
    <n v="2"/>
    <n v="4800"/>
    <s v="0%"/>
    <n v="0"/>
    <s v="Valid"/>
    <s v="Match"/>
    <n v="9600"/>
    <n v="0"/>
    <n v="9600"/>
    <n v="5527.72"/>
    <n v="4072.28"/>
    <b v="0"/>
    <n v="0"/>
    <s v="Cash"/>
    <s v="Rohit"/>
    <s v="Repeat Customer"/>
    <n v="4.5"/>
    <x v="5"/>
    <x v="3"/>
  </r>
  <r>
    <s v="ZAR-10248"/>
    <d v="2025-06-14T00:00:00"/>
    <s v="12 PM - 4 PM"/>
    <x v="545"/>
    <s v="Puri"/>
    <s v="Kids"/>
    <s v="Kids Sherwani"/>
    <s v="FabIndia"/>
    <s v="Engagement"/>
    <s v="Phone"/>
    <n v="1"/>
    <n v="5650"/>
    <s v="0%"/>
    <n v="0"/>
    <s v="Valid"/>
    <s v="Match"/>
    <n v="5650"/>
    <n v="0"/>
    <n v="5650"/>
    <n v="3786.41"/>
    <n v="1863.59"/>
    <b v="0"/>
    <n v="0"/>
    <s v="COD"/>
    <s v="Meera"/>
    <s v="Repeat Customer"/>
    <n v="3"/>
    <x v="2"/>
    <x v="5"/>
  </r>
  <r>
    <s v="ZAR-10417"/>
    <d v="2025-07-19T00:00:00"/>
    <s v="12 PM - 4 PM"/>
    <x v="546"/>
    <s v="Bhubaneshwar"/>
    <s v="Women"/>
    <s v="Salwar Suit"/>
    <s v="Designer Collection"/>
    <s v="Puja"/>
    <s v="Instagram"/>
    <n v="1"/>
    <n v="8150"/>
    <s v="11-20%"/>
    <n v="15"/>
    <s v="Valid"/>
    <s v="Match"/>
    <n v="8150"/>
    <n v="1222.5"/>
    <n v="6927.5"/>
    <n v="4479.1400000000003"/>
    <n v="2448.36"/>
    <b v="0"/>
    <n v="0"/>
    <s v="Net Banking"/>
    <s v="Neha"/>
    <s v="Walk-in"/>
    <n v="5"/>
    <x v="0"/>
    <x v="5"/>
  </r>
  <r>
    <s v="ZAR-10783"/>
    <d v="2025-06-05T00:00:00"/>
    <s v="4 AM - 8 AM"/>
    <x v="535"/>
    <s v="Sambalpur"/>
    <s v="Kids"/>
    <s v="Kids Saree"/>
    <s v="Rangriti"/>
    <s v="Wedding"/>
    <s v="Store"/>
    <n v="3"/>
    <n v="3150"/>
    <s v="21-30%"/>
    <n v="25"/>
    <s v="Valid"/>
    <s v="Match"/>
    <n v="9450"/>
    <n v="2362.5"/>
    <n v="7087.5"/>
    <n v="5348.11"/>
    <n v="1739.39"/>
    <b v="0"/>
    <n v="0"/>
    <s v="Net Banking"/>
    <s v="Ananya"/>
    <s v="Google"/>
    <n v="4"/>
    <x v="2"/>
    <x v="4"/>
  </r>
  <r>
    <s v="ZAR-10772"/>
    <d v="2025-06-05T00:00:00"/>
    <s v="8 AM - 12 PM"/>
    <x v="547"/>
    <s v="Sambalpur"/>
    <s v="Men"/>
    <s v="Indo-Western"/>
    <s v="Biba"/>
    <s v="Wedding"/>
    <s v="Store"/>
    <n v="1"/>
    <n v="14900"/>
    <s v="1-10%"/>
    <n v="10"/>
    <s v="Valid"/>
    <s v="Match"/>
    <n v="14900"/>
    <n v="1490"/>
    <n v="13410"/>
    <n v="9295.16"/>
    <n v="4114.84"/>
    <b v="0"/>
    <n v="0"/>
    <s v="Net Banking"/>
    <s v="Neha"/>
    <s v="Google"/>
    <n v="4"/>
    <x v="2"/>
    <x v="4"/>
  </r>
  <r>
    <s v="ZAR-10914"/>
    <d v="2025-02-09T00:00:00"/>
    <s v="4 PM - 8 PM"/>
    <x v="548"/>
    <s v="Balasore"/>
    <s v="Women"/>
    <s v="Dupatta"/>
    <s v="Aurelia"/>
    <s v="Casual"/>
    <s v="Instagram"/>
    <n v="2"/>
    <n v="4250"/>
    <s v="1-10%"/>
    <n v="10"/>
    <s v="Valid"/>
    <s v="Match"/>
    <n v="8500"/>
    <n v="850"/>
    <n v="7650"/>
    <n v="4690.24"/>
    <n v="2959.76"/>
    <b v="0"/>
    <n v="0"/>
    <s v="Cash"/>
    <s v="Priya"/>
    <s v="Google"/>
    <n v="3.5"/>
    <x v="4"/>
    <x v="0"/>
  </r>
  <r>
    <s v="ZAR-10775"/>
    <d v="2025-10-28T00:00:00"/>
    <s v="12 PM - 4 PM"/>
    <x v="107"/>
    <s v="Bhubaneshwar"/>
    <s v="Women"/>
    <s v="Bridal Lehenga"/>
    <s v="Biba"/>
    <s v="Engagement"/>
    <s v="Store"/>
    <n v="1"/>
    <n v="101600"/>
    <s v="1-10%"/>
    <n v="10"/>
    <s v="Valid"/>
    <s v="Match"/>
    <n v="101600"/>
    <n v="10160"/>
    <n v="91440"/>
    <n v="74891.839999999997"/>
    <n v="16548.16"/>
    <b v="0"/>
    <n v="0"/>
    <s v="UPI"/>
    <s v="Sanjay"/>
    <s v="Walk-in"/>
    <n v="4"/>
    <x v="3"/>
    <x v="6"/>
  </r>
  <r>
    <s v="ZAR-10131"/>
    <d v="2025-07-11T00:00:00"/>
    <s v="12 PM - 4 PM"/>
    <x v="35"/>
    <s v="Puri"/>
    <s v="Women"/>
    <s v="Saree"/>
    <s v="Manyavar"/>
    <s v="Wedding Guest"/>
    <s v="Website"/>
    <n v="4"/>
    <n v="27250"/>
    <s v="21-30%"/>
    <n v="25"/>
    <s v="Valid"/>
    <s v="Match"/>
    <n v="109000"/>
    <n v="27250"/>
    <n v="81750"/>
    <n v="79791.509999999995"/>
    <n v="1958.49"/>
    <b v="0"/>
    <n v="0"/>
    <s v="Cash"/>
    <s v="Ananya"/>
    <s v="Walk-in"/>
    <n v="5"/>
    <x v="0"/>
    <x v="3"/>
  </r>
  <r>
    <s v="ZAR-10639"/>
    <d v="2025-07-17T00:00:00"/>
    <s v="4 AM - 8 AM"/>
    <x v="549"/>
    <s v="Bhubaneshwar"/>
    <s v="Women"/>
    <s v="Blouse"/>
    <s v="FabIndia"/>
    <s v="Puja"/>
    <s v="Store"/>
    <n v="1"/>
    <n v="1250"/>
    <s v="1-10%"/>
    <n v="5"/>
    <s v="Valid"/>
    <s v="Match"/>
    <n v="1250"/>
    <n v="62.5"/>
    <n v="1187.5"/>
    <n v="778.74"/>
    <n v="408.76"/>
    <b v="0"/>
    <n v="0"/>
    <s v="Cash"/>
    <s v="Karan"/>
    <s v="Google"/>
    <n v="4.5"/>
    <x v="0"/>
    <x v="4"/>
  </r>
  <r>
    <s v="ZAR-10404"/>
    <d v="2025-02-19T00:00:00"/>
    <s v="4 PM - 8 PM"/>
    <x v="550"/>
    <s v="Sambalpur"/>
    <s v="Men"/>
    <s v="Shirt"/>
    <s v="Local Artisan"/>
    <s v="Wedding"/>
    <s v="Website"/>
    <n v="1"/>
    <n v="3350"/>
    <s v="21-30%"/>
    <n v="25"/>
    <s v="Valid"/>
    <s v="Match"/>
    <n v="3350"/>
    <n v="837.5"/>
    <n v="2512.5"/>
    <n v="2249.31"/>
    <n v="263.19"/>
    <b v="0"/>
    <n v="0"/>
    <s v="Cash"/>
    <s v="Rohit"/>
    <s v="Instagram"/>
    <n v="4"/>
    <x v="4"/>
    <x v="1"/>
  </r>
  <r>
    <s v="ZAR-10791"/>
    <d v="2025-03-06T00:00:00"/>
    <s v="4 AM - 8 AM"/>
    <x v="40"/>
    <s v="Cuttack"/>
    <s v="Men"/>
    <s v="Sherwani"/>
    <s v="Biba"/>
    <s v="Wedding"/>
    <s v="Website"/>
    <n v="2"/>
    <n v="25150"/>
    <s v="21-30%"/>
    <n v="30"/>
    <s v="Valid"/>
    <s v="Match"/>
    <n v="50300"/>
    <n v="15090"/>
    <n v="35210"/>
    <n v="32477.34"/>
    <n v="2732.66"/>
    <b v="0"/>
    <n v="0"/>
    <s v="COD"/>
    <s v="Ananya"/>
    <s v="Walk-in"/>
    <n v="4"/>
    <x v="9"/>
    <x v="4"/>
  </r>
  <r>
    <s v="ZAR-10930"/>
    <d v="2025-06-25T00:00:00"/>
    <s v="4 PM - 8 PM"/>
    <x v="491"/>
    <s v="Sambalpur"/>
    <s v="Kids"/>
    <s v="Kids Kurta"/>
    <s v="FabIndia"/>
    <s v="Wedding"/>
    <s v="Website"/>
    <n v="1"/>
    <n v="3300"/>
    <s v="0%"/>
    <n v="0"/>
    <s v="Valid"/>
    <s v="Match"/>
    <n v="3300"/>
    <n v="0"/>
    <n v="3300"/>
    <n v="2202"/>
    <n v="1098"/>
    <b v="0"/>
    <n v="0"/>
    <s v="Cash"/>
    <s v="Neha"/>
    <s v="Walk-in"/>
    <n v="4.5"/>
    <x v="2"/>
    <x v="1"/>
  </r>
  <r>
    <s v="ZAR-10737"/>
    <d v="2025-06-17T00:00:00"/>
    <s v="8 AM - 12 PM"/>
    <x v="551"/>
    <s v="Balasore"/>
    <s v="Men"/>
    <s v="Sherwani"/>
    <s v="Rangriti"/>
    <s v="Festive"/>
    <s v="WhatsApp"/>
    <n v="1"/>
    <n v="21750"/>
    <s v="1-10%"/>
    <n v="5"/>
    <s v="Valid"/>
    <s v="Match"/>
    <n v="21750"/>
    <n v="1087.5"/>
    <n v="20662.5"/>
    <n v="13223.44"/>
    <n v="7439.06"/>
    <b v="0"/>
    <n v="0"/>
    <s v="Cash"/>
    <s v="Sanjay"/>
    <s v="WhatsApp"/>
    <n v="4.5"/>
    <x v="2"/>
    <x v="6"/>
  </r>
  <r>
    <s v="ZAR-10921"/>
    <d v="2025-11-07T00:00:00"/>
    <s v="12 AM - 4 AM"/>
    <x v="552"/>
    <s v="Rourkela"/>
    <s v="Women"/>
    <s v="Blouse"/>
    <s v="Local Artisan"/>
    <s v="Puja"/>
    <s v="Store"/>
    <n v="1"/>
    <n v="1950"/>
    <s v="1-10%"/>
    <n v="5"/>
    <s v="Valid"/>
    <s v="Match"/>
    <n v="1950"/>
    <n v="97.5"/>
    <n v="1852.5"/>
    <n v="1083.54"/>
    <n v="768.96"/>
    <b v="0"/>
    <n v="0"/>
    <s v="COD"/>
    <s v="Neha"/>
    <s v="WhatsApp"/>
    <n v="4"/>
    <x v="5"/>
    <x v="3"/>
  </r>
  <r>
    <s v="ZAR-10221"/>
    <d v="2025-06-10T00:00:00"/>
    <s v="8 PM - 12 AM"/>
    <x v="71"/>
    <s v="Bhubaneshwar"/>
    <s v="Women"/>
    <s v="Saree"/>
    <s v="Designer Collection"/>
    <s v="Festive"/>
    <s v="Store"/>
    <n v="1"/>
    <n v="27650"/>
    <s v="21-30%"/>
    <n v="25"/>
    <s v="Valid"/>
    <s v="Match"/>
    <n v="27650"/>
    <n v="6912.5"/>
    <n v="20737.5"/>
    <n v="20379.73"/>
    <n v="357.77"/>
    <b v="0"/>
    <n v="0"/>
    <s v="UPI"/>
    <s v="Rohit"/>
    <s v="Repeat Customer"/>
    <n v="4.5"/>
    <x v="2"/>
    <x v="6"/>
  </r>
  <r>
    <s v="ZAR-10643"/>
    <d v="2025-02-26T00:00:00"/>
    <s v="4 AM - 8 AM"/>
    <x v="553"/>
    <s v="Bhubaneshwar"/>
    <s v="Women"/>
    <s v="Blouse"/>
    <s v="Rangriti"/>
    <s v="Festive"/>
    <s v="Website"/>
    <n v="1"/>
    <n v="4050"/>
    <s v="0%"/>
    <n v="0"/>
    <s v="Valid"/>
    <s v="Match"/>
    <n v="4050"/>
    <n v="0"/>
    <n v="4050"/>
    <n v="2681.89"/>
    <n v="1368.11"/>
    <b v="0"/>
    <n v="0"/>
    <s v="Cash"/>
    <s v="Rohit"/>
    <s v="Repeat Customer"/>
    <n v="3"/>
    <x v="4"/>
    <x v="1"/>
  </r>
  <r>
    <s v="ZAR-10923"/>
    <d v="2025-06-03T00:00:00"/>
    <s v="8 AM - 12 PM"/>
    <x v="554"/>
    <s v="Sambalpur"/>
    <s v="Women"/>
    <s v="Gown"/>
    <s v="Manyavar"/>
    <s v="Festive"/>
    <s v="Store"/>
    <n v="1"/>
    <n v="13000"/>
    <s v="11-20%"/>
    <n v="15"/>
    <s v="Valid"/>
    <s v="Match"/>
    <n v="13000"/>
    <n v="1950"/>
    <n v="11050"/>
    <n v="7854.16"/>
    <n v="3195.84"/>
    <b v="0"/>
    <n v="0"/>
    <s v="Net Banking"/>
    <s v="Meera"/>
    <s v="Repeat Customer"/>
    <n v="4"/>
    <x v="2"/>
    <x v="6"/>
  </r>
  <r>
    <s v="ZAR-10759"/>
    <d v="2025-12-03T00:00:00"/>
    <s v="8 AM - 12 PM"/>
    <x v="555"/>
    <s v="Cuttack"/>
    <s v="Men"/>
    <s v="Dhoti Set"/>
    <s v="Rangriti"/>
    <s v="Festive"/>
    <s v="WhatsApp"/>
    <n v="1"/>
    <n v="5700"/>
    <s v="1-10%"/>
    <n v="5"/>
    <s v="Valid"/>
    <s v="Match"/>
    <n v="5700"/>
    <n v="285"/>
    <n v="5415"/>
    <n v="3423.55"/>
    <n v="1991.45"/>
    <b v="0"/>
    <n v="0"/>
    <s v="Net Banking"/>
    <s v="Karan"/>
    <s v="Google"/>
    <n v="4"/>
    <x v="1"/>
    <x v="1"/>
  </r>
  <r>
    <s v="ZAR-10885"/>
    <d v="2025-06-25T00:00:00"/>
    <s v="4 PM - 8 PM"/>
    <x v="556"/>
    <s v="Puri"/>
    <s v="Men"/>
    <s v="Indo-Western"/>
    <s v="Manyavar"/>
    <s v="Wedding"/>
    <s v="Phone"/>
    <n v="3"/>
    <n v="14550"/>
    <s v="1-10%"/>
    <n v="5"/>
    <s v="Valid"/>
    <s v="Match"/>
    <n v="43650"/>
    <n v="2182.5"/>
    <n v="41467.5"/>
    <n v="31242.18"/>
    <n v="10225.32"/>
    <b v="0"/>
    <n v="0"/>
    <s v="COD"/>
    <s v="Rohit"/>
    <s v="Not Recorded"/>
    <n v="4.5"/>
    <x v="2"/>
    <x v="1"/>
  </r>
  <r>
    <s v="ZAR-10927"/>
    <d v="2025-07-08T00:00:00"/>
    <s v="12 AM - 4 AM"/>
    <x v="557"/>
    <s v="Berhampur"/>
    <s v="Women"/>
    <s v="Bridal Lehenga"/>
    <s v="Zaree Studio"/>
    <s v="Festive"/>
    <s v="Instagram"/>
    <n v="1"/>
    <n v="65950"/>
    <s v="11-20%"/>
    <n v="20"/>
    <s v="Valid"/>
    <s v="Match"/>
    <n v="65950"/>
    <n v="13190"/>
    <n v="52760"/>
    <n v="39031.839999999997"/>
    <n v="13728.16"/>
    <b v="0"/>
    <n v="0"/>
    <s v="COD"/>
    <s v="Karan"/>
    <s v="WhatsApp"/>
    <n v="4"/>
    <x v="0"/>
    <x v="6"/>
  </r>
  <r>
    <s v=" ZAR-10626 "/>
    <d v="2025-06-25T00:00:00"/>
    <s v="8 AM - 12 PM"/>
    <x v="558"/>
    <s v="Berhampur"/>
    <s v="Women"/>
    <s v="Saree"/>
    <s v="Aurelia"/>
    <s v="Puja"/>
    <s v="Insta"/>
    <n v="2"/>
    <n v="23700"/>
    <s v="21-30%"/>
    <n v="30"/>
    <s v="Valid"/>
    <s v="Match"/>
    <n v="47400"/>
    <n v="14220"/>
    <n v="33180"/>
    <n v="24975.97"/>
    <n v="8204.0300000000007"/>
    <b v="0"/>
    <n v="0"/>
    <s v="COD"/>
    <s v="Ananya"/>
    <s v="Repeat Customer"/>
    <n v="2.5"/>
    <x v="2"/>
    <x v="1"/>
  </r>
  <r>
    <s v="ZAR-10846"/>
    <d v="2025-11-13T00:00:00"/>
    <s v="12 PM - 4 PM"/>
    <x v="269"/>
    <s v="Berhampur"/>
    <s v="Women"/>
    <s v="Saree"/>
    <s v="Aurelia"/>
    <s v="Office"/>
    <s v="Instagram"/>
    <n v="1"/>
    <n v="31700"/>
    <s v="11-20%"/>
    <n v="15"/>
    <s v="Valid"/>
    <s v="Match"/>
    <n v="31700"/>
    <n v="4755"/>
    <n v="26945"/>
    <n v="17310"/>
    <n v="9635"/>
    <b v="0"/>
    <n v="0"/>
    <s v="UPI"/>
    <s v="Karan"/>
    <s v="Walk-in"/>
    <n v="5"/>
    <x v="5"/>
    <x v="4"/>
  </r>
  <r>
    <s v="ZAR-10767"/>
    <d v="2025-11-21T00:00:00"/>
    <s v="12 AM - 4 AM"/>
    <x v="559"/>
    <s v="Rourkela"/>
    <s v="Women"/>
    <s v="Blouse"/>
    <s v="Aurelia"/>
    <s v="Festive"/>
    <s v="Store"/>
    <n v="1"/>
    <n v="3750"/>
    <s v="21-30%"/>
    <n v="30"/>
    <s v="Valid"/>
    <s v="Match"/>
    <n v="3750"/>
    <n v="1125"/>
    <n v="2625"/>
    <n v="1992.14"/>
    <n v="632.86"/>
    <b v="0"/>
    <n v="0"/>
    <s v="COD"/>
    <s v="Sanjay"/>
    <s v="Referral"/>
    <n v="3"/>
    <x v="5"/>
    <x v="3"/>
  </r>
  <r>
    <s v="ZAR-10388"/>
    <d v="2025-04-26T00:00:00"/>
    <s v="8 AM - 12 PM"/>
    <x v="327"/>
    <s v="Sambalpur"/>
    <s v="Men"/>
    <s v="Shirt"/>
    <s v="Designer Collection"/>
    <s v="Festive"/>
    <s v="Store"/>
    <n v="2"/>
    <n v="3800"/>
    <s v="21-30%"/>
    <n v="25"/>
    <s v="Valid"/>
    <s v="Match"/>
    <n v="7600"/>
    <n v="1900"/>
    <n v="5700"/>
    <n v="4302.78"/>
    <n v="1397.22"/>
    <b v="0"/>
    <n v="0"/>
    <s v="Net Banking"/>
    <s v="Neha"/>
    <s v="Repeat Customer"/>
    <n v="3"/>
    <x v="7"/>
    <x v="5"/>
  </r>
  <r>
    <s v="ZAR-10982"/>
    <d v="2025-11-19T00:00:00"/>
    <s v="4 PM - 8 PM"/>
    <x v="560"/>
    <s v="Balasore"/>
    <s v="Women"/>
    <s v="Lehenga"/>
    <s v="Biba"/>
    <s v="Festive"/>
    <s v="Store"/>
    <n v="3"/>
    <s v="23700.0"/>
    <s v="21-30%"/>
    <n v="25"/>
    <s v="Valid"/>
    <s v="Match"/>
    <n v="71100"/>
    <n v="17775"/>
    <n v="53325"/>
    <n v="42783.62"/>
    <n v="10541.38"/>
    <b v="0"/>
    <n v="0"/>
    <s v="Cash"/>
    <s v="Rohit"/>
    <s v="Instagram"/>
    <n v="3.5"/>
    <x v="5"/>
    <x v="1"/>
  </r>
  <r>
    <s v="ZAR-10511"/>
    <d v="2025-06-05T00:00:00"/>
    <s v="12 AM - 4 AM"/>
    <x v="561"/>
    <s v="Bhubaneshwar"/>
    <s v="Women"/>
    <s v="Blouse"/>
    <s v="Designer Collection"/>
    <s v="Reception"/>
    <s v="Instagram"/>
    <n v="2"/>
    <n v="1550"/>
    <s v="11-20%"/>
    <n v="15"/>
    <s v="Valid"/>
    <s v="Match"/>
    <n v="3100"/>
    <n v="465"/>
    <n v="2635"/>
    <n v="2047.8"/>
    <n v="587.20000000000005"/>
    <b v="0"/>
    <n v="0"/>
    <s v="UPI"/>
    <s v="Rohit"/>
    <s v="Walk-in"/>
    <n v="4.5"/>
    <x v="2"/>
    <x v="4"/>
  </r>
  <r>
    <s v="ZAR-10269"/>
    <d v="2025-10-23T00:00:00"/>
    <s v="4 PM - 8 PM"/>
    <x v="424"/>
    <s v="Berhampur"/>
    <s v="Kids"/>
    <s v="Kids Gown"/>
    <s v="Manyavar"/>
    <s v="Wedding"/>
    <s v="Store"/>
    <n v="1"/>
    <n v="2200"/>
    <s v="21-30%"/>
    <n v="25"/>
    <s v="Valid"/>
    <s v="Match"/>
    <n v="2200"/>
    <n v="550"/>
    <n v="1650"/>
    <n v="1526.08"/>
    <n v="123.92"/>
    <b v="0"/>
    <n v="0"/>
    <s v="Net Banking"/>
    <s v="Karan"/>
    <s v="Repeat Customer"/>
    <n v="4"/>
    <x v="3"/>
    <x v="4"/>
  </r>
  <r>
    <s v="ZAR-10827"/>
    <d v="2025-05-28T00:00:00"/>
    <s v="8 PM - 12 AM"/>
    <x v="562"/>
    <s v="Bhubaneshwar"/>
    <s v="Women"/>
    <s v="Bridal Lehenga"/>
    <s v="Manyavar"/>
    <s v="Wedding"/>
    <s v="Store"/>
    <n v="1"/>
    <n v="70550"/>
    <s v="1-10%"/>
    <n v="10"/>
    <s v="Valid"/>
    <s v="Match"/>
    <n v="70550"/>
    <n v="7055"/>
    <n v="63495"/>
    <n v="44409.48"/>
    <n v="19085.52"/>
    <b v="0"/>
    <n v="0"/>
    <s v="Cash"/>
    <s v="Karan"/>
    <s v="Instagram"/>
    <n v="4"/>
    <x v="8"/>
    <x v="1"/>
  </r>
  <r>
    <s v="ZAR-10443"/>
    <d v="2025-09-11T00:00:00"/>
    <s v="12 AM - 4 AM"/>
    <x v="563"/>
    <s v="Sambalpur"/>
    <s v="Women"/>
    <s v="Blouse"/>
    <s v="Rangriti"/>
    <s v="Casual"/>
    <s v="Phone"/>
    <n v="2"/>
    <n v="2500"/>
    <s v="11-20%"/>
    <n v="15"/>
    <s v="Valid"/>
    <s v="Match"/>
    <n v="5000"/>
    <n v="750"/>
    <n v="4250"/>
    <n v="2727.63"/>
    <n v="1522.37"/>
    <b v="0"/>
    <n v="0"/>
    <s v="Card"/>
    <s v="Ananya"/>
    <s v="Referral"/>
    <n v="4"/>
    <x v="11"/>
    <x v="4"/>
  </r>
  <r>
    <s v="ZAR-10498"/>
    <d v="2025-09-11T00:00:00"/>
    <s v="4 AM - 8 AM"/>
    <x v="218"/>
    <s v="Bhubaneshwar"/>
    <s v="Women"/>
    <s v="Dupatta"/>
    <s v="FabIndia"/>
    <s v="Casual"/>
    <s v="Instagram"/>
    <n v="1"/>
    <n v="2000"/>
    <s v="21-30%"/>
    <n v="30"/>
    <s v="Valid"/>
    <s v="Match"/>
    <n v="2000"/>
    <n v="600"/>
    <n v="1400"/>
    <n v="1440.64"/>
    <n v="-40.64"/>
    <b v="0"/>
    <n v="0"/>
    <s v="Net Banking"/>
    <s v="Rohit"/>
    <s v="Google"/>
    <n v="4"/>
    <x v="11"/>
    <x v="4"/>
  </r>
  <r>
    <s v="ZAR-10114"/>
    <d v="2025-07-07T00:00:00"/>
    <s v="4 AM - 8 AM"/>
    <x v="564"/>
    <s v="Berhampur"/>
    <s v="Women"/>
    <s v="Lehenga"/>
    <s v="Manyavar"/>
    <s v="Wedding"/>
    <s v="Store"/>
    <n v="2"/>
    <n v="21950"/>
    <s v="1-10%"/>
    <n v="10"/>
    <s v="Valid"/>
    <s v="Match"/>
    <n v="43900"/>
    <n v="4390"/>
    <n v="39510"/>
    <n v="28215.54"/>
    <n v="11294.46"/>
    <b v="0"/>
    <n v="0"/>
    <s v="Cash"/>
    <s v="Meera"/>
    <s v="Google"/>
    <n v="3"/>
    <x v="0"/>
    <x v="2"/>
  </r>
  <r>
    <s v="ZAR-10693"/>
    <d v="2025-09-18T00:00:00"/>
    <s v="12 AM - 4 AM"/>
    <x v="47"/>
    <s v="Bhubaneshwar"/>
    <s v="Women"/>
    <s v="Blouse"/>
    <s v="Designer Collection"/>
    <s v="Reception"/>
    <s v="Instagram"/>
    <n v="2"/>
    <n v="5150"/>
    <s v="21-30%"/>
    <n v="25"/>
    <s v="Valid"/>
    <s v="Match"/>
    <n v="10300"/>
    <n v="2575"/>
    <n v="7725"/>
    <n v="7091.66"/>
    <n v="633.34"/>
    <b v="0"/>
    <n v="0"/>
    <s v="Card"/>
    <s v="Neha"/>
    <s v="WhatsApp"/>
    <n v="4"/>
    <x v="11"/>
    <x v="4"/>
  </r>
  <r>
    <s v="ZAR-10234"/>
    <d v="2025-10-21T00:00:00"/>
    <s v="12 PM - 4 PM"/>
    <x v="295"/>
    <s v="Puri"/>
    <s v="Women"/>
    <s v="Dupatta"/>
    <s v="Zaree Studio"/>
    <s v="Casual"/>
    <s v="Store"/>
    <n v="1"/>
    <n v="2300"/>
    <s v="11-20%"/>
    <n v="15"/>
    <s v="Valid"/>
    <s v="Match"/>
    <n v="2300"/>
    <n v="345"/>
    <n v="1955"/>
    <n v="1420.76"/>
    <n v="534.24"/>
    <b v="0"/>
    <n v="0"/>
    <s v="UPI"/>
    <s v="Sanjay"/>
    <s v="Google"/>
    <n v="5"/>
    <x v="3"/>
    <x v="6"/>
  </r>
  <r>
    <s v="ZAR-10958"/>
    <d v="2025-05-07T00:00:00"/>
    <s v="12 AM - 4 AM"/>
    <x v="204"/>
    <s v="Cuttack"/>
    <s v="Men"/>
    <s v="Indo-Western"/>
    <s v="Zaree Studio"/>
    <s v="Festive"/>
    <s v="Store"/>
    <n v="1"/>
    <n v="11600"/>
    <s v="11-20%"/>
    <n v="20"/>
    <s v="Valid"/>
    <s v="Match"/>
    <n v="11600"/>
    <n v="2320"/>
    <n v="9280"/>
    <n v="8430.01"/>
    <n v="849.99"/>
    <b v="0"/>
    <n v="0"/>
    <s v="Net Banking"/>
    <s v="Rohit"/>
    <s v="WhatsApp"/>
    <n v="5"/>
    <x v="8"/>
    <x v="1"/>
  </r>
  <r>
    <s v="ZAR-10609"/>
    <d v="2025-08-27T00:00:00"/>
    <s v="12 PM - 4 PM"/>
    <x v="565"/>
    <s v="Berhampur"/>
    <s v="Women"/>
    <s v="Lehenga"/>
    <s v="Local Artisan"/>
    <s v="Wedding"/>
    <s v="Website"/>
    <n v="3"/>
    <n v="15500"/>
    <s v="21-30%"/>
    <n v="25"/>
    <s v="Valid"/>
    <s v="Match"/>
    <n v="46500"/>
    <n v="11625"/>
    <n v="34875"/>
    <n v="25136.54"/>
    <n v="9738.4599999999991"/>
    <b v="0"/>
    <n v="0"/>
    <s v="Net Banking"/>
    <s v="Rohit"/>
    <s v="Google"/>
    <n v="3.5"/>
    <x v="6"/>
    <x v="1"/>
  </r>
  <r>
    <s v="ZAR-10673"/>
    <d v="2025-03-01T00:00:00"/>
    <s v="12 PM - 4 PM"/>
    <x v="441"/>
    <s v="Berhampur"/>
    <s v="Women"/>
    <s v="Dupatta"/>
    <s v="Local Artisan"/>
    <s v="Festive"/>
    <s v="Phone"/>
    <n v="1"/>
    <n v="3650"/>
    <s v="11-20%"/>
    <n v="15"/>
    <s v="Valid"/>
    <s v="Match"/>
    <n v="3650"/>
    <n v="547.5"/>
    <n v="3102.5"/>
    <n v="2339.2800000000002"/>
    <n v="763.22"/>
    <b v="0"/>
    <n v="0"/>
    <s v="UPI"/>
    <s v="Rohit"/>
    <s v="Walk-in"/>
    <n v="4"/>
    <x v="9"/>
    <x v="5"/>
  </r>
  <r>
    <s v="ZAR-10375"/>
    <d v="2025-10-25T00:00:00"/>
    <s v="12 AM - 4 AM"/>
    <x v="566"/>
    <s v="Bhubaneshwar"/>
    <s v="Women"/>
    <s v="Dupatta"/>
    <s v="Zaree Studio"/>
    <s v="Casual"/>
    <s v="WhatsApp"/>
    <n v="1"/>
    <n v="1250"/>
    <s v="1-10%"/>
    <n v="5"/>
    <s v="Valid"/>
    <s v="Match"/>
    <n v="1250"/>
    <n v="62.5"/>
    <n v="1187.5"/>
    <n v="770.63"/>
    <n v="416.87"/>
    <b v="0"/>
    <n v="0"/>
    <s v="Net Banking"/>
    <s v="Ananya"/>
    <s v="Instagram"/>
    <n v="3.5"/>
    <x v="3"/>
    <x v="5"/>
  </r>
  <r>
    <s v="ZAR-10991"/>
    <d v="2025-01-12T00:00:00"/>
    <s v="4 AM - 8 AM"/>
    <x v="414"/>
    <s v="Bhubaneshwar"/>
    <s v="Women"/>
    <s v="Salwar Suit"/>
    <s v="FabIndia"/>
    <s v="Puja"/>
    <s v="Store"/>
    <n v="1"/>
    <s v="8000.0"/>
    <s v="21-30%"/>
    <n v="30"/>
    <s v="Valid"/>
    <s v="Match"/>
    <n v="8000"/>
    <n v="2400"/>
    <n v="5600"/>
    <n v="5093.42"/>
    <n v="506.58"/>
    <b v="0"/>
    <n v="0"/>
    <s v="Card"/>
    <s v="Sanjay"/>
    <s v="Repeat Customer"/>
    <n v="3.5"/>
    <x v="10"/>
    <x v="0"/>
  </r>
  <r>
    <s v="ZAR-10850"/>
    <d v="2025-05-20T00:00:00"/>
    <s v="8 PM - 12 AM"/>
    <x v="354"/>
    <s v="Balasore"/>
    <s v="Women"/>
    <s v="Kurti"/>
    <s v="Zaree Studio"/>
    <s v="Festive"/>
    <s v="Store"/>
    <n v="1"/>
    <n v="3350"/>
    <s v="11-20%"/>
    <n v="15"/>
    <s v="Valid"/>
    <s v="Match"/>
    <n v="3350"/>
    <n v="502.5"/>
    <n v="2847.5"/>
    <n v="1990.75"/>
    <n v="856.75"/>
    <b v="0"/>
    <n v="0"/>
    <s v="COD"/>
    <s v="Ananya"/>
    <s v="Referral"/>
    <n v="4.5"/>
    <x v="8"/>
    <x v="6"/>
  </r>
  <r>
    <s v="ZAR-10235"/>
    <d v="2025-12-02T00:00:00"/>
    <s v="8 PM - 12 AM"/>
    <x v="354"/>
    <s v="Sambalpur"/>
    <s v="Women"/>
    <s v="Bridal Lehenga"/>
    <s v="FabIndia"/>
    <s v="Reception"/>
    <s v="Store"/>
    <n v="1"/>
    <n v="106350"/>
    <s v="11-20%"/>
    <n v="20"/>
    <s v="Valid"/>
    <s v="Match"/>
    <n v="106350"/>
    <n v="21270"/>
    <n v="85080"/>
    <n v="68458.899999999994"/>
    <n v="16621.099999999999"/>
    <b v="0"/>
    <n v="0"/>
    <s v="COD"/>
    <s v="Meera"/>
    <s v="Repeat Customer"/>
    <n v="4"/>
    <x v="1"/>
    <x v="6"/>
  </r>
  <r>
    <s v="ZAR-10678"/>
    <d v="2025-07-16T00:00:00"/>
    <s v="12 PM - 4 PM"/>
    <x v="208"/>
    <s v="Puri"/>
    <s v="Women"/>
    <s v="Salwar Suit"/>
    <s v="Local Artisan"/>
    <s v="Festive"/>
    <s v="Store"/>
    <n v="1"/>
    <n v="7750"/>
    <s v="1-10%"/>
    <n v="10"/>
    <s v="Valid"/>
    <s v="Match"/>
    <n v="7750"/>
    <n v="775"/>
    <n v="6975"/>
    <n v="5487.05"/>
    <n v="1487.95"/>
    <b v="0"/>
    <n v="0"/>
    <s v="Card"/>
    <s v="Karan"/>
    <s v="Google"/>
    <n v="3.5"/>
    <x v="0"/>
    <x v="1"/>
  </r>
  <r>
    <s v="ZAR-10319"/>
    <d v="2025-07-01T00:00:00"/>
    <s v="8 PM - 12 AM"/>
    <x v="167"/>
    <s v="Cuttack"/>
    <s v="Women"/>
    <s v="Blouse"/>
    <s v="Biba"/>
    <s v="Office"/>
    <s v="Phone"/>
    <n v="1"/>
    <n v="3300"/>
    <s v="1-10%"/>
    <n v="10"/>
    <s v="Valid"/>
    <s v="Match"/>
    <n v="3300"/>
    <n v="330"/>
    <n v="2970"/>
    <n v="2212.81"/>
    <n v="757.19"/>
    <b v="0"/>
    <n v="0"/>
    <s v="Net Banking"/>
    <s v="Meera"/>
    <s v="Instagram"/>
    <n v="3"/>
    <x v="0"/>
    <x v="6"/>
  </r>
  <r>
    <s v="ZAR-10650"/>
    <d v="2025-06-27T00:00:00"/>
    <s v="8 AM - 12 PM"/>
    <x v="567"/>
    <s v="Bhubaneshwar"/>
    <s v="Women"/>
    <s v="Gown"/>
    <s v="Manyavar"/>
    <s v="Casual"/>
    <s v="Store"/>
    <n v="1"/>
    <n v="12950"/>
    <s v="21-30%"/>
    <n v="30"/>
    <s v="Valid"/>
    <s v="Match"/>
    <n v="12950"/>
    <n v="3885"/>
    <n v="9065"/>
    <n v="8030.37"/>
    <n v="1034.6300000000001"/>
    <b v="0"/>
    <n v="0"/>
    <s v="Cash"/>
    <s v="Sanjay"/>
    <s v="Referral"/>
    <n v="3.5"/>
    <x v="2"/>
    <x v="3"/>
  </r>
  <r>
    <s v="ZAR-10412"/>
    <d v="2025-01-07T00:00:00"/>
    <s v="8 PM - 12 AM"/>
    <x v="368"/>
    <s v="Balasore"/>
    <s v="Women"/>
    <s v="Lehenga"/>
    <s v="Rangriti"/>
    <s v="Wedding"/>
    <s v="Store"/>
    <n v="2"/>
    <n v="41000"/>
    <s v="21-30%"/>
    <n v="25"/>
    <s v="Valid"/>
    <s v="Match"/>
    <n v="82000"/>
    <n v="20500"/>
    <n v="61500"/>
    <n v="49268.639999999999"/>
    <n v="12231.36"/>
    <b v="0"/>
    <n v="0"/>
    <s v="Card"/>
    <s v="Ananya"/>
    <s v="Referral"/>
    <n v="4"/>
    <x v="10"/>
    <x v="6"/>
  </r>
  <r>
    <s v="ZAR-10906"/>
    <d v="2025-05-30T00:00:00"/>
    <s v="8 PM - 12 AM"/>
    <x v="519"/>
    <s v="Cuttack"/>
    <s v="Women"/>
    <s v="Blouse"/>
    <s v="Designer Collection"/>
    <s v="Office"/>
    <s v="Instagram"/>
    <n v="1"/>
    <n v="4450"/>
    <s v="21-30%"/>
    <n v="25"/>
    <s v="Valid"/>
    <s v="Match"/>
    <n v="4450"/>
    <n v="1112.5"/>
    <n v="3337.5"/>
    <n v="3021.56"/>
    <n v="315.94"/>
    <b v="0"/>
    <n v="0"/>
    <s v="Cash"/>
    <s v="Rohit"/>
    <s v="Google"/>
    <n v="3.5"/>
    <x v="8"/>
    <x v="3"/>
  </r>
  <r>
    <s v="ZAR-10711"/>
    <d v="2025-08-31T00:00:00"/>
    <s v="4 PM - 8 PM"/>
    <x v="544"/>
    <s v="Puri"/>
    <s v="Women"/>
    <s v="Blouse"/>
    <s v="Local Artisan"/>
    <s v="Casual"/>
    <s v="Instagram"/>
    <n v="1"/>
    <n v="4500"/>
    <s v="11-20%"/>
    <n v="15"/>
    <s v="Valid"/>
    <s v="Match"/>
    <n v="4500"/>
    <n v="675"/>
    <n v="3825"/>
    <n v="2950.32"/>
    <n v="874.68"/>
    <b v="0"/>
    <n v="0"/>
    <s v="Cash"/>
    <s v="Karan"/>
    <s v="Referral"/>
    <n v="4"/>
    <x v="6"/>
    <x v="0"/>
  </r>
  <r>
    <s v="ZAR-10360"/>
    <d v="2025-03-20T00:00:00"/>
    <s v="12 PM - 4 PM"/>
    <x v="546"/>
    <s v="Rourkela"/>
    <s v="Kids"/>
    <s v="Kids Saree"/>
    <s v="Manyavar"/>
    <s v="Family Function"/>
    <s v="WhatsApp"/>
    <n v="4"/>
    <n v="3450"/>
    <s v="11-20%"/>
    <n v="20"/>
    <s v="Valid"/>
    <s v="Match"/>
    <n v="13800"/>
    <n v="2760"/>
    <n v="11040"/>
    <n v="10011.450000000001"/>
    <n v="1028.55"/>
    <b v="0"/>
    <n v="0"/>
    <s v="Card"/>
    <s v="Neha"/>
    <s v="WhatsApp"/>
    <n v="5"/>
    <x v="9"/>
    <x v="4"/>
  </r>
  <r>
    <s v="ZAR-10260"/>
    <d v="2025-09-07T00:00:00"/>
    <s v="4 AM - 8 AM"/>
    <x v="568"/>
    <s v="Sambalpur "/>
    <s v="Women"/>
    <s v="Saree"/>
    <s v="FabIndia"/>
    <s v="Festive"/>
    <s v="Store"/>
    <n v="1"/>
    <n v="26250"/>
    <s v="1-10%"/>
    <n v="10"/>
    <s v="Valid"/>
    <s v="Match"/>
    <n v="26250"/>
    <n v="2625"/>
    <n v="23625"/>
    <n v="13883.42"/>
    <n v="9741.58"/>
    <b v="0"/>
    <n v="0"/>
    <s v="Net Banking"/>
    <s v="Sanjay"/>
    <s v="Google"/>
    <n v="4.5"/>
    <x v="11"/>
    <x v="0"/>
  </r>
  <r>
    <s v="ZAR-10746"/>
    <d v="2025-04-09T00:00:00"/>
    <s v="4 PM - 8 PM"/>
    <x v="569"/>
    <s v="Sambalpur"/>
    <s v="Men"/>
    <s v="Shirt"/>
    <s v="Zaree Studio"/>
    <s v="Casual"/>
    <s v="Instagram"/>
    <n v="3"/>
    <n v="3650"/>
    <s v="11-20%"/>
    <n v="15"/>
    <s v="Valid"/>
    <s v="Match"/>
    <n v="10950"/>
    <n v="1642.5"/>
    <n v="9307.5"/>
    <n v="8019.07"/>
    <n v="1288.43"/>
    <b v="0"/>
    <n v="0"/>
    <s v="Cash"/>
    <s v="Neha"/>
    <s v="Google"/>
    <n v="5"/>
    <x v="7"/>
    <x v="1"/>
  </r>
  <r>
    <s v="ZAR-10629"/>
    <d v="2025-05-20T00:00:00"/>
    <s v="8 AM - 12 PM"/>
    <x v="84"/>
    <s v="Bhubaneshwar"/>
    <s v="Women"/>
    <s v="Kurti"/>
    <s v="FabIndia"/>
    <s v="Puja"/>
    <s v="Instagram"/>
    <n v="1"/>
    <n v="4300"/>
    <s v="11-20%"/>
    <n v="15"/>
    <s v="Valid"/>
    <s v="Match"/>
    <n v="4300"/>
    <n v="645"/>
    <n v="3655"/>
    <n v="2636.86"/>
    <n v="1018.14"/>
    <b v="0"/>
    <n v="0"/>
    <s v="UPI"/>
    <s v="Sanjay"/>
    <s v="Walk-in"/>
    <n v="4"/>
    <x v="8"/>
    <x v="6"/>
  </r>
  <r>
    <s v="ZAR-10634"/>
    <d v="2025-05-21T00:00:00"/>
    <s v="8 AM - 12 PM"/>
    <x v="570"/>
    <s v="Sambalpur"/>
    <s v="Women"/>
    <s v="Bridal Lehenga"/>
    <s v="Zaree Studio"/>
    <s v="Engagement"/>
    <s v="Store"/>
    <n v="1"/>
    <n v="54100"/>
    <s v="11-20%"/>
    <n v="15"/>
    <s v="Valid"/>
    <s v="Match"/>
    <n v="54100"/>
    <n v="8115"/>
    <n v="45985"/>
    <n v="36740.17"/>
    <n v="9244.83"/>
    <b v="0"/>
    <n v="0"/>
    <s v="Net Banking"/>
    <s v="Priya"/>
    <s v="WhatsApp"/>
    <n v="4"/>
    <x v="8"/>
    <x v="1"/>
  </r>
  <r>
    <s v="ZAR-10284"/>
    <d v="2025-11-07T00:00:00"/>
    <s v="4 AM - 8 AM"/>
    <x v="571"/>
    <s v="Berhampur"/>
    <s v="Women"/>
    <s v="Salwar Suit"/>
    <s v="FabIndia"/>
    <s v="Office"/>
    <s v="Instagram"/>
    <n v="1"/>
    <n v="4300"/>
    <s v="1-10%"/>
    <n v="10"/>
    <s v="Valid"/>
    <s v="Match"/>
    <n v="4300"/>
    <n v="430"/>
    <n v="3870"/>
    <n v="3056.53"/>
    <n v="813.47"/>
    <b v="0"/>
    <n v="0"/>
    <s v="COD"/>
    <s v="Sanjay"/>
    <s v="WhatsApp"/>
    <n v="4"/>
    <x v="5"/>
    <x v="3"/>
  </r>
  <r>
    <s v="ZAR-10378"/>
    <d v="2025-08-31T00:00:00"/>
    <s v="12 PM - 4 PM"/>
    <x v="572"/>
    <s v="Cuttack"/>
    <s v="Women"/>
    <s v="Kurti"/>
    <s v="Biba"/>
    <s v="Reception"/>
    <s v="Instagram"/>
    <n v="1"/>
    <n v="1750"/>
    <s v="21-30%"/>
    <n v="30"/>
    <s v="Valid"/>
    <s v="Match"/>
    <n v="1750"/>
    <n v="525"/>
    <n v="1225"/>
    <n v="967.45"/>
    <n v="257.55"/>
    <b v="0"/>
    <n v="0"/>
    <s v="Cash"/>
    <s v="Neha"/>
    <s v="Google"/>
    <n v="4"/>
    <x v="6"/>
    <x v="0"/>
  </r>
  <r>
    <s v="ZAR-10386"/>
    <d v="2025-11-10T00:00:00"/>
    <s v="4 PM - 8 PM"/>
    <x v="573"/>
    <s v="Puri"/>
    <s v="Women"/>
    <s v="Gown"/>
    <s v="Zaree Studio"/>
    <s v="Puja"/>
    <s v="Store"/>
    <n v="1"/>
    <n v="9150"/>
    <s v="21-30%"/>
    <n v="30"/>
    <s v="Valid"/>
    <s v="Match"/>
    <n v="9150"/>
    <n v="2745"/>
    <n v="6405"/>
    <n v="5301.09"/>
    <n v="1103.9100000000001"/>
    <b v="0"/>
    <n v="0"/>
    <s v="COD"/>
    <s v="Karan"/>
    <s v="Referral"/>
    <n v="4"/>
    <x v="5"/>
    <x v="2"/>
  </r>
  <r>
    <s v="ZAR-10226"/>
    <d v="2025-02-23T00:00:00"/>
    <s v="4 PM - 8 PM"/>
    <x v="544"/>
    <s v="Berhampur"/>
    <s v="Men"/>
    <s v="Shirt"/>
    <s v="Biba"/>
    <s v="Festive"/>
    <s v="Store"/>
    <n v="2"/>
    <n v="2450"/>
    <s v="21-30%"/>
    <n v="25"/>
    <s v="Valid"/>
    <s v="Match"/>
    <n v="4900"/>
    <n v="1225"/>
    <n v="3675"/>
    <n v="2695.86"/>
    <n v="979.14"/>
    <b v="0"/>
    <n v="0"/>
    <s v="COD"/>
    <s v="Rohit"/>
    <s v="Referral"/>
    <n v="3"/>
    <x v="4"/>
    <x v="0"/>
  </r>
  <r>
    <s v="ZAR-10963"/>
    <d v="2025-09-23T00:00:00"/>
    <s v="8 PM - 12 AM"/>
    <x v="574"/>
    <s v="Rourkela"/>
    <s v="Women"/>
    <s v="Lehenga"/>
    <s v="Local Artisan"/>
    <s v="Reception"/>
    <s v="Instagram"/>
    <n v="1"/>
    <n v="40000"/>
    <s v="11-20%"/>
    <n v="15"/>
    <s v="Valid"/>
    <s v="Match"/>
    <n v="40000"/>
    <n v="6000"/>
    <n v="34000"/>
    <n v="24132.78"/>
    <n v="9867.2199999999993"/>
    <b v="0"/>
    <n v="0"/>
    <s v="Cash"/>
    <s v="Rohit"/>
    <s v="WhatsApp"/>
    <n v="3.5"/>
    <x v="11"/>
    <x v="6"/>
  </r>
  <r>
    <s v="ZAR-10822"/>
    <d v="2025-10-18T00:00:00"/>
    <s v="4 PM - 8 PM"/>
    <x v="575"/>
    <s v="Puri"/>
    <s v="Kids"/>
    <s v="Kids Sherwani"/>
    <s v="Aurelia"/>
    <s v="Festive"/>
    <s v="Store"/>
    <n v="1"/>
    <n v="1850"/>
    <s v="1-10%"/>
    <n v="10"/>
    <s v="Valid"/>
    <s v="Match"/>
    <n v="1850"/>
    <n v="185"/>
    <n v="1665"/>
    <n v="973.25"/>
    <n v="691.75"/>
    <b v="0"/>
    <n v="0"/>
    <s v="Cash"/>
    <s v="Ananya"/>
    <s v="WhatsApp"/>
    <n v="3.5"/>
    <x v="3"/>
    <x v="5"/>
  </r>
  <r>
    <s v="ZAR-10474"/>
    <d v="2025-08-02T00:00:00"/>
    <s v="12 PM - 4 PM"/>
    <x v="576"/>
    <s v="Sambalpur"/>
    <s v="Women"/>
    <s v="Blouse"/>
    <s v="Manyavar"/>
    <s v="Casual"/>
    <s v="Instagram"/>
    <n v="2"/>
    <n v="900"/>
    <s v="0%"/>
    <n v="0"/>
    <s v="Valid"/>
    <s v="Match"/>
    <n v="1800"/>
    <n v="0"/>
    <n v="1800"/>
    <n v="1280.69"/>
    <n v="519.30999999999995"/>
    <b v="0"/>
    <n v="0"/>
    <s v="Card"/>
    <s v="Neha"/>
    <s v="WhatsApp"/>
    <n v="4"/>
    <x v="6"/>
    <x v="5"/>
  </r>
  <r>
    <s v="ZAR-10349"/>
    <d v="2025-10-31T00:00:00"/>
    <s v="4 PM - 8 PM"/>
    <x v="462"/>
    <s v="Sambalpur"/>
    <s v="Women"/>
    <s v="Lehenga"/>
    <s v="Rangriti"/>
    <s v="Reception"/>
    <s v="Instagram"/>
    <n v="2"/>
    <n v="35100"/>
    <s v="21-30%"/>
    <n v="30"/>
    <s v="Valid"/>
    <s v="Match"/>
    <n v="70200"/>
    <n v="21060"/>
    <n v="49140"/>
    <n v="44019.519999999997"/>
    <n v="5120.4799999999996"/>
    <b v="0"/>
    <n v="0"/>
    <s v="COD"/>
    <s v="Ananya"/>
    <s v="WhatsApp"/>
    <n v="4"/>
    <x v="3"/>
    <x v="3"/>
  </r>
  <r>
    <s v="ZAR-10507"/>
    <d v="2025-10-06T00:00:00"/>
    <s v="8 AM - 12 PM"/>
    <x v="577"/>
    <s v="Puri"/>
    <s v="Men"/>
    <s v="Shirt"/>
    <s v="Zaree Studio"/>
    <s v="Family Function"/>
    <s v="Store"/>
    <n v="1"/>
    <n v="3500"/>
    <s v="11-20%"/>
    <n v="20"/>
    <s v="Valid"/>
    <s v="Match"/>
    <n v="3500"/>
    <n v="700"/>
    <n v="2800"/>
    <n v="2588.46"/>
    <n v="211.54"/>
    <b v="0"/>
    <n v="0"/>
    <s v="Net Banking"/>
    <s v="Karan"/>
    <s v="Repeat Customer"/>
    <n v="4"/>
    <x v="3"/>
    <x v="2"/>
  </r>
  <r>
    <s v="ZAR-10641"/>
    <d v="2025-08-24T00:00:00"/>
    <s v="4 AM - 8 AM"/>
    <x v="513"/>
    <s v="Bhubaneshwar"/>
    <s v="Men"/>
    <s v="Kurta Pajama"/>
    <s v="Rangriti"/>
    <s v="Wedding"/>
    <s v="Store"/>
    <n v="1"/>
    <n v="4500"/>
    <s v="0%"/>
    <n v="0"/>
    <s v="Valid"/>
    <s v="Match"/>
    <n v="4500"/>
    <n v="0"/>
    <n v="4500"/>
    <n v="2578.16"/>
    <n v="1921.84"/>
    <b v="0"/>
    <n v="0"/>
    <s v="COD"/>
    <s v="Ananya"/>
    <s v="Referral"/>
    <n v="4"/>
    <x v="6"/>
    <x v="0"/>
  </r>
  <r>
    <s v="ZAR-10997"/>
    <d v="2025-10-22T00:00:00"/>
    <s v="8 AM - 12 PM"/>
    <x v="578"/>
    <s v="Berhampur"/>
    <s v="Women"/>
    <s v="Bridal Lehenga"/>
    <s v="Zaree Studio"/>
    <s v="Festive"/>
    <s v="Store"/>
    <n v="1"/>
    <n v="26150"/>
    <s v="11-20%"/>
    <n v="20"/>
    <s v="Valid"/>
    <s v="Match"/>
    <n v="26150"/>
    <n v="5230"/>
    <n v="20920"/>
    <n v="17275.830000000002"/>
    <n v="3644.17"/>
    <b v="0"/>
    <n v="0"/>
    <s v="COD"/>
    <s v="Rohit"/>
    <s v="Google"/>
    <n v="4"/>
    <x v="3"/>
    <x v="1"/>
  </r>
  <r>
    <s v="ZAR-10799"/>
    <d v="2025-10-12T00:00:00"/>
    <s v="8 PM - 12 AM"/>
    <x v="579"/>
    <s v="Cuttack"/>
    <s v="Women"/>
    <s v="Saree"/>
    <s v="Local Artisan"/>
    <s v="Wedding Guest"/>
    <s v="Phone"/>
    <n v="1"/>
    <n v="25750"/>
    <s v="0%"/>
    <n v="0"/>
    <s v="Valid"/>
    <s v="Match"/>
    <n v="25750"/>
    <n v="0"/>
    <n v="25750"/>
    <n v="14813.78"/>
    <n v="10936.22"/>
    <b v="0"/>
    <n v="0"/>
    <s v="Card"/>
    <s v="Rohit"/>
    <s v="Google"/>
    <n v="3"/>
    <x v="3"/>
    <x v="0"/>
  </r>
  <r>
    <s v="ZAR-10936"/>
    <d v="2025-01-21T00:00:00"/>
    <s v="4 PM - 8 PM"/>
    <x v="580"/>
    <s v="Puri"/>
    <s v="Women"/>
    <s v="Salwar Suit"/>
    <s v="Rangriti"/>
    <s v="Casual"/>
    <s v="Phone"/>
    <n v="1"/>
    <n v="4200"/>
    <s v="11-20%"/>
    <n v="20"/>
    <s v="Valid"/>
    <s v="Match"/>
    <n v="4200"/>
    <n v="840"/>
    <n v="3360"/>
    <n v="2260.09"/>
    <n v="1099.9100000000001"/>
    <b v="0"/>
    <n v="0"/>
    <s v="Cash"/>
    <s v="Neha"/>
    <s v="Referral"/>
    <n v="4"/>
    <x v="10"/>
    <x v="6"/>
  </r>
  <r>
    <s v="ZAR-10913"/>
    <d v="2025-07-14T00:00:00"/>
    <s v="12 AM - 4 AM"/>
    <x v="581"/>
    <s v="Puri"/>
    <s v="Women"/>
    <s v="Blouse"/>
    <s v="FabIndia"/>
    <s v="Casual"/>
    <s v="Store"/>
    <n v="2"/>
    <n v="3600"/>
    <s v="11-20%"/>
    <n v="15"/>
    <s v="Valid"/>
    <s v="Match"/>
    <n v="7200"/>
    <n v="1080"/>
    <n v="6120"/>
    <n v="5091.33"/>
    <n v="1028.67"/>
    <b v="0"/>
    <n v="0"/>
    <s v="Cash"/>
    <s v="Ananya"/>
    <s v="Google"/>
    <n v="4"/>
    <x v="0"/>
    <x v="2"/>
  </r>
  <r>
    <s v="ZAR-10621"/>
    <d v="2025-01-27T00:00:00"/>
    <s v="4 PM - 8 PM"/>
    <x v="582"/>
    <s v="Cuttack"/>
    <s v="Kids"/>
    <s v="Kids Kurta"/>
    <s v="FabIndia"/>
    <s v="Casual"/>
    <s v="Phone"/>
    <n v="1"/>
    <s v="2250.0"/>
    <s v="11-20%"/>
    <n v="20"/>
    <s v="Valid"/>
    <s v="Match"/>
    <n v="2250"/>
    <n v="450"/>
    <n v="1800"/>
    <n v="1489"/>
    <n v="311"/>
    <b v="0"/>
    <n v="0"/>
    <s v="COD"/>
    <s v="Rohit"/>
    <s v="Google"/>
    <n v="4"/>
    <x v="10"/>
    <x v="2"/>
  </r>
  <r>
    <s v="ZAR-10863"/>
    <d v="2025-07-11T00:00:00"/>
    <s v="8 PM - 12 AM"/>
    <x v="583"/>
    <s v="Cuttack"/>
    <s v="Men"/>
    <s v="Indo-Western"/>
    <s v="Designer Collection"/>
    <s v="Festive"/>
    <s v="Store"/>
    <n v="2"/>
    <n v="12550"/>
    <s v="11-20%"/>
    <n v="20"/>
    <s v="Valid"/>
    <s v="Match"/>
    <n v="25100"/>
    <n v="5020"/>
    <n v="20080"/>
    <n v="14608.64"/>
    <n v="5471.36"/>
    <b v="0"/>
    <n v="0"/>
    <s v="Cash"/>
    <s v="Sanjay"/>
    <s v="Walk-in"/>
    <n v="3"/>
    <x v="0"/>
    <x v="3"/>
  </r>
  <r>
    <s v="ZAR-10811"/>
    <d v="2025-07-01T00:00:00"/>
    <s v="12 PM - 4 PM"/>
    <x v="15"/>
    <s v="Rourkela"/>
    <s v="Men"/>
    <s v="Shirt"/>
    <s v="Rangriti"/>
    <s v="Wedding"/>
    <s v="Store"/>
    <n v="1"/>
    <n v="2100"/>
    <s v="21-30%"/>
    <n v="25"/>
    <s v="Valid"/>
    <s v="Match"/>
    <n v="2100"/>
    <n v="525"/>
    <n v="1575"/>
    <n v="1249.1600000000001"/>
    <n v="325.83999999999997"/>
    <b v="0"/>
    <n v="0"/>
    <s v="Cash"/>
    <s v="Rohit"/>
    <s v="Google"/>
    <n v="4.5"/>
    <x v="0"/>
    <x v="6"/>
  </r>
  <r>
    <s v="ZAR-10647"/>
    <d v="2025-08-20T00:00:00"/>
    <s v="12 PM - 4 PM"/>
    <x v="584"/>
    <s v="Sambalpur"/>
    <s v="Women"/>
    <s v="Saree"/>
    <s v="Zaree Studio"/>
    <s v="Casual"/>
    <s v="Phone"/>
    <n v="1"/>
    <n v="27550"/>
    <s v="21-30%"/>
    <n v="30"/>
    <s v="Valid"/>
    <s v="Match"/>
    <n v="27550"/>
    <n v="8265"/>
    <n v="19285"/>
    <n v="18788.03"/>
    <n v="496.97"/>
    <b v="0"/>
    <n v="0"/>
    <s v="Cash"/>
    <s v="Priya"/>
    <s v="WhatsApp"/>
    <n v="4"/>
    <x v="6"/>
    <x v="1"/>
  </r>
  <r>
    <s v="ZAR-10854"/>
    <d v="2025-04-06T00:00:00"/>
    <s v="12 AM - 4 AM"/>
    <x v="133"/>
    <s v="Bhubaneshwar"/>
    <s v="Women"/>
    <s v="Lehenga"/>
    <s v="Local Artisan"/>
    <s v="Reception"/>
    <s v="Store"/>
    <n v="1"/>
    <n v="9150"/>
    <s v="21-30%"/>
    <n v="25"/>
    <s v="Valid"/>
    <s v="Match"/>
    <n v="9150"/>
    <n v="2287.5"/>
    <n v="6862.5"/>
    <n v="6623.17"/>
    <n v="239.33"/>
    <b v="0"/>
    <n v="0"/>
    <s v="Cash"/>
    <s v="Karan"/>
    <s v="Repeat Customer"/>
    <n v="2.5"/>
    <x v="7"/>
    <x v="0"/>
  </r>
  <r>
    <s v="ZAR-10558"/>
    <d v="2025-04-07T00:00:00"/>
    <s v="4 AM - 8 AM"/>
    <x v="585"/>
    <s v="Puri"/>
    <s v="Women"/>
    <s v="Kurti"/>
    <s v="Aurelia"/>
    <s v="Puja"/>
    <s v="Website"/>
    <n v="2"/>
    <n v="3300"/>
    <s v="0%"/>
    <n v="0"/>
    <s v="Valid"/>
    <s v="Match"/>
    <n v="6600"/>
    <n v="0"/>
    <n v="6600"/>
    <n v="3776.27"/>
    <n v="2823.73"/>
    <b v="0"/>
    <n v="0"/>
    <s v="COD"/>
    <s v="Priya"/>
    <s v="Referral"/>
    <n v="4.5"/>
    <x v="7"/>
    <x v="2"/>
  </r>
  <r>
    <s v="ZAR-10967"/>
    <d v="2025-01-11T00:00:00"/>
    <s v="12 AM - 4 AM"/>
    <x v="1"/>
    <s v="Bhubaneshwar"/>
    <s v="Men"/>
    <s v="Nehru Jacket"/>
    <s v="Manyavar"/>
    <s v="Casual"/>
    <s v="Store"/>
    <n v="1"/>
    <n v="6700"/>
    <s v="30%+"/>
    <s v="10"/>
    <s v="Invalid Discount"/>
    <s v="Match"/>
    <n v="6700"/>
    <n v="670"/>
    <n v="6030"/>
    <n v="4584.2"/>
    <n v="1445.8"/>
    <b v="0"/>
    <n v="0"/>
    <s v="Net Banking"/>
    <s v="Neha"/>
    <s v="Instagram"/>
    <n v="5"/>
    <x v="10"/>
    <x v="5"/>
  </r>
  <r>
    <s v="ZAR-10579"/>
    <d v="2025-12-02T00:00:00"/>
    <s v="4 AM - 8 AM"/>
    <x v="420"/>
    <s v="Balasore"/>
    <s v="Kids"/>
    <s v="Kids Kurta"/>
    <s v="Designer Collection"/>
    <s v="Wedding"/>
    <s v="Store"/>
    <n v="2"/>
    <n v="2450"/>
    <s v="0%"/>
    <n v="0"/>
    <s v="Valid"/>
    <s v="Match"/>
    <n v="4900"/>
    <n v="0"/>
    <n v="4900"/>
    <n v="3180.31"/>
    <n v="1719.69"/>
    <b v="0"/>
    <n v="0"/>
    <s v="Card"/>
    <s v="Neha"/>
    <s v="WhatsApp"/>
    <n v="4"/>
    <x v="1"/>
    <x v="6"/>
  </r>
  <r>
    <s v="ZAR-10797"/>
    <d v="2025-09-26T00:00:00"/>
    <s v="12 AM - 4 AM"/>
    <x v="557"/>
    <s v="Berhampur"/>
    <s v="Women"/>
    <s v="Gown"/>
    <s v="FabIndia"/>
    <s v="Puja"/>
    <s v="Store"/>
    <n v="2"/>
    <n v="9050"/>
    <s v="11-20%"/>
    <n v="20"/>
    <s v="Valid"/>
    <s v="Match"/>
    <n v="18100"/>
    <n v="3620"/>
    <n v="14480"/>
    <n v="12836.23"/>
    <n v="1643.77"/>
    <b v="0"/>
    <n v="0"/>
    <s v="Card"/>
    <s v="Unknown"/>
    <s v="WhatsApp"/>
    <n v="3.5"/>
    <x v="11"/>
    <x v="3"/>
  </r>
  <r>
    <s v="ZAR-10087"/>
    <d v="2025-12-29T00:00:00"/>
    <s v="12 AM - 4 AM"/>
    <x v="586"/>
    <s v="Berhampur"/>
    <s v="Kids"/>
    <s v="Kids Saree"/>
    <s v="Rangriti"/>
    <s v="Casual"/>
    <s v="Store"/>
    <n v="2"/>
    <n v="3400"/>
    <s v="11-20%"/>
    <n v="15"/>
    <s v="Valid"/>
    <s v="Match"/>
    <n v="6800"/>
    <n v="1020"/>
    <n v="5780"/>
    <n v="3728.91"/>
    <n v="2051.09"/>
    <b v="0"/>
    <n v="0"/>
    <s v="Net Banking"/>
    <s v="Neha"/>
    <s v="Referral"/>
    <n v="5"/>
    <x v="1"/>
    <x v="2"/>
  </r>
  <r>
    <s v="ZAR-10244"/>
    <d v="2025-04-26T00:00:00"/>
    <s v="8 PM - 12 AM"/>
    <x v="459"/>
    <s v="Balasore"/>
    <s v="Men"/>
    <s v="Kurta Pajama"/>
    <s v="Biba"/>
    <s v="Casual"/>
    <s v="Instagram"/>
    <n v="2"/>
    <n v="5550"/>
    <s v="21-30%"/>
    <n v="30"/>
    <s v="Valid"/>
    <s v="Match"/>
    <n v="11100"/>
    <n v="3330"/>
    <n v="7770"/>
    <n v="6853.96"/>
    <n v="916.04"/>
    <b v="0"/>
    <n v="0"/>
    <s v="Net Banking"/>
    <s v="Rohit"/>
    <s v="WhatsApp"/>
    <n v="5"/>
    <x v="7"/>
    <x v="5"/>
  </r>
  <r>
    <s v="ZAR-10700"/>
    <d v="2025-04-20T00:00:00"/>
    <s v="12 AM - 4 AM"/>
    <x v="587"/>
    <s v="Bhubaneshwar"/>
    <s v="Men"/>
    <s v="Nehru Jacket"/>
    <s v="Local Artisan"/>
    <s v="Casual"/>
    <s v="Store"/>
    <n v="2"/>
    <n v="2550"/>
    <s v="0%"/>
    <n v="0"/>
    <s v="Valid"/>
    <s v="Match"/>
    <n v="5100"/>
    <n v="0"/>
    <n v="5100"/>
    <n v="3718.83"/>
    <n v="1381.17"/>
    <b v="0"/>
    <n v="0"/>
    <s v="Cash"/>
    <s v="Neha"/>
    <s v="Google"/>
    <n v="3"/>
    <x v="7"/>
    <x v="0"/>
  </r>
  <r>
    <s v="ZAR-10161"/>
    <d v="2025-07-18T00:00:00"/>
    <s v="4 PM - 8 PM"/>
    <x v="588"/>
    <s v="Berhampur"/>
    <s v="Women"/>
    <s v="Salwar Suit"/>
    <s v="Rangriti"/>
    <s v="Casual"/>
    <s v="Store"/>
    <n v="1"/>
    <n v="6650"/>
    <s v="21-30%"/>
    <n v="25"/>
    <s v="Valid"/>
    <s v="Match"/>
    <n v="6650"/>
    <n v="1662.5"/>
    <n v="4987.5"/>
    <n v="3916.51"/>
    <n v="1070.99"/>
    <b v="0"/>
    <n v="0"/>
    <s v="Card"/>
    <s v="Priya"/>
    <s v="Instagram"/>
    <n v="3.5"/>
    <x v="0"/>
    <x v="3"/>
  </r>
  <r>
    <s v="ZAR-10526"/>
    <d v="2025-01-21T00:00:00"/>
    <s v="4 PM - 8 PM"/>
    <x v="589"/>
    <s v="Rourkela"/>
    <s v="Kids"/>
    <s v="Kids Gown"/>
    <s v="FabIndia"/>
    <s v="Festive"/>
    <s v="Instagram"/>
    <n v="1"/>
    <n v="4000"/>
    <s v="1-10%"/>
    <n v="10"/>
    <s v="Valid"/>
    <s v="Match"/>
    <n v="4000"/>
    <n v="400"/>
    <n v="3600"/>
    <n v="2359.4299999999998"/>
    <n v="1240.57"/>
    <b v="0"/>
    <n v="0"/>
    <s v="Cash"/>
    <s v="Rohit"/>
    <s v="Walk-in"/>
    <n v="3.5"/>
    <x v="10"/>
    <x v="6"/>
  </r>
  <r>
    <s v="ZAR-10037"/>
    <d v="2025-04-12T00:00:00"/>
    <s v="12 AM - 4 AM"/>
    <x v="117"/>
    <s v="Balasore"/>
    <s v="Women"/>
    <s v="Salwar Suit"/>
    <s v="Rangriti"/>
    <s v="Reception"/>
    <s v="Website"/>
    <n v="3"/>
    <n v="5950"/>
    <s v="11-20%"/>
    <n v="15"/>
    <s v="Valid"/>
    <s v="Match"/>
    <n v="17850"/>
    <n v="2677.5"/>
    <n v="15172.5"/>
    <n v="10839.66"/>
    <n v="4332.84"/>
    <b v="0"/>
    <n v="0"/>
    <s v="COD"/>
    <s v="Meera"/>
    <s v="Instagram"/>
    <n v="4"/>
    <x v="7"/>
    <x v="5"/>
  </r>
  <r>
    <s v="ZAR-10542"/>
    <d v="2025-09-24T00:00:00"/>
    <s v="4 PM - 8 PM"/>
    <x v="590"/>
    <s v="Puri"/>
    <s v="Kids"/>
    <s v="Kids Lehenga"/>
    <s v="Biba"/>
    <s v="Family Function"/>
    <s v="WhatsApp"/>
    <n v="1"/>
    <n v="9500"/>
    <s v="1-10%"/>
    <n v="5"/>
    <s v="Valid"/>
    <s v="Match"/>
    <n v="9500"/>
    <n v="475"/>
    <n v="9025"/>
    <n v="6427.96"/>
    <n v="2597.04"/>
    <b v="0"/>
    <n v="0"/>
    <s v="COD"/>
    <s v="Meera"/>
    <s v="Google"/>
    <n v="3"/>
    <x v="11"/>
    <x v="1"/>
  </r>
  <r>
    <s v="ZAR-10172"/>
    <d v="2025-09-23T00:00:00"/>
    <s v="8 PM - 12 AM"/>
    <x v="349"/>
    <s v="Bhubaneshwar"/>
    <s v="Women"/>
    <s v="Lehenga"/>
    <s v="Manyavar"/>
    <s v="Wedding"/>
    <s v="Store"/>
    <n v="1"/>
    <n v="7050"/>
    <s v="1-10%"/>
    <n v="5"/>
    <s v="Valid"/>
    <s v="Match"/>
    <n v="7050"/>
    <n v="352.5"/>
    <n v="6697.5"/>
    <n v="4586.8"/>
    <n v="2110.6999999999998"/>
    <b v="0"/>
    <n v="0"/>
    <s v="Net Banking"/>
    <s v="Ananya"/>
    <s v="Walk-in"/>
    <n v="4"/>
    <x v="11"/>
    <x v="6"/>
  </r>
  <r>
    <s v="ZAR-10656"/>
    <d v="2025-01-04T00:00:00"/>
    <s v="12 PM - 4 PM"/>
    <x v="467"/>
    <s v="Puri"/>
    <s v="Kids"/>
    <s v="Kids Saree"/>
    <s v="Zaree Studio"/>
    <s v="Festive"/>
    <s v="Website"/>
    <n v="3"/>
    <n v="1050"/>
    <s v="1-10%"/>
    <n v="5"/>
    <s v="Valid"/>
    <s v="Match"/>
    <n v="3150"/>
    <n v="157.5"/>
    <n v="2992.5"/>
    <n v="1917.24"/>
    <n v="1075.26"/>
    <b v="0"/>
    <n v="0"/>
    <s v="Cash"/>
    <s v="Meera"/>
    <s v="WhatsApp"/>
    <n v="3"/>
    <x v="10"/>
    <x v="5"/>
  </r>
  <r>
    <s v="ZAR-10898"/>
    <d v="2025-01-06T00:00:00"/>
    <s v="8 AM - 12 PM"/>
    <x v="591"/>
    <s v="Berhampur"/>
    <s v="Women"/>
    <s v="Kurti"/>
    <s v="Zaree Studio"/>
    <s v="Reception"/>
    <s v="WhatsApp"/>
    <s v="1"/>
    <n v="1450"/>
    <s v="21-30%"/>
    <n v="25"/>
    <s v="Valid"/>
    <s v="Match"/>
    <n v="1450"/>
    <n v="362.5"/>
    <n v="1087.5"/>
    <n v="977.77"/>
    <n v="109.73"/>
    <b v="0"/>
    <n v="0"/>
    <s v="Cash"/>
    <s v="Meera"/>
    <s v="Walk-in"/>
    <n v="4"/>
    <x v="10"/>
    <x v="2"/>
  </r>
  <r>
    <s v="ZAR-10865"/>
    <d v="2025-01-10T00:00:00"/>
    <s v="8 AM - 12 PM"/>
    <x v="592"/>
    <s v="Bhubaneshwar"/>
    <s v="Women"/>
    <s v="Kurti"/>
    <s v="Designer Collection"/>
    <s v="Office"/>
    <s v="Store"/>
    <n v="1"/>
    <n v="3800"/>
    <s v="11-20%"/>
    <n v="20"/>
    <s v="Valid"/>
    <s v="Match"/>
    <n v="3800"/>
    <n v="760"/>
    <n v="3040"/>
    <n v="2368.71"/>
    <n v="671.29"/>
    <b v="0"/>
    <n v="0"/>
    <s v="Net Banking"/>
    <s v="Neha"/>
    <s v="WhatsApp"/>
    <n v="3"/>
    <x v="10"/>
    <x v="3"/>
  </r>
  <r>
    <s v="ZAR-10855"/>
    <d v="2025-05-28T00:00:00"/>
    <s v="8 PM - 12 AM"/>
    <x v="112"/>
    <s v="Puri"/>
    <s v="Women"/>
    <s v="Kurti"/>
    <s v="Biba"/>
    <s v="Puja"/>
    <s v="Website"/>
    <n v="1"/>
    <n v="3400"/>
    <s v="21-30%"/>
    <n v="25"/>
    <s v="Valid"/>
    <s v="Match"/>
    <n v="3400"/>
    <n v="850"/>
    <n v="2550"/>
    <n v="1907.18"/>
    <n v="642.82000000000005"/>
    <b v="0"/>
    <n v="0"/>
    <s v="Card"/>
    <s v="Neha"/>
    <s v="Repeat Customer"/>
    <n v="3"/>
    <x v="8"/>
    <x v="1"/>
  </r>
  <r>
    <s v="ZAR-10952"/>
    <d v="2025-04-12T00:00:00"/>
    <s v="12 AM - 4 AM"/>
    <x v="593"/>
    <s v="Rourkela"/>
    <s v="Kids"/>
    <s v="Kids Gown"/>
    <s v="FabIndia"/>
    <s v="Festive"/>
    <s v="Store"/>
    <n v="1"/>
    <n v="3300"/>
    <s v="1-10%"/>
    <n v="10"/>
    <s v="Valid"/>
    <s v="Match"/>
    <n v="3300"/>
    <n v="330"/>
    <n v="2970"/>
    <n v="2182.4699999999998"/>
    <n v="787.53"/>
    <b v="0"/>
    <n v="0"/>
    <s v="Cash"/>
    <s v="Sanjay"/>
    <s v="WhatsApp"/>
    <n v="5"/>
    <x v="7"/>
    <x v="5"/>
  </r>
  <r>
    <s v="ZAR-10735"/>
    <d v="2025-06-27T00:00:00"/>
    <s v="12 PM - 4 PM"/>
    <x v="594"/>
    <s v="Cuttack"/>
    <s v="Men"/>
    <s v="Sherwani"/>
    <s v="Manyavar"/>
    <s v="Reception"/>
    <s v="Store"/>
    <n v="1"/>
    <n v="43850"/>
    <s v="21-30%"/>
    <n v="30"/>
    <s v="Valid"/>
    <s v="Match"/>
    <n v="43850"/>
    <n v="13155"/>
    <n v="30695"/>
    <n v="24166.67"/>
    <n v="6528.33"/>
    <b v="0"/>
    <n v="0"/>
    <s v="Card"/>
    <s v="Meera"/>
    <s v="Walk-in"/>
    <n v="2.5"/>
    <x v="2"/>
    <x v="3"/>
  </r>
  <r>
    <s v="ZAR-10097"/>
    <d v="2025-02-02T00:00:00"/>
    <s v="8 PM - 12 AM"/>
    <x v="595"/>
    <s v="Rourkela"/>
    <s v="Women"/>
    <s v="Blouse"/>
    <s v="FabIndia"/>
    <s v="Festive"/>
    <s v="Store"/>
    <n v="1"/>
    <m/>
    <s v="1-10%"/>
    <n v="5"/>
    <s v="Valid"/>
    <s v="Match"/>
    <n v="6900"/>
    <n v="345"/>
    <n v="6555"/>
    <n v="4819.8500000000004"/>
    <n v="1735.15"/>
    <b v="0"/>
    <n v="0"/>
    <s v="Cash"/>
    <s v="Neha"/>
    <s v="Google"/>
    <n v="3"/>
    <x v="4"/>
    <x v="0"/>
  </r>
  <r>
    <s v="ZAR-10565"/>
    <d v="2025-06-10T00:00:00"/>
    <s v="12 AM - 4 AM"/>
    <x v="175"/>
    <s v="Bhubaneshwar"/>
    <s v="Kids"/>
    <s v="Kids Kurta"/>
    <s v="Zaree Studio"/>
    <s v="Festive"/>
    <s v="Store"/>
    <n v="3"/>
    <n v="1550"/>
    <s v="1-10%"/>
    <n v="10"/>
    <s v="Valid"/>
    <s v="Match"/>
    <n v="4650"/>
    <n v="465"/>
    <n v="4185"/>
    <n v="2833.86"/>
    <n v="1351.14"/>
    <b v="0"/>
    <n v="0"/>
    <s v="UPI"/>
    <s v="Karan"/>
    <s v="Referral"/>
    <n v="3.5"/>
    <x v="2"/>
    <x v="6"/>
  </r>
  <r>
    <s v="ZAR-10242"/>
    <d v="2025-03-16T00:00:00"/>
    <s v="12 AM - 4 AM"/>
    <x v="596"/>
    <s v="Puri"/>
    <s v="Women"/>
    <s v="Bridal Lehenga"/>
    <s v="Designer Collection"/>
    <s v="Wedding"/>
    <s v="Store"/>
    <n v="2"/>
    <n v="89700"/>
    <s v="1-10%"/>
    <n v="10"/>
    <s v="Valid"/>
    <s v="Match"/>
    <n v="179400"/>
    <n v="17940"/>
    <n v="161460"/>
    <n v="120260.05"/>
    <n v="41199.949999999997"/>
    <b v="0"/>
    <n v="0"/>
    <s v="UPI"/>
    <s v="Neha"/>
    <s v="WhatsApp"/>
    <n v="4"/>
    <x v="9"/>
    <x v="0"/>
  </r>
  <r>
    <s v="ZAR-10744"/>
    <d v="2025-03-16T00:00:00"/>
    <s v="8 PM - 12 AM"/>
    <x v="407"/>
    <s v="Rourkela"/>
    <s v="Women"/>
    <s v="Bridal Lehenga"/>
    <s v="Aurelia"/>
    <s v="Festive"/>
    <s v="Website"/>
    <n v="1"/>
    <n v="74850"/>
    <s v="1-10%"/>
    <n v="5"/>
    <s v="Valid"/>
    <s v="Match"/>
    <n v="74850"/>
    <n v="3742.5"/>
    <n v="71107.5"/>
    <n v="40997.74"/>
    <n v="30109.759999999998"/>
    <b v="0"/>
    <n v="0"/>
    <s v="COD"/>
    <s v="Neha"/>
    <s v="Google"/>
    <n v="5"/>
    <x v="9"/>
    <x v="0"/>
  </r>
  <r>
    <s v="ZAR-10576"/>
    <d v="2025-11-21T00:00:00"/>
    <s v="4 AM - 8 AM"/>
    <x v="261"/>
    <s v="Sambalpur"/>
    <s v="Women"/>
    <s v="Lehenga"/>
    <s v="Zaree Studio"/>
    <s v="Festive"/>
    <s v="Store"/>
    <n v="1"/>
    <n v="39850"/>
    <s v="11-20%"/>
    <n v="20"/>
    <s v="Valid"/>
    <s v="Match"/>
    <n v="39850"/>
    <n v="7970"/>
    <n v="31880"/>
    <n v="23408.61"/>
    <n v="8471.39"/>
    <b v="0"/>
    <n v="0"/>
    <s v="Cash"/>
    <s v="Ananya"/>
    <s v="Referral"/>
    <n v="5"/>
    <x v="5"/>
    <x v="3"/>
  </r>
  <r>
    <s v="ZAR-10692"/>
    <d v="2025-10-30T00:00:00"/>
    <s v="4 PM - 8 PM"/>
    <x v="597"/>
    <s v="Bhubaneshwar"/>
    <s v="Women"/>
    <s v="Kurti"/>
    <s v="Local Artisan"/>
    <s v="Reception"/>
    <s v="Phone"/>
    <n v="1"/>
    <n v="3400"/>
    <s v="21-30%"/>
    <n v="30"/>
    <s v="Valid"/>
    <s v="Match"/>
    <n v="3400"/>
    <n v="1020"/>
    <n v="2380"/>
    <n v="2439.9699999999998"/>
    <n v="-59.97"/>
    <b v="0"/>
    <n v="0"/>
    <s v="Net Banking"/>
    <s v="Karan"/>
    <s v="Google"/>
    <n v="4"/>
    <x v="3"/>
    <x v="4"/>
  </r>
  <r>
    <s v="ZAR-10462"/>
    <d v="2025-03-02T00:00:00"/>
    <s v="4 AM - 8 AM"/>
    <x v="36"/>
    <s v="Sambalpur"/>
    <s v="Women"/>
    <s v="Lehenga"/>
    <s v="Designer Collection"/>
    <s v="Festive"/>
    <s v="Store"/>
    <n v="1"/>
    <n v="38300"/>
    <s v="0%"/>
    <n v="0"/>
    <s v="Valid"/>
    <s v="Match"/>
    <n v="38300"/>
    <n v="0"/>
    <n v="38300"/>
    <n v="21323.53"/>
    <n v="16976.47"/>
    <b v="0"/>
    <n v="0"/>
    <s v="UPI"/>
    <s v="Rohit"/>
    <s v="WhatsApp"/>
    <n v="4.5"/>
    <x v="9"/>
    <x v="0"/>
  </r>
  <r>
    <s v="ZAR-10555"/>
    <d v="2025-07-27T00:00:00"/>
    <s v="8 PM - 12 AM"/>
    <x v="484"/>
    <s v="Rourkela"/>
    <s v="Women"/>
    <s v="Gown"/>
    <s v="Aurelia"/>
    <s v="Puja"/>
    <s v="Instagram"/>
    <n v="3"/>
    <n v="3300"/>
    <s v="21-30%"/>
    <n v="30"/>
    <s v="Valid"/>
    <s v="Match"/>
    <n v="9900"/>
    <n v="2970"/>
    <n v="6930"/>
    <n v="6318.7"/>
    <n v="611.29999999999995"/>
    <b v="0"/>
    <n v="0"/>
    <s v="UPI"/>
    <s v="Rohit"/>
    <s v="Repeat Customer"/>
    <n v="2.5"/>
    <x v="0"/>
    <x v="0"/>
  </r>
  <r>
    <s v="ZAR-10886"/>
    <d v="2025-10-06T00:00:00"/>
    <s v="12 AM - 4 AM"/>
    <x v="598"/>
    <s v="Bhubaneshwar"/>
    <s v="Men"/>
    <s v="Indo-Western"/>
    <s v="Aurelia"/>
    <s v="Casual"/>
    <s v="Instagram"/>
    <n v="1"/>
    <n v="5150"/>
    <s v="0%"/>
    <n v="0"/>
    <s v="Valid"/>
    <s v="Match"/>
    <n v="5150"/>
    <n v="0"/>
    <n v="5150"/>
    <n v="3800.24"/>
    <n v="1349.76"/>
    <b v="0"/>
    <n v="0"/>
    <s v="Cash"/>
    <s v="Sanjay"/>
    <s v="Instagram"/>
    <n v="5"/>
    <x v="3"/>
    <x v="2"/>
  </r>
  <r>
    <s v="ZAR-10208"/>
    <d v="2025-03-17T00:00:00"/>
    <s v="4 PM - 8 PM"/>
    <x v="599"/>
    <s v="Berhampur"/>
    <s v="Women"/>
    <s v="Bridal Lehenga"/>
    <s v="Rangriti"/>
    <s v="Wedding"/>
    <s v="WhatsApp"/>
    <n v="2"/>
    <n v="102150"/>
    <s v="1-10%"/>
    <n v="5"/>
    <s v="Valid"/>
    <s v="Match"/>
    <n v="204300"/>
    <n v="10215"/>
    <n v="194085"/>
    <n v="124863.53"/>
    <n v="69221.47"/>
    <b v="0"/>
    <n v="0"/>
    <s v="Cash"/>
    <s v="Unknown"/>
    <s v="Repeat Customer"/>
    <n v="4.5"/>
    <x v="9"/>
    <x v="2"/>
  </r>
  <r>
    <s v="ZAR-10394"/>
    <d v="2025-03-04T00:00:00"/>
    <s v="12 AM - 4 AM"/>
    <x v="600"/>
    <s v="Rourkela"/>
    <s v="Men"/>
    <s v="Nehru Jacket"/>
    <s v="Zaree Studio"/>
    <s v="Wedding"/>
    <s v="WhatsApp"/>
    <n v="1"/>
    <n v="2650"/>
    <s v="1-10%"/>
    <n v="5"/>
    <s v="Valid"/>
    <s v="Match"/>
    <n v="2650"/>
    <n v="132.5"/>
    <n v="2517.5"/>
    <n v="1689.11"/>
    <n v="828.39"/>
    <b v="0"/>
    <n v="0"/>
    <s v="COD"/>
    <s v="Neha"/>
    <s v="Referral"/>
    <n v="3.5"/>
    <x v="9"/>
    <x v="6"/>
  </r>
  <r>
    <s v="ZAR-10796"/>
    <d v="2025-02-12T00:00:00"/>
    <s v="4 PM - 8 PM"/>
    <x v="601"/>
    <s v="Rourkela"/>
    <s v="Women"/>
    <s v="Salwar Suit"/>
    <s v="Manyavar"/>
    <s v="Puja"/>
    <s v="Website"/>
    <n v="1"/>
    <n v="2700"/>
    <s v="11-20%"/>
    <n v="15"/>
    <s v="Valid"/>
    <s v="Match"/>
    <n v="2700"/>
    <n v="405"/>
    <n v="2295"/>
    <n v="1663.08"/>
    <n v="631.91999999999996"/>
    <b v="0"/>
    <n v="0"/>
    <s v="Card"/>
    <s v="Meera"/>
    <s v="Instagram"/>
    <n v="3.5"/>
    <x v="4"/>
    <x v="1"/>
  </r>
  <r>
    <s v="ZAR-10399"/>
    <d v="2025-06-21T00:00:00"/>
    <s v="12 AM - 4 AM"/>
    <x v="602"/>
    <s v="Berhampur"/>
    <s v="Women"/>
    <s v="Lehenga"/>
    <s v="Local Artisan"/>
    <s v="Festive"/>
    <s v="WhatsApp"/>
    <n v="1"/>
    <n v="12450"/>
    <s v="21-30%"/>
    <n v="30"/>
    <s v="Valid"/>
    <s v="Match"/>
    <n v="12450"/>
    <n v="3735"/>
    <n v="8715"/>
    <n v="7912.8"/>
    <n v="802.2"/>
    <b v="0"/>
    <n v="0"/>
    <s v="Card"/>
    <s v="Neha"/>
    <s v="Google"/>
    <n v="5"/>
    <x v="2"/>
    <x v="5"/>
  </r>
  <r>
    <s v="ZAR-10768"/>
    <d v="2025-04-10T00:00:00"/>
    <s v="4 PM - 8 PM"/>
    <x v="231"/>
    <s v="Balasore"/>
    <s v="Women"/>
    <s v="Dupatta"/>
    <s v="Local Artisan"/>
    <s v="Wedding Guest"/>
    <s v="Instagram"/>
    <n v="1"/>
    <n v="4400"/>
    <s v="11-20%"/>
    <n v="15"/>
    <s v="Valid"/>
    <s v="Match"/>
    <n v="4400"/>
    <n v="660"/>
    <n v="3740"/>
    <n v="3040.52"/>
    <n v="699.48"/>
    <b v="0"/>
    <n v="0"/>
    <s v="COD"/>
    <s v="Priya"/>
    <s v="Google"/>
    <n v="4"/>
    <x v="7"/>
    <x v="4"/>
  </r>
  <r>
    <s v="ZAR-10856"/>
    <d v="2025-04-27T00:00:00"/>
    <s v="4 AM - 8 AM"/>
    <x v="0"/>
    <s v="Balasore"/>
    <s v="Kids"/>
    <s v="Kids Lehenga"/>
    <s v="Biba"/>
    <s v="Family Function"/>
    <s v="Website"/>
    <n v="1"/>
    <n v="9200"/>
    <s v="1-10%"/>
    <n v="5"/>
    <s v="Valid"/>
    <s v="Match"/>
    <n v="9200"/>
    <n v="460"/>
    <n v="8740"/>
    <n v="6501.6"/>
    <n v="2238.4"/>
    <b v="0"/>
    <n v="0"/>
    <s v="Card"/>
    <s v="Sanjay"/>
    <s v="Referral"/>
    <n v="4.5"/>
    <x v="7"/>
    <x v="0"/>
  </r>
  <r>
    <s v="ZAR-10219"/>
    <d v="2025-12-02T00:00:00"/>
    <s v="12 AM - 4 AM"/>
    <x v="72"/>
    <s v="Sambalpur"/>
    <s v="Men"/>
    <s v="Dhoti Set"/>
    <s v="Biba"/>
    <s v="Family Function"/>
    <s v="Store"/>
    <n v="1"/>
    <n v="5750"/>
    <s v="21-30%"/>
    <n v="25"/>
    <s v="Valid"/>
    <s v="Match"/>
    <n v="5750"/>
    <n v="1437.5"/>
    <n v="4312.5"/>
    <n v="4127.9799999999996"/>
    <n v="184.52"/>
    <b v="0"/>
    <n v="0"/>
    <s v="Net Banking"/>
    <s v="Meera"/>
    <s v="Instagram"/>
    <n v="4"/>
    <x v="1"/>
    <x v="6"/>
  </r>
  <r>
    <s v="ZAR-10006"/>
    <d v="2025-12-17T00:00:00"/>
    <s v="12 AM - 4 AM"/>
    <x v="31"/>
    <s v="Puri"/>
    <s v="Women"/>
    <s v="Dupatta"/>
    <s v="Rangriti"/>
    <s v="Wedding Guest"/>
    <s v="WhatsApp"/>
    <n v="3"/>
    <n v="1700"/>
    <s v="21-30%"/>
    <n v="25"/>
    <s v="Valid"/>
    <s v="Match"/>
    <n v="5100"/>
    <n v="1275"/>
    <n v="3825"/>
    <n v="3276.9"/>
    <n v="548.1"/>
    <b v="0"/>
    <n v="0"/>
    <s v="Card"/>
    <s v="Neha"/>
    <s v="WhatsApp"/>
    <n v="4"/>
    <x v="1"/>
    <x v="1"/>
  </r>
  <r>
    <s v="ZAR-10770"/>
    <d v="2025-12-11T00:00:00"/>
    <s v="8 AM - 12 PM"/>
    <x v="578"/>
    <s v="Puri"/>
    <s v="Kids"/>
    <s v="Kids Sherwani"/>
    <s v="Rangriti"/>
    <s v="Reception"/>
    <s v="Store"/>
    <n v="1"/>
    <n v="3800"/>
    <s v="0%"/>
    <n v="0"/>
    <s v="Valid"/>
    <s v="Match"/>
    <n v="3800"/>
    <n v="0"/>
    <n v="3800"/>
    <n v="2611.73"/>
    <n v="1188.27"/>
    <b v="0"/>
    <n v="0"/>
    <s v="Card"/>
    <s v="Rohit"/>
    <s v="Referral"/>
    <n v="3.5"/>
    <x v="1"/>
    <x v="4"/>
  </r>
  <r>
    <s v="ZAR-10644"/>
    <d v="2025-12-21T00:00:00"/>
    <s v="8 AM - 12 PM"/>
    <x v="603"/>
    <s v="Cuttack"/>
    <s v="Men"/>
    <s v="Indo-Western"/>
    <s v="Zaree Studio"/>
    <s v="Wedding"/>
    <s v="Store"/>
    <n v="1"/>
    <n v="9500"/>
    <s v="21-30%"/>
    <n v="25"/>
    <s v="Valid"/>
    <s v="Match"/>
    <n v="9500"/>
    <n v="2375"/>
    <n v="7125"/>
    <n v="6662.3"/>
    <n v="462.7"/>
    <b v="0"/>
    <n v="0"/>
    <s v="UPI"/>
    <s v="Rohit"/>
    <s v="Repeat Customer"/>
    <n v="5"/>
    <x v="1"/>
    <x v="0"/>
  </r>
  <r>
    <s v="ZAR-10905"/>
    <d v="2025-12-04T00:00:00"/>
    <s v="4 AM - 8 AM"/>
    <x v="272"/>
    <s v="Berhampur"/>
    <s v="Men"/>
    <s v="Dhoti Set"/>
    <s v="FabIndia"/>
    <s v="Wedding"/>
    <s v="Website"/>
    <n v="1"/>
    <n v="5300"/>
    <s v="11-20%"/>
    <n v="20"/>
    <s v="Valid"/>
    <s v="Match"/>
    <n v="5300"/>
    <n v="1060"/>
    <n v="4240"/>
    <n v="3250.21"/>
    <n v="989.79"/>
    <b v="0"/>
    <n v="0"/>
    <s v="COD"/>
    <s v="Neha"/>
    <s v="Referral"/>
    <n v="3.5"/>
    <x v="1"/>
    <x v="4"/>
  </r>
  <r>
    <s v="ZAR-10614"/>
    <d v="2025-09-13T00:00:00"/>
    <s v="8 AM - 12 PM"/>
    <x v="216"/>
    <s v="Puri"/>
    <s v="Men"/>
    <s v="Shirt"/>
    <s v="Manyavar"/>
    <s v="Festive"/>
    <s v="Phone"/>
    <n v="1"/>
    <n v="3150"/>
    <s v="11-20%"/>
    <n v="15"/>
    <s v="Valid"/>
    <s v="Match"/>
    <n v="3150"/>
    <n v="472.5"/>
    <n v="2677.5"/>
    <n v="2285.14"/>
    <n v="392.36"/>
    <b v="0"/>
    <n v="0"/>
    <s v="Net Banking"/>
    <s v="Unknown"/>
    <s v="Repeat Customer"/>
    <n v="4"/>
    <x v="11"/>
    <x v="5"/>
  </r>
  <r>
    <s v=" ZAR-10740 "/>
    <d v="2025-06-13T00:00:00"/>
    <s v="4 AM - 8 AM"/>
    <x v="383"/>
    <s v="Berhampur"/>
    <s v="Women"/>
    <s v="Lehenga"/>
    <s v="Local Artisan"/>
    <s v="Festive"/>
    <s v="Store"/>
    <n v="1"/>
    <n v="31900"/>
    <s v="21-30%"/>
    <n v="30"/>
    <s v="Valid"/>
    <s v="Match"/>
    <n v="31900"/>
    <n v="9570"/>
    <n v="22330"/>
    <n v="16673.79"/>
    <n v="5656.21"/>
    <b v="0"/>
    <n v="0"/>
    <s v="Net Banking"/>
    <s v="Meera"/>
    <s v="Instagram"/>
    <s v="Not Rated"/>
    <x v="2"/>
    <x v="3"/>
  </r>
  <r>
    <s v="ZAR-10548"/>
    <d v="2025-04-21T00:00:00"/>
    <s v="12 PM - 4 PM"/>
    <x v="604"/>
    <s v="Balasore"/>
    <s v="Women"/>
    <s v="Lehenga"/>
    <s v="Aurelia"/>
    <s v="Engagement"/>
    <s v="Phone"/>
    <n v="3"/>
    <n v="17400"/>
    <s v="11-20%"/>
    <n v="20"/>
    <s v="Valid"/>
    <s v="Match"/>
    <n v="52200"/>
    <n v="10440"/>
    <n v="41760"/>
    <n v="32636.6"/>
    <n v="9123.4"/>
    <b v="0"/>
    <n v="0"/>
    <s v="Card"/>
    <s v="Karan"/>
    <s v="WhatsApp"/>
    <n v="3.5"/>
    <x v="7"/>
    <x v="2"/>
  </r>
  <r>
    <s v="ZAR-10727"/>
    <d v="2025-08-26T00:00:00"/>
    <s v="12 AM - 4 AM"/>
    <x v="605"/>
    <s v="Bhubaneshwar"/>
    <s v="Women"/>
    <s v="Gown"/>
    <s v="Zaree Studio"/>
    <s v="Office"/>
    <s v="Store"/>
    <n v="3"/>
    <n v="8350"/>
    <s v="0%"/>
    <n v="0"/>
    <s v="Valid"/>
    <s v="Match"/>
    <n v="25050"/>
    <n v="0"/>
    <n v="25050"/>
    <n v="16146.27"/>
    <n v="8903.73"/>
    <b v="0"/>
    <n v="0"/>
    <s v="Card"/>
    <s v="Meera"/>
    <s v="Instagram"/>
    <n v="4.5"/>
    <x v="6"/>
    <x v="6"/>
  </r>
  <r>
    <s v="ZAR-10685"/>
    <d v="2025-11-25T00:00:00"/>
    <s v="12 PM - 4 PM"/>
    <x v="525"/>
    <s v="Sambalpur"/>
    <s v="Women"/>
    <s v="Gown"/>
    <s v="FabIndia"/>
    <s v="Office"/>
    <s v="Store"/>
    <n v="3"/>
    <n v="9650"/>
    <s v="21-30%"/>
    <n v="25"/>
    <s v="Valid"/>
    <s v="Match"/>
    <n v="28950"/>
    <n v="7237.5"/>
    <n v="21712.5"/>
    <n v="17703.310000000001"/>
    <n v="4009.19"/>
    <b v="0"/>
    <n v="0"/>
    <s v="Net Banking"/>
    <s v="Priya"/>
    <s v="Repeat Customer"/>
    <n v="4"/>
    <x v="5"/>
    <x v="6"/>
  </r>
  <r>
    <s v="ZAR-10100"/>
    <d v="2025-08-17T00:00:00"/>
    <s v="12 AM - 4 AM"/>
    <x v="606"/>
    <s v="Puri"/>
    <s v="Women"/>
    <s v="Blouse"/>
    <s v="Zaree Studio"/>
    <s v="Casual"/>
    <s v="Website"/>
    <n v="1"/>
    <n v="4600"/>
    <s v="21-30%"/>
    <n v="25"/>
    <s v="Valid"/>
    <s v="Match"/>
    <n v="4600"/>
    <n v="1150"/>
    <n v="3450"/>
    <n v="2841.24"/>
    <n v="608.76"/>
    <b v="0"/>
    <n v="0"/>
    <s v="UPI"/>
    <s v="Karan"/>
    <s v="WhatsApp"/>
    <n v="4"/>
    <x v="6"/>
    <x v="0"/>
  </r>
  <r>
    <s v="ZAR-10806"/>
    <d v="2025-08-14T00:00:00"/>
    <s v="12 PM - 4 PM"/>
    <x v="607"/>
    <s v="Puri"/>
    <s v="Kids"/>
    <s v="Kids Gown"/>
    <s v="Zaree Studio"/>
    <s v="Family Function"/>
    <s v="Store"/>
    <n v="2"/>
    <n v="4300"/>
    <s v="0%"/>
    <n v="0"/>
    <s v="Valid"/>
    <s v="Match"/>
    <n v="8600"/>
    <n v="0"/>
    <n v="8600"/>
    <n v="5129.1000000000004"/>
    <n v="3470.9"/>
    <b v="0"/>
    <n v="0"/>
    <s v="Card"/>
    <s v="Neha"/>
    <s v="Walk-in"/>
    <n v="5"/>
    <x v="6"/>
    <x v="4"/>
  </r>
  <r>
    <s v="ZAR-10729"/>
    <d v="2025-04-13T00:00:00"/>
    <s v="4 AM - 8 AM"/>
    <x v="608"/>
    <s v="Sambalpur"/>
    <s v="Women"/>
    <s v="Saree"/>
    <s v="FabIndia"/>
    <s v="Casual"/>
    <s v="Instagram"/>
    <n v="1"/>
    <n v="20550"/>
    <s v="21-30%"/>
    <n v="30"/>
    <s v="Valid"/>
    <s v="Match"/>
    <n v="20550"/>
    <n v="6165"/>
    <n v="14385"/>
    <n v="11537.06"/>
    <n v="2847.94"/>
    <b v="0"/>
    <n v="0"/>
    <s v="COD"/>
    <s v="Sanjay"/>
    <s v="WhatsApp"/>
    <n v="4"/>
    <x v="7"/>
    <x v="0"/>
  </r>
  <r>
    <s v="ZAR-10575"/>
    <d v="2025-10-30T00:00:00"/>
    <s v="8 PM - 12 AM"/>
    <x v="49"/>
    <s v="Cuttack"/>
    <s v="Men"/>
    <s v="Sherwani"/>
    <s v="Aurelia"/>
    <s v="Wedding"/>
    <s v="Store"/>
    <n v="1"/>
    <n v="33650"/>
    <s v="1-10%"/>
    <n v="5"/>
    <s v="Valid"/>
    <s v="Match"/>
    <n v="33650"/>
    <n v="1682.5"/>
    <n v="31967.5"/>
    <n v="18894.72"/>
    <n v="13072.78"/>
    <b v="0"/>
    <n v="0"/>
    <s v="Card"/>
    <s v="Sanjay"/>
    <s v="Instagram"/>
    <n v="4"/>
    <x v="3"/>
    <x v="4"/>
  </r>
  <r>
    <s v="ZAR-10408"/>
    <d v="2025-06-29T00:00:00"/>
    <s v="12 AM - 4 AM"/>
    <x v="609"/>
    <s v="Cuttack"/>
    <s v="Women"/>
    <s v="Bridal Lehenga"/>
    <s v="Manyavar"/>
    <s v="Engagement"/>
    <s v="Website"/>
    <n v="1"/>
    <n v="98750"/>
    <s v="1-10%"/>
    <n v="10"/>
    <s v="Valid"/>
    <s v="Match"/>
    <n v="98750"/>
    <n v="9875"/>
    <n v="88875"/>
    <n v="55364.39"/>
    <n v="33510.61"/>
    <b v="0"/>
    <n v="0"/>
    <s v="COD"/>
    <s v="Meera"/>
    <s v="WhatsApp"/>
    <n v="4"/>
    <x v="2"/>
    <x v="0"/>
  </r>
  <r>
    <s v="ZAR-10504"/>
    <d v="2025-08-06T00:00:00"/>
    <s v="12 PM - 4 PM"/>
    <x v="11"/>
    <s v="Cuttack"/>
    <s v="Women"/>
    <s v="Bridal Lehenga"/>
    <s v="Rangriti"/>
    <s v="Wedding"/>
    <s v="Phone"/>
    <n v="2"/>
    <n v="40150"/>
    <s v="11-20%"/>
    <n v="15"/>
    <s v="Valid"/>
    <s v="Match"/>
    <n v="80300"/>
    <n v="12045"/>
    <n v="68255"/>
    <n v="45617.68"/>
    <n v="22637.32"/>
    <b v="0"/>
    <n v="0"/>
    <s v="Cash"/>
    <s v="Sanjay"/>
    <s v="Repeat Customer"/>
    <n v="3.5"/>
    <x v="6"/>
    <x v="1"/>
  </r>
  <r>
    <s v="ZAR-10049"/>
    <d v="2025-10-22T00:00:00"/>
    <s v="4 PM - 8 PM"/>
    <x v="610"/>
    <s v="Puri"/>
    <s v="Kids"/>
    <s v="Kids Saree"/>
    <s v="Designer Collection"/>
    <s v="Festive"/>
    <s v="Instagram"/>
    <n v="1"/>
    <n v="2450"/>
    <s v="1-10%"/>
    <n v="5"/>
    <s v="Valid"/>
    <s v="Match"/>
    <n v="2450"/>
    <n v="122.5"/>
    <n v="2327.5"/>
    <n v="1792.47"/>
    <n v="535.03"/>
    <b v="0"/>
    <n v="0"/>
    <s v="COD"/>
    <s v="Karan"/>
    <s v="Google"/>
    <n v="3.5"/>
    <x v="3"/>
    <x v="1"/>
  </r>
  <r>
    <s v="ZAR-10034"/>
    <d v="2025-01-14T00:00:00"/>
    <s v="12 AM - 4 AM"/>
    <x v="319"/>
    <s v="Rourkela"/>
    <s v="Kids"/>
    <s v="Kids Sherwani"/>
    <s v="Local Artisan"/>
    <s v="Wedding"/>
    <s v="Walk-in"/>
    <n v="3"/>
    <n v="4050"/>
    <s v="11-20%"/>
    <n v="20"/>
    <s v="Valid"/>
    <s v="Match"/>
    <n v="12150"/>
    <n v="2430"/>
    <n v="9720"/>
    <n v="7826.62"/>
    <n v="1893.38"/>
    <b v="0"/>
    <n v="0"/>
    <s v="Cash"/>
    <s v="Rohit"/>
    <s v="Google"/>
    <n v="4"/>
    <x v="10"/>
    <x v="6"/>
  </r>
  <r>
    <s v="ZAR-10781"/>
    <d v="2025-07-19T00:00:00"/>
    <s v="12 AM - 4 AM"/>
    <x v="611"/>
    <s v="Cuttack"/>
    <s v="Women"/>
    <s v="Dupatta"/>
    <s v="FabIndia"/>
    <s v="Festive"/>
    <s v="Store"/>
    <n v="1"/>
    <n v="4500"/>
    <s v="1-10%"/>
    <n v="10"/>
    <s v="Valid"/>
    <s v="Match"/>
    <n v="4500"/>
    <n v="450"/>
    <n v="4050"/>
    <n v="2346.29"/>
    <n v="1703.71"/>
    <b v="0"/>
    <n v="0"/>
    <s v="COD"/>
    <s v="Sanjay"/>
    <s v="WhatsApp"/>
    <n v="4.5"/>
    <x v="0"/>
    <x v="5"/>
  </r>
  <r>
    <s v="ZAR-10841"/>
    <d v="2025-05-06T00:00:00"/>
    <s v="4 AM - 8 AM"/>
    <x v="612"/>
    <s v="Cuttack"/>
    <s v="Women"/>
    <s v="Gown"/>
    <s v="FabIndia"/>
    <s v="Reception"/>
    <s v="Instagram"/>
    <n v="1"/>
    <s v="6600.0"/>
    <s v="21-30%"/>
    <n v="25"/>
    <s v="Valid"/>
    <s v="Match"/>
    <n v="6600"/>
    <n v="1650"/>
    <n v="4950"/>
    <n v="4201.47"/>
    <n v="748.53"/>
    <b v="0"/>
    <n v="0"/>
    <s v="Net Banking"/>
    <s v="Neha"/>
    <s v="Google"/>
    <n v="5"/>
    <x v="8"/>
    <x v="6"/>
  </r>
  <r>
    <s v="ZAR-10202"/>
    <d v="2025-07-29T00:00:00"/>
    <s v="8 PM - 12 AM"/>
    <x v="613"/>
    <s v="Balasore"/>
    <s v="Women"/>
    <s v="Dupatta"/>
    <s v="Biba"/>
    <s v="Reception"/>
    <s v="Phone"/>
    <n v="1"/>
    <n v="1200"/>
    <s v="1-10%"/>
    <n v="5"/>
    <s v="Valid"/>
    <s v="Match"/>
    <n v="1200"/>
    <n v="60"/>
    <n v="1140"/>
    <n v="881.24"/>
    <n v="258.76"/>
    <b v="0"/>
    <n v="0"/>
    <s v="Card"/>
    <s v="Ananya"/>
    <s v="Instagram"/>
    <n v="4"/>
    <x v="0"/>
    <x v="6"/>
  </r>
  <r>
    <s v="ZAR-10136"/>
    <d v="2025-08-26T00:00:00"/>
    <s v="12 AM - 4 AM"/>
    <x v="614"/>
    <s v="Rourkela"/>
    <s v="Men"/>
    <s v="Indo-Western"/>
    <s v="FabIndia"/>
    <s v="Casual"/>
    <s v="Phone"/>
    <n v="1"/>
    <n v="7350"/>
    <s v="21-30%"/>
    <n v="30"/>
    <s v="Valid"/>
    <s v="Match"/>
    <n v="7350"/>
    <n v="2205"/>
    <n v="5145"/>
    <n v="4966.1499999999996"/>
    <n v="178.85"/>
    <b v="0"/>
    <n v="0"/>
    <s v="UPI"/>
    <s v="Sanjay"/>
    <s v="Referral"/>
    <n v="3"/>
    <x v="6"/>
    <x v="6"/>
  </r>
  <r>
    <s v="ZAR-10029"/>
    <d v="2025-11-19T00:00:00"/>
    <s v="4 PM - 8 PM"/>
    <x v="615"/>
    <s v="Balasore"/>
    <s v="Women"/>
    <s v="Bridal Lehenga"/>
    <s v="Zaree Studio"/>
    <s v="Reception"/>
    <s v="Instagram"/>
    <n v="2"/>
    <n v="44200"/>
    <s v="11-20%"/>
    <n v="15"/>
    <s v="Valid"/>
    <s v="Match"/>
    <n v="88400"/>
    <n v="13260"/>
    <n v="75140"/>
    <n v="54028.05"/>
    <n v="21111.95"/>
    <b v="0"/>
    <n v="0"/>
    <s v="UPI"/>
    <s v="Meera"/>
    <s v="Google"/>
    <n v="3.5"/>
    <x v="5"/>
    <x v="1"/>
  </r>
  <r>
    <s v="ZAR-10888"/>
    <d v="2025-09-11T00:00:00"/>
    <s v="4 AM - 8 AM"/>
    <x v="616"/>
    <s v="Bhubaneshwar"/>
    <s v="Kids"/>
    <s v="Kids Kurta"/>
    <s v="Aurelia"/>
    <s v="Family Function"/>
    <s v="Instagram"/>
    <n v="3"/>
    <n v="2700"/>
    <s v="11-20%"/>
    <n v="20"/>
    <s v="Valid"/>
    <s v="Match"/>
    <n v="8100"/>
    <n v="1620"/>
    <n v="6480"/>
    <n v="5637.48"/>
    <n v="842.52"/>
    <b v="0"/>
    <n v="0"/>
    <s v="COD"/>
    <s v="Karan"/>
    <s v="Instagram"/>
    <n v="4"/>
    <x v="11"/>
    <x v="4"/>
  </r>
  <r>
    <s v="ZAR-10232"/>
    <d v="2025-12-19T00:00:00"/>
    <s v="8 PM - 12 AM"/>
    <x v="617"/>
    <s v="Bhubaneshwar"/>
    <s v="Women"/>
    <s v="Kurti"/>
    <s v="Local Artisan"/>
    <s v="Casual"/>
    <s v="Store"/>
    <n v="2"/>
    <n v="4400"/>
    <s v="1-10%"/>
    <n v="10"/>
    <s v="Valid"/>
    <s v="Match"/>
    <n v="8800"/>
    <n v="880"/>
    <n v="7920"/>
    <n v="5580.98"/>
    <n v="2339.02"/>
    <b v="0"/>
    <n v="0"/>
    <s v="Card"/>
    <s v="Meera"/>
    <s v="Repeat Customer"/>
    <n v="4"/>
    <x v="1"/>
    <x v="3"/>
  </r>
  <r>
    <s v="ZAR-10491"/>
    <d v="2025-08-10T00:00:00"/>
    <s v="12 AM - 4 AM"/>
    <x v="59"/>
    <s v="Puri"/>
    <s v="Women"/>
    <s v="Gown"/>
    <s v="Rangriti"/>
    <s v="Office"/>
    <s v="Instagram"/>
    <n v="2"/>
    <n v="6400"/>
    <s v="0%"/>
    <n v="0"/>
    <s v="Valid"/>
    <s v="Match"/>
    <n v="12800"/>
    <n v="0"/>
    <n v="12800"/>
    <n v="6734.49"/>
    <n v="6065.51"/>
    <b v="0"/>
    <n v="0"/>
    <s v="Net Banking"/>
    <s v="Rohit"/>
    <s v="Referral"/>
    <n v="3.5"/>
    <x v="6"/>
    <x v="0"/>
  </r>
  <r>
    <s v="ZAR-10774"/>
    <d v="2025-04-21T00:00:00"/>
    <s v="4 PM - 8 PM"/>
    <x v="378"/>
    <s v="Rourkela"/>
    <s v="Women"/>
    <s v="Dupatta"/>
    <s v="FabIndia"/>
    <s v="Festive"/>
    <s v="Website"/>
    <n v="1"/>
    <n v="4050"/>
    <s v="11-20%"/>
    <n v="20"/>
    <s v="Valid"/>
    <s v="Match"/>
    <n v="4050"/>
    <n v="810"/>
    <n v="3240"/>
    <n v="2764.46"/>
    <n v="475.54"/>
    <b v="0"/>
    <n v="0"/>
    <s v="Net Banking"/>
    <s v="Karan"/>
    <s v="Repeat Customer"/>
    <n v="3.5"/>
    <x v="7"/>
    <x v="2"/>
  </r>
  <r>
    <s v="ZAR-10380"/>
    <d v="2025-10-27T00:00:00"/>
    <s v="12 PM - 4 PM"/>
    <x v="618"/>
    <s v="Rourkela"/>
    <s v="Women"/>
    <s v="Dupatta"/>
    <s v="Local Artisan"/>
    <s v="Casual"/>
    <s v="Store"/>
    <n v="1"/>
    <n v="4400"/>
    <s v="1-10%"/>
    <n v="5"/>
    <s v="Valid"/>
    <s v="Match"/>
    <n v="4400"/>
    <n v="220"/>
    <n v="4180"/>
    <n v="2359.1799999999998"/>
    <n v="1820.82"/>
    <b v="0"/>
    <n v="0"/>
    <s v="Cash"/>
    <s v="Rohit"/>
    <s v="Google"/>
    <n v="3.5"/>
    <x v="3"/>
    <x v="2"/>
  </r>
  <r>
    <s v="ZAR-10290"/>
    <d v="2025-01-06T00:00:00"/>
    <s v="12 AM - 4 AM"/>
    <x v="619"/>
    <s v="Puri"/>
    <s v="Women"/>
    <s v="Lehenga"/>
    <s v="Zaree Studio"/>
    <s v="Engagement"/>
    <s v="WhatsApp"/>
    <n v="1"/>
    <n v="23800"/>
    <s v="1-10%"/>
    <n v="10"/>
    <s v="Valid"/>
    <s v="Match"/>
    <n v="23800"/>
    <n v="2380"/>
    <n v="21420"/>
    <n v="13191.34"/>
    <n v="8228.66"/>
    <b v="0"/>
    <n v="0"/>
    <s v="Net Banking"/>
    <s v="Meera"/>
    <s v="Google"/>
    <n v="4"/>
    <x v="10"/>
    <x v="2"/>
  </r>
  <r>
    <s v="ZAR-10420"/>
    <d v="2025-05-17T00:00:00"/>
    <s v="12 AM - 4 AM"/>
    <x v="620"/>
    <s v="Rourkela"/>
    <s v="Women"/>
    <s v="Blouse"/>
    <s v="Local Artisan"/>
    <s v="Casual"/>
    <s v="Instagram"/>
    <n v="1"/>
    <n v="4900"/>
    <s v="11-20%"/>
    <n v="20"/>
    <s v="Valid"/>
    <s v="Match"/>
    <n v="4900"/>
    <n v="980"/>
    <n v="3920"/>
    <n v="3519.72"/>
    <n v="400.28"/>
    <b v="0"/>
    <n v="0"/>
    <s v="Cash"/>
    <s v="Neha"/>
    <s v="Instagram"/>
    <n v="4.5"/>
    <x v="8"/>
    <x v="5"/>
  </r>
  <r>
    <s v="ZAR-10676"/>
    <d v="2025-05-17T00:00:00"/>
    <s v="8 AM - 12 PM"/>
    <x v="621"/>
    <s v="Berhampur"/>
    <s v="Women"/>
    <s v="Gown"/>
    <s v="Designer Collection"/>
    <s v="Casual"/>
    <s v="Store"/>
    <n v="1"/>
    <n v="12250"/>
    <s v="21-30%"/>
    <n v="25"/>
    <s v="Valid"/>
    <s v="Match"/>
    <n v="12250"/>
    <n v="3062.5"/>
    <n v="9187.5"/>
    <n v="7028.13"/>
    <n v="2159.37"/>
    <b v="0"/>
    <n v="0"/>
    <s v="Cash"/>
    <s v="Ananya"/>
    <s v="Walk-in"/>
    <n v="5"/>
    <x v="8"/>
    <x v="5"/>
  </r>
  <r>
    <s v="ZAR-10393"/>
    <d v="2025-12-08T00:00:00"/>
    <s v="4 AM - 8 AM"/>
    <x v="622"/>
    <s v="Cuttack"/>
    <s v="Men"/>
    <s v="Nehru Jacket"/>
    <s v="Aurelia"/>
    <s v="Casual"/>
    <s v="Store"/>
    <n v="1"/>
    <n v="2850"/>
    <s v="21-30%"/>
    <n v="25"/>
    <s v="Valid"/>
    <s v="Match"/>
    <n v="2850"/>
    <n v="712.5"/>
    <n v="2137.5"/>
    <n v="1916.42"/>
    <n v="221.08"/>
    <b v="0"/>
    <n v="0"/>
    <s v="COD"/>
    <s v="Karan"/>
    <s v="Instagram"/>
    <n v="3"/>
    <x v="1"/>
    <x v="2"/>
  </r>
  <r>
    <s v="ZAR-10594"/>
    <d v="2025-12-01T00:00:00"/>
    <s v="4 AM - 8 AM"/>
    <x v="623"/>
    <s v="Rourkela"/>
    <s v="Men"/>
    <s v="Indo-Western"/>
    <s v="Aurelia"/>
    <s v="Family Function"/>
    <s v="Store"/>
    <n v="2"/>
    <n v="12400"/>
    <s v="1-10%"/>
    <n v="5"/>
    <s v="Valid"/>
    <s v="Match"/>
    <n v="24800"/>
    <n v="1240"/>
    <n v="23560"/>
    <n v="17272.48"/>
    <n v="6287.52"/>
    <b v="0"/>
    <n v="0"/>
    <s v="Net Banking"/>
    <s v="Ananya"/>
    <s v="Repeat Customer"/>
    <n v="4.5"/>
    <x v="1"/>
    <x v="2"/>
  </r>
  <r>
    <s v="ZAR-10500"/>
    <d v="2025-05-15T00:00:00"/>
    <s v="12 AM - 4 AM"/>
    <x v="412"/>
    <s v="Puri"/>
    <s v="Men"/>
    <s v="Nehru Jacket"/>
    <s v="Aurelia"/>
    <s v="Festive"/>
    <s v="Instagram"/>
    <n v="1"/>
    <n v="6650"/>
    <s v="1-10%"/>
    <n v="5"/>
    <s v="Valid"/>
    <s v="Match"/>
    <n v="6650"/>
    <n v="332.5"/>
    <n v="6317.5"/>
    <n v="3489.44"/>
    <n v="2828.06"/>
    <b v="0"/>
    <n v="0"/>
    <s v="Cash"/>
    <s v="Sanjay"/>
    <s v="Walk-in"/>
    <n v="4"/>
    <x v="8"/>
    <x v="4"/>
  </r>
  <r>
    <s v="ZAR-10140"/>
    <d v="2025-07-14T00:00:00"/>
    <s v="4 PM - 8 PM"/>
    <x v="624"/>
    <s v="Cuttack"/>
    <s v="Kids"/>
    <s v="Kids Sherwani"/>
    <s v="Designer Collection"/>
    <s v="Engagement"/>
    <s v="Store"/>
    <n v="1"/>
    <n v="4800"/>
    <s v="1-10%"/>
    <n v="5"/>
    <s v="Valid"/>
    <s v="Match"/>
    <n v="4800"/>
    <n v="240"/>
    <n v="4560"/>
    <n v="2844.34"/>
    <n v="1715.66"/>
    <b v="0"/>
    <n v="0"/>
    <s v="Net Banking"/>
    <s v="Sanjay"/>
    <s v="Walk-in"/>
    <n v="4"/>
    <x v="0"/>
    <x v="2"/>
  </r>
  <r>
    <s v="ZAR-10064"/>
    <d v="2025-02-08T00:00:00"/>
    <s v="4 AM - 8 AM"/>
    <x v="297"/>
    <s v="Cuttack"/>
    <s v="Kids"/>
    <s v="Kids Saree"/>
    <s v="FabIndia"/>
    <s v="Family Function"/>
    <s v="Website"/>
    <n v="1"/>
    <n v="2850"/>
    <s v="0%"/>
    <n v="0"/>
    <s v="Valid"/>
    <s v="Match"/>
    <n v="2850"/>
    <n v="0"/>
    <n v="2850"/>
    <n v="1775.64"/>
    <n v="1074.3599999999999"/>
    <b v="0"/>
    <n v="0"/>
    <s v="UPI"/>
    <s v="Meera"/>
    <s v="Google"/>
    <n v="4.5"/>
    <x v="4"/>
    <x v="5"/>
  </r>
  <r>
    <s v="ZAR-10473"/>
    <d v="2025-06-06T00:00:00"/>
    <s v="8 AM - 12 PM"/>
    <x v="29"/>
    <s v="Sambalpur"/>
    <s v="Women"/>
    <s v="Gown"/>
    <s v="Local Artisan"/>
    <s v="Festive"/>
    <s v="Store"/>
    <n v="1"/>
    <n v="9650"/>
    <s v="30%+"/>
    <s v="5"/>
    <s v="Invalid Discount"/>
    <s v="Match"/>
    <n v="9650"/>
    <n v="482.5"/>
    <n v="9167.5"/>
    <n v="5267.97"/>
    <n v="3899.53"/>
    <b v="0"/>
    <n v="0"/>
    <s v="UPI"/>
    <s v="Priya"/>
    <s v="Referral"/>
    <n v="4.5"/>
    <x v="2"/>
    <x v="3"/>
  </r>
  <r>
    <s v="ZAR-10649"/>
    <d v="2025-08-19T00:00:00"/>
    <s v="4 PM - 8 PM"/>
    <x v="601"/>
    <s v="Sambalpur "/>
    <s v="Women"/>
    <s v="Dupatta"/>
    <s v="Biba"/>
    <s v="Office"/>
    <s v="Website"/>
    <n v="4"/>
    <n v="3350"/>
    <s v="21-30%"/>
    <n v="25"/>
    <s v="Valid"/>
    <s v="Match"/>
    <n v="13400"/>
    <n v="3350"/>
    <n v="10050"/>
    <n v="8969.11"/>
    <n v="1080.8900000000001"/>
    <b v="0"/>
    <n v="0"/>
    <s v="Cash"/>
    <s v="Rohit"/>
    <s v="Instagram"/>
    <n v="4"/>
    <x v="6"/>
    <x v="6"/>
  </r>
  <r>
    <s v="ZAR-10130"/>
    <d v="2025-10-24T00:00:00"/>
    <s v="12 AM - 4 AM"/>
    <x v="625"/>
    <s v="Rourkela"/>
    <s v="Men"/>
    <s v="Shirt"/>
    <s v="Designer Collection"/>
    <s v="Festive"/>
    <s v="Store"/>
    <n v="1"/>
    <n v="850"/>
    <s v="0%"/>
    <n v="0"/>
    <s v="Valid"/>
    <s v="Match"/>
    <n v="850"/>
    <n v="0"/>
    <n v="850"/>
    <n v="581.47"/>
    <n v="268.52999999999997"/>
    <b v="0"/>
    <n v="0"/>
    <s v="UPI"/>
    <s v="Priya"/>
    <s v="Google"/>
    <n v="3"/>
    <x v="3"/>
    <x v="3"/>
  </r>
  <r>
    <s v="ZAR-10986"/>
    <d v="2025-10-13T00:00:00"/>
    <s v="12 PM - 4 PM"/>
    <x v="10"/>
    <s v="Sambalpur"/>
    <s v="Men"/>
    <s v="Sherwani"/>
    <s v="Rangriti"/>
    <s v="Reception"/>
    <s v="WhatsApp"/>
    <n v="1"/>
    <n v="22450"/>
    <s v="11-20%"/>
    <n v="20"/>
    <s v="Valid"/>
    <s v="Match"/>
    <n v="22450"/>
    <n v="4490"/>
    <n v="17960"/>
    <n v="15901.91"/>
    <n v="2058.09"/>
    <b v="0"/>
    <n v="0"/>
    <s v="UPI"/>
    <s v="Priya"/>
    <s v="Instagram"/>
    <n v="3.5"/>
    <x v="3"/>
    <x v="2"/>
  </r>
  <r>
    <s v="ZAR-10522"/>
    <d v="2025-04-20T00:00:00"/>
    <s v="12 AM - 4 AM"/>
    <x v="626"/>
    <s v="Sambalpur"/>
    <s v="Men"/>
    <s v="Dhoti Set"/>
    <s v="Local Artisan"/>
    <s v="Wedding"/>
    <s v="Store"/>
    <n v="2"/>
    <n v="2900"/>
    <s v="11-20%"/>
    <n v="15"/>
    <s v="Valid"/>
    <s v="Match"/>
    <n v="5800"/>
    <n v="870"/>
    <n v="4930"/>
    <n v="3170.15"/>
    <n v="1759.85"/>
    <b v="0"/>
    <n v="0"/>
    <s v="Card"/>
    <s v="Sanjay"/>
    <s v="Walk-in"/>
    <n v="3"/>
    <x v="7"/>
    <x v="0"/>
  </r>
  <r>
    <s v="ZAR-10840"/>
    <d v="2025-04-27T00:00:00"/>
    <s v="12 PM - 4 PM"/>
    <x v="15"/>
    <s v="Puri"/>
    <s v="Women"/>
    <s v="Salwar Suit"/>
    <s v="Designer Collection"/>
    <s v="Casual"/>
    <s v="Instagram"/>
    <n v="1"/>
    <n v="2850"/>
    <s v="21-30%"/>
    <n v="25"/>
    <s v="Valid"/>
    <s v="Match"/>
    <n v="2850"/>
    <n v="712.5"/>
    <n v="2137.5"/>
    <n v="2033.64"/>
    <n v="103.86"/>
    <b v="0"/>
    <n v="0"/>
    <s v="Net Banking"/>
    <s v="Sanjay"/>
    <s v="Google"/>
    <n v="4"/>
    <x v="7"/>
    <x v="0"/>
  </r>
  <r>
    <s v="ZAR-10972"/>
    <d v="2025-12-19T00:00:00"/>
    <s v="8 AM - 12 PM"/>
    <x v="627"/>
    <s v="Cuttack"/>
    <s v="Men"/>
    <s v="Dhoti Set"/>
    <s v="Aurelia"/>
    <s v="Festive"/>
    <s v="Instagram"/>
    <n v="3"/>
    <n v="5700"/>
    <s v="1-10%"/>
    <n v="5"/>
    <s v="Valid"/>
    <s v="Match"/>
    <n v="17100"/>
    <n v="855"/>
    <n v="16245"/>
    <n v="9058.17"/>
    <n v="7186.83"/>
    <b v="0"/>
    <n v="0"/>
    <s v="Net Banking"/>
    <s v="Priya"/>
    <s v="Instagram"/>
    <n v="4"/>
    <x v="1"/>
    <x v="3"/>
  </r>
  <r>
    <s v="ZAR-10814"/>
    <d v="2025-02-09T00:00:00"/>
    <s v="8 PM - 12 AM"/>
    <x v="294"/>
    <s v="Sambalpur"/>
    <s v="Women"/>
    <s v="Gown"/>
    <s v="Manyavar"/>
    <s v="Festive"/>
    <s v="Website"/>
    <n v="3"/>
    <n v="13750"/>
    <s v="1-10%"/>
    <n v="10"/>
    <s v="Valid"/>
    <s v="Match"/>
    <n v="41250"/>
    <n v="4125"/>
    <n v="37125"/>
    <n v="26353.85"/>
    <n v="10771.15"/>
    <b v="0"/>
    <n v="0"/>
    <s v="UPI"/>
    <s v="Meera"/>
    <s v="Repeat Customer"/>
    <n v="4.5"/>
    <x v="4"/>
    <x v="0"/>
  </r>
  <r>
    <s v="ZAR-10016"/>
    <d v="2025-08-21T00:00:00"/>
    <s v="8 AM - 12 PM"/>
    <x v="628"/>
    <s v="Balasore"/>
    <s v="Kids"/>
    <s v="Kids Lehenga"/>
    <s v="Aurelia"/>
    <s v="Family Function"/>
    <s v="Phone"/>
    <n v="1"/>
    <n v="4050"/>
    <s v="11-20%"/>
    <n v="15"/>
    <s v="Valid"/>
    <s v="Match"/>
    <n v="4050"/>
    <n v="607.5"/>
    <n v="3442.5"/>
    <n v="2342.3000000000002"/>
    <n v="1100.2"/>
    <b v="0"/>
    <n v="0"/>
    <s v="Cash"/>
    <s v="Rohit"/>
    <s v="Instagram"/>
    <n v="3.5"/>
    <x v="6"/>
    <x v="4"/>
  </r>
  <r>
    <s v="ZAR-10158"/>
    <d v="2025-09-01T00:00:00"/>
    <s v="12 AM - 4 AM"/>
    <x v="629"/>
    <s v="Balasore"/>
    <s v="Women"/>
    <s v="Salwar Suit"/>
    <s v="Rangriti"/>
    <s v="Office"/>
    <s v="Instagram"/>
    <n v="2"/>
    <n v="4250"/>
    <s v="11-20%"/>
    <n v="20"/>
    <s v="Valid"/>
    <s v="Match"/>
    <n v="8500"/>
    <n v="1700"/>
    <n v="6800"/>
    <n v="5323.07"/>
    <n v="1476.93"/>
    <b v="0"/>
    <n v="0"/>
    <s v="UPI"/>
    <s v="Meera"/>
    <s v="Referral"/>
    <n v="3"/>
    <x v="11"/>
    <x v="2"/>
  </r>
  <r>
    <s v="ZAR-10042"/>
    <d v="2025-06-11T00:00:00"/>
    <s v="12 AM - 4 AM"/>
    <x v="5"/>
    <s v="Berhampur"/>
    <s v="Women"/>
    <s v="Blouse"/>
    <s v="Designer Collection"/>
    <s v="Festive"/>
    <s v="Phone"/>
    <n v="1"/>
    <n v="2550"/>
    <s v="0%"/>
    <n v="0"/>
    <s v="Valid"/>
    <s v="Match"/>
    <n v="2550"/>
    <n v="0"/>
    <n v="2550"/>
    <n v="1730.64"/>
    <n v="819.36"/>
    <b v="0"/>
    <n v="0"/>
    <s v="Cash"/>
    <s v="Karan"/>
    <s v="Repeat Customer"/>
    <n v="3.5"/>
    <x v="2"/>
    <x v="1"/>
  </r>
  <r>
    <s v="ZAR-10494"/>
    <d v="2025-11-30T00:00:00"/>
    <s v="8 PM - 12 AM"/>
    <x v="630"/>
    <s v="Bhubaneshwar"/>
    <s v="Women"/>
    <s v="Bridal Lehenga"/>
    <s v="Rangriti"/>
    <s v="Reception"/>
    <s v="Store"/>
    <n v="2"/>
    <n v="66500"/>
    <s v="30%+"/>
    <s v="20"/>
    <s v="Invalid Discount"/>
    <s v="Match"/>
    <n v="133000"/>
    <n v="26600"/>
    <n v="106400"/>
    <n v="72123.39"/>
    <n v="34276.61"/>
    <b v="0"/>
    <n v="0"/>
    <s v="UPI"/>
    <s v="Neha"/>
    <s v="WhatsApp"/>
    <n v="3"/>
    <x v="5"/>
    <x v="0"/>
  </r>
  <r>
    <s v="ZAR-10381"/>
    <d v="2025-12-21T00:00:00"/>
    <s v="4 PM - 8 PM"/>
    <x v="631"/>
    <s v="Sambalpur"/>
    <s v="Men"/>
    <s v="Shirt"/>
    <s v="Manyavar"/>
    <s v="Family Function"/>
    <s v="Store"/>
    <n v="1"/>
    <n v="1950"/>
    <s v="1-10%"/>
    <n v="10"/>
    <s v="Valid"/>
    <s v="Match"/>
    <n v="1950"/>
    <n v="195"/>
    <n v="1755"/>
    <n v="1068.57"/>
    <n v="686.43"/>
    <b v="0"/>
    <n v="0"/>
    <s v="Cash"/>
    <s v="Rohit"/>
    <s v="Referral"/>
    <n v="4"/>
    <x v="1"/>
    <x v="0"/>
  </r>
  <r>
    <s v="ZAR-10189"/>
    <d v="2025-08-25T00:00:00"/>
    <s v="12 AM - 4 AM"/>
    <x v="632"/>
    <s v="Puri"/>
    <s v="Women"/>
    <s v="Dupatta"/>
    <s v="Aurelia"/>
    <s v="Festive"/>
    <s v="Store"/>
    <n v="2"/>
    <n v="4350"/>
    <s v="11-20%"/>
    <n v="20"/>
    <s v="Valid"/>
    <s v="Match"/>
    <n v="8700"/>
    <n v="1740"/>
    <n v="6960"/>
    <n v="5002.22"/>
    <n v="1957.78"/>
    <b v="0"/>
    <n v="0"/>
    <s v="Net Banking"/>
    <s v="Priya"/>
    <s v="WhatsApp"/>
    <n v="3.5"/>
    <x v="6"/>
    <x v="2"/>
  </r>
  <r>
    <s v="ZAR-10765"/>
    <d v="2025-10-01T00:00:00"/>
    <s v="4 PM - 8 PM"/>
    <x v="633"/>
    <s v="Bhubaneshwar"/>
    <s v="Women"/>
    <s v="Lehenga"/>
    <s v="Biba"/>
    <s v="Reception"/>
    <s v="Phone"/>
    <n v="1"/>
    <n v="43200"/>
    <s v="1-10%"/>
    <n v="10"/>
    <s v="Valid"/>
    <s v="Match"/>
    <n v="43200"/>
    <n v="4320"/>
    <n v="38880"/>
    <n v="27722.42"/>
    <n v="11157.58"/>
    <b v="0"/>
    <n v="0"/>
    <s v="Card"/>
    <s v="Karan"/>
    <s v="WhatsApp"/>
    <n v="3.5"/>
    <x v="3"/>
    <x v="1"/>
  </r>
  <r>
    <s v="ZAR-10218"/>
    <d v="2025-09-01T00:00:00"/>
    <s v="8 PM - 12 AM"/>
    <x v="423"/>
    <s v="Berhampur"/>
    <s v="Women"/>
    <s v="Kurti"/>
    <s v="Designer Collection"/>
    <s v="Reception"/>
    <s v="Store"/>
    <n v="2"/>
    <n v="2000"/>
    <s v="21-30%"/>
    <n v="25"/>
    <s v="Valid"/>
    <s v="Match"/>
    <n v="4000"/>
    <n v="1000"/>
    <n v="3000"/>
    <n v="2550.48"/>
    <n v="449.52"/>
    <b v="0"/>
    <n v="0"/>
    <s v="Card"/>
    <s v="Karan"/>
    <s v="Referral"/>
    <n v="2.5"/>
    <x v="11"/>
    <x v="2"/>
  </r>
  <r>
    <s v="ZAR-10793"/>
    <d v="2025-11-21T00:00:00"/>
    <s v="12 AM - 4 AM"/>
    <x v="475"/>
    <s v="Puri"/>
    <s v="Men"/>
    <s v="Indo-Western"/>
    <s v="Designer Collection"/>
    <s v="Festive"/>
    <s v="Store"/>
    <n v="2"/>
    <n v="12850"/>
    <s v="1-10%"/>
    <n v="5"/>
    <s v="Valid"/>
    <s v="Match"/>
    <n v="25700"/>
    <n v="1285"/>
    <n v="24415"/>
    <n v="13444.98"/>
    <n v="10970.02"/>
    <b v="0"/>
    <n v="0"/>
    <s v="Net Banking"/>
    <s v="Meera"/>
    <s v="Referral"/>
    <n v="4.5"/>
    <x v="5"/>
    <x v="3"/>
  </r>
  <r>
    <s v="ZAR-10054"/>
    <d v="2025-02-05T00:00:00"/>
    <s v="8 AM - 12 PM"/>
    <x v="634"/>
    <s v="Puri"/>
    <s v="Women"/>
    <s v="Dupatta"/>
    <s v="Biba"/>
    <s v="Puja"/>
    <s v="Website"/>
    <n v="2"/>
    <n v="1350"/>
    <s v="21-30%"/>
    <n v="25"/>
    <s v="Valid"/>
    <s v="Match"/>
    <n v="2700"/>
    <n v="675"/>
    <n v="2025"/>
    <n v="1926.32"/>
    <n v="98.68"/>
    <b v="0"/>
    <n v="0"/>
    <s v="Cash"/>
    <s v="Meera"/>
    <s v="Repeat Customer"/>
    <n v="4"/>
    <x v="4"/>
    <x v="1"/>
  </r>
  <r>
    <s v="ZAR-10880"/>
    <d v="2025-02-27T00:00:00"/>
    <s v="12 AM - 4 AM"/>
    <x v="635"/>
    <s v="Cuttack"/>
    <s v="Men"/>
    <s v="Shirt"/>
    <s v="Zaree Studio"/>
    <s v="Wedding"/>
    <s v="Store"/>
    <n v="3"/>
    <n v="3350"/>
    <s v="11-20%"/>
    <n v="15"/>
    <s v="Valid"/>
    <s v="Match"/>
    <n v="10050"/>
    <n v="1507.5"/>
    <n v="8542.5"/>
    <n v="5612"/>
    <n v="2930.5"/>
    <b v="0"/>
    <n v="0"/>
    <s v="COD"/>
    <s v="Sanjay"/>
    <s v="Instagram"/>
    <n v="4"/>
    <x v="4"/>
    <x v="4"/>
  </r>
  <r>
    <s v="ZAR-10339"/>
    <d v="2025-12-30T00:00:00"/>
    <s v="12 AM - 4 AM"/>
    <x v="636"/>
    <s v="Rourkela"/>
    <s v="Women"/>
    <s v="Lehenga"/>
    <s v="Biba"/>
    <s v="Engagement"/>
    <s v="Store"/>
    <n v="2"/>
    <n v="39850"/>
    <s v="21-30%"/>
    <n v="25"/>
    <s v="Valid"/>
    <s v="Match"/>
    <n v="79700"/>
    <n v="19925"/>
    <n v="59775"/>
    <n v="56485.01"/>
    <n v="3289.99"/>
    <b v="0"/>
    <n v="0"/>
    <s v="Card"/>
    <s v="Neha"/>
    <s v="Referral"/>
    <n v="4"/>
    <x v="1"/>
    <x v="6"/>
  </r>
  <r>
    <s v="ZAR-10750"/>
    <d v="2025-09-29T00:00:00"/>
    <s v="8 AM - 12 PM"/>
    <x v="29"/>
    <s v="Sambalpur"/>
    <s v="Women"/>
    <s v="Lehenga"/>
    <s v="Manyavar"/>
    <s v="Festive"/>
    <s v="WhatsApp"/>
    <n v="2"/>
    <n v="31000"/>
    <s v="1-10%"/>
    <n v="10"/>
    <s v="Valid"/>
    <s v="Match"/>
    <n v="62000"/>
    <n v="6200"/>
    <n v="55800"/>
    <n v="33373.370000000003"/>
    <n v="22426.63"/>
    <b v="0"/>
    <n v="0"/>
    <s v="COD"/>
    <s v="Neha"/>
    <s v="Walk-in"/>
    <n v="3"/>
    <x v="11"/>
    <x v="2"/>
  </r>
  <r>
    <s v="ZAR-10721"/>
    <d v="2025-08-11T00:00:00"/>
    <s v="8 PM - 12 AM"/>
    <x v="637"/>
    <s v="Cuttack"/>
    <s v="Women"/>
    <s v="Blouse"/>
    <s v="FabIndia"/>
    <s v="Casual"/>
    <s v="Store"/>
    <n v="1"/>
    <n v="5150"/>
    <s v="0%"/>
    <n v="0"/>
    <s v="Valid"/>
    <s v="Match"/>
    <n v="5150"/>
    <n v="0"/>
    <n v="5150"/>
    <n v="3310.11"/>
    <n v="1839.89"/>
    <b v="0"/>
    <n v="0"/>
    <s v="Net Banking"/>
    <s v="Rohit"/>
    <s v="Repeat Customer"/>
    <n v="5"/>
    <x v="6"/>
    <x v="2"/>
  </r>
  <r>
    <s v="ZAR-10726"/>
    <d v="2025-08-16T00:00:00"/>
    <s v="12 AM - 4 AM"/>
    <x v="636"/>
    <s v="Berhampur"/>
    <s v="Women"/>
    <s v="Bridal Lehenga"/>
    <s v="Zaree Studio"/>
    <s v="Reception"/>
    <s v="Store"/>
    <n v="1"/>
    <n v="24950"/>
    <s v="1-10%"/>
    <n v="10"/>
    <s v="Valid"/>
    <s v="Match"/>
    <n v="24950"/>
    <n v="2495"/>
    <n v="22455"/>
    <n v="13434.9"/>
    <n v="9020.1"/>
    <b v="0"/>
    <n v="0"/>
    <s v="Cash"/>
    <s v="Priya"/>
    <s v="Repeat Customer"/>
    <n v="5"/>
    <x v="6"/>
    <x v="5"/>
  </r>
  <r>
    <s v="ZAR-10297"/>
    <d v="2025-03-27T00:00:00"/>
    <s v="8 AM - 12 PM"/>
    <x v="638"/>
    <s v="Bhubaneshwar"/>
    <s v="Kids"/>
    <s v="Kids Kurta"/>
    <s v="Designer Collection"/>
    <s v="Festive"/>
    <s v="Store"/>
    <n v="1"/>
    <n v="3450"/>
    <s v="11-20%"/>
    <n v="15"/>
    <s v="Valid"/>
    <s v="Match"/>
    <n v="3450"/>
    <n v="517.5"/>
    <n v="2932.5"/>
    <n v="2040.31"/>
    <n v="892.19"/>
    <b v="0"/>
    <n v="0"/>
    <s v="COD"/>
    <s v="Rohit"/>
    <s v="Referral"/>
    <n v="4.5"/>
    <x v="9"/>
    <x v="4"/>
  </r>
  <r>
    <s v="ZAR-10703"/>
    <d v="2025-07-29T00:00:00"/>
    <s v="12 AM - 4 AM"/>
    <x v="614"/>
    <s v="Puri"/>
    <s v="Women"/>
    <s v="Kurti"/>
    <s v="Designer Collection"/>
    <s v="Casual"/>
    <s v="Store"/>
    <n v="1"/>
    <n v="800"/>
    <s v="1-10%"/>
    <n v="5"/>
    <s v="Valid"/>
    <s v="Match"/>
    <n v="800"/>
    <n v="40"/>
    <n v="760"/>
    <n v="572.61"/>
    <n v="187.39"/>
    <b v="0"/>
    <n v="0"/>
    <s v="Net Banking"/>
    <s v="Sanjay"/>
    <s v="Referral"/>
    <n v="4"/>
    <x v="0"/>
    <x v="6"/>
  </r>
  <r>
    <s v="ZAR-10253"/>
    <d v="2025-03-05T00:00:00"/>
    <s v="12 AM - 4 AM"/>
    <x v="639"/>
    <s v="Berhampur"/>
    <s v="Kids"/>
    <s v="Kids Saree"/>
    <s v="Aurelia"/>
    <s v="Festive"/>
    <s v="Instagram"/>
    <n v="1"/>
    <n v="3400"/>
    <s v="21-30%"/>
    <n v="30"/>
    <s v="Valid"/>
    <s v="Match"/>
    <n v="3400"/>
    <n v="1020"/>
    <n v="2380"/>
    <n v="2183.19"/>
    <n v="196.81"/>
    <b v="0"/>
    <n v="0"/>
    <s v="Net Banking"/>
    <s v="Karan"/>
    <s v="Repeat Customer"/>
    <n v="3.5"/>
    <x v="9"/>
    <x v="1"/>
  </r>
  <r>
    <s v="ZAR-10728"/>
    <d v="2025-12-15T00:00:00"/>
    <s v="8 PM - 12 AM"/>
    <x v="537"/>
    <s v="Puri"/>
    <s v="Women"/>
    <s v="Gown"/>
    <s v="Zaree Studio"/>
    <s v="Festive"/>
    <s v="Store"/>
    <n v="3"/>
    <n v="8250"/>
    <s v="1-10%"/>
    <n v="5"/>
    <s v="Valid"/>
    <s v="Match"/>
    <n v="24750"/>
    <n v="1237.5"/>
    <n v="23512.5"/>
    <n v="14545.87"/>
    <n v="8966.6299999999992"/>
    <b v="0"/>
    <n v="0"/>
    <s v="Net Banking"/>
    <s v="Karan"/>
    <s v="Referral"/>
    <n v="4"/>
    <x v="1"/>
    <x v="2"/>
  </r>
  <r>
    <s v="ZAR-10463"/>
    <d v="2025-01-04T00:00:00"/>
    <s v="4 AM - 8 AM"/>
    <x v="254"/>
    <s v="Puri"/>
    <s v="Women"/>
    <s v="Saree"/>
    <s v="Biba"/>
    <s v="Festive"/>
    <s v="Store"/>
    <n v="1"/>
    <n v="5900"/>
    <s v="11-20%"/>
    <n v="15"/>
    <s v="Valid"/>
    <s v="Match"/>
    <n v="5900"/>
    <n v="885"/>
    <n v="5015"/>
    <n v="4066.45"/>
    <n v="948.55"/>
    <b v="0"/>
    <n v="0"/>
    <s v="Cash"/>
    <s v="Karan"/>
    <s v="Google"/>
    <n v="3"/>
    <x v="10"/>
    <x v="5"/>
  </r>
  <r>
    <s v="ZAR-10457"/>
    <d v="2025-08-02T00:00:00"/>
    <s v="12 PM - 4 PM"/>
    <x v="640"/>
    <s v="Rourkela"/>
    <s v="Women"/>
    <s v="Dupatta"/>
    <s v="Local Artisan"/>
    <s v="Casual"/>
    <s v="Insta"/>
    <n v="2"/>
    <n v="3100"/>
    <s v="1-10%"/>
    <n v="10"/>
    <s v="Valid"/>
    <s v="Match"/>
    <n v="6200"/>
    <n v="620"/>
    <n v="5580"/>
    <n v="4441.88"/>
    <n v="1138.1199999999999"/>
    <b v="0"/>
    <n v="0"/>
    <s v="UPI"/>
    <s v="Rohit"/>
    <s v="Referral"/>
    <n v="5"/>
    <x v="6"/>
    <x v="5"/>
  </r>
  <r>
    <s v="ZAR-10817"/>
    <d v="2025-08-09T00:00:00"/>
    <s v="8 PM - 12 AM"/>
    <x v="641"/>
    <s v="Cuttack"/>
    <s v="Women"/>
    <s v="Salwar Suit"/>
    <s v="Biba"/>
    <s v="Casual"/>
    <s v="Phone"/>
    <n v="2"/>
    <n v="8600"/>
    <s v="21-30%"/>
    <n v="25"/>
    <s v="Valid"/>
    <s v="Match"/>
    <n v="17200"/>
    <n v="4300"/>
    <n v="12900"/>
    <n v="11205.84"/>
    <n v="1694.16"/>
    <b v="0"/>
    <n v="0"/>
    <s v="Cash"/>
    <s v="Rohit"/>
    <s v="Repeat Customer"/>
    <n v="4"/>
    <x v="6"/>
    <x v="5"/>
  </r>
  <r>
    <s v="ZAR-10864"/>
    <d v="2025-09-01T00:00:00"/>
    <s v="8 AM - 12 PM"/>
    <x v="458"/>
    <s v="Sambalpur"/>
    <s v="Women"/>
    <s v="Gown"/>
    <s v="FabIndia"/>
    <s v="Festive"/>
    <s v="Instagram"/>
    <n v="3"/>
    <n v="11100"/>
    <s v="1-10%"/>
    <n v="10"/>
    <s v="Valid"/>
    <s v="Match"/>
    <n v="33300"/>
    <n v="3330"/>
    <n v="29970"/>
    <n v="21959.74"/>
    <n v="8010.26"/>
    <b v="0"/>
    <n v="0"/>
    <s v="COD"/>
    <s v="Rohit"/>
    <s v="WhatsApp"/>
    <n v="3.5"/>
    <x v="11"/>
    <x v="2"/>
  </r>
  <r>
    <s v="ZAR-10271"/>
    <d v="2025-12-25T00:00:00"/>
    <s v="4 AM - 8 AM"/>
    <x v="540"/>
    <s v="Cuttack"/>
    <s v="Women"/>
    <s v="Saree"/>
    <s v="Zaree Studio"/>
    <s v="Puja"/>
    <s v="Store"/>
    <n v="2"/>
    <n v="30200"/>
    <s v="21-30%"/>
    <n v="25"/>
    <s v="Valid"/>
    <s v="Match"/>
    <n v="60400"/>
    <n v="15100"/>
    <n v="45300"/>
    <n v="34461.199999999997"/>
    <n v="10838.8"/>
    <b v="0"/>
    <n v="0"/>
    <s v="Card"/>
    <s v="Sanjay"/>
    <s v="WhatsApp"/>
    <n v="4.5"/>
    <x v="1"/>
    <x v="4"/>
  </r>
  <r>
    <s v="ZAR-10203"/>
    <d v="2025-12-05T00:00:00"/>
    <s v="8 PM - 12 AM"/>
    <x v="79"/>
    <s v="Rourkela"/>
    <s v="Women"/>
    <s v="Blouse"/>
    <s v="Biba"/>
    <s v="Festive"/>
    <s v="Store"/>
    <n v="1"/>
    <n v="1850"/>
    <s v="11-20%"/>
    <n v="15"/>
    <s v="Valid"/>
    <s v="Match"/>
    <n v="1850"/>
    <n v="277.5"/>
    <n v="1572.5"/>
    <n v="997.66"/>
    <n v="574.84"/>
    <b v="0"/>
    <n v="0"/>
    <s v="UPI"/>
    <s v="Sanjay"/>
    <s v="Instagram"/>
    <n v="5"/>
    <x v="1"/>
    <x v="3"/>
  </r>
  <r>
    <s v="ZAR-10163"/>
    <d v="2025-04-10T00:00:00"/>
    <s v="12 PM - 4 PM"/>
    <x v="642"/>
    <s v="Berhampur"/>
    <s v="Women"/>
    <s v="Blouse"/>
    <s v="Designer Collection"/>
    <s v="Casual"/>
    <s v="Instagram"/>
    <n v="3"/>
    <n v="4700"/>
    <s v="0%"/>
    <n v="0"/>
    <s v="Valid"/>
    <s v="Match"/>
    <n v="14100"/>
    <n v="0"/>
    <n v="14100"/>
    <n v="8835.26"/>
    <n v="5264.74"/>
    <b v="0"/>
    <n v="0"/>
    <s v="Net Banking"/>
    <s v="Rohit"/>
    <s v="Instagram"/>
    <n v="4"/>
    <x v="7"/>
    <x v="4"/>
  </r>
  <r>
    <s v="ZAR-10557"/>
    <d v="2025-01-24T00:00:00"/>
    <s v="4 PM - 8 PM"/>
    <x v="643"/>
    <s v="Puri"/>
    <s v="Kids"/>
    <s v="Kids Kurta"/>
    <s v="Designer Collection"/>
    <s v="Casual"/>
    <s v="Store"/>
    <n v="4"/>
    <n v="1900"/>
    <s v="0%"/>
    <n v="0"/>
    <s v="Valid"/>
    <s v="Match"/>
    <n v="7600"/>
    <n v="0"/>
    <n v="7600"/>
    <n v="4367.22"/>
    <n v="3232.78"/>
    <b v="0"/>
    <n v="0"/>
    <s v="Cash"/>
    <s v="Neha"/>
    <s v="Referral"/>
    <n v="4.5"/>
    <x v="10"/>
    <x v="3"/>
  </r>
  <r>
    <s v="ZAR-10731"/>
    <d v="2025-01-17T00:00:00"/>
    <s v="12 AM - 4 AM"/>
    <x v="644"/>
    <s v="Balasore"/>
    <s v="Men"/>
    <s v="Sherwani"/>
    <s v="FabIndia"/>
    <s v="Festive"/>
    <s v="Instagram"/>
    <n v="1"/>
    <n v="26500"/>
    <s v="1-10%"/>
    <n v="5"/>
    <s v="Valid"/>
    <s v="Match"/>
    <n v="26500"/>
    <n v="1325"/>
    <n v="25175"/>
    <n v="16506.62"/>
    <n v="8668.3799999999992"/>
    <b v="0"/>
    <n v="0"/>
    <s v="Cash"/>
    <s v="Neha"/>
    <s v="Google"/>
    <s v="Not Rated"/>
    <x v="10"/>
    <x v="3"/>
  </r>
  <r>
    <s v="ZAR-10403"/>
    <d v="2025-09-29T00:00:00"/>
    <s v="8 PM - 12 AM"/>
    <x v="645"/>
    <s v="Bhubaneshwar"/>
    <s v="Women"/>
    <s v="Dupatta"/>
    <s v="Manyavar"/>
    <s v="Festive"/>
    <s v="Store"/>
    <n v="4"/>
    <n v="3350"/>
    <s v="0%"/>
    <n v="0"/>
    <s v="Valid"/>
    <s v="Match"/>
    <n v="13400"/>
    <n v="0"/>
    <n v="13400"/>
    <n v="7822.5"/>
    <n v="5577.5"/>
    <b v="0"/>
    <n v="0"/>
    <s v="COD"/>
    <s v="Priya"/>
    <s v="Referral"/>
    <n v="3"/>
    <x v="11"/>
    <x v="2"/>
  </r>
  <r>
    <s v="ZAR-10704"/>
    <d v="2025-06-07T00:00:00"/>
    <s v="12 PM - 4 PM"/>
    <x v="646"/>
    <s v="Cuttack"/>
    <s v="Kids"/>
    <s v="Kids Saree"/>
    <s v="Manyavar"/>
    <s v="Casual"/>
    <s v="Instagram"/>
    <n v="1"/>
    <n v="2150"/>
    <s v="21-30%"/>
    <n v="25"/>
    <s v="Valid"/>
    <s v="Match"/>
    <n v="2150"/>
    <n v="537.5"/>
    <n v="1612.5"/>
    <n v="1505.16"/>
    <n v="107.34"/>
    <b v="0"/>
    <n v="0"/>
    <s v="COD"/>
    <s v="Neha"/>
    <s v="Instagram"/>
    <n v="3.5"/>
    <x v="2"/>
    <x v="5"/>
  </r>
  <r>
    <s v="ZAR-10478"/>
    <d v="2025-02-16T00:00:00"/>
    <s v="12 AM - 4 AM"/>
    <x v="647"/>
    <s v="Berhampur"/>
    <s v="Women"/>
    <s v="Saree"/>
    <s v="Manyavar"/>
    <s v="Office"/>
    <s v="Store"/>
    <n v="3"/>
    <n v="15600"/>
    <s v="1-10%"/>
    <n v="10"/>
    <s v="Valid"/>
    <s v="Match"/>
    <n v="46800"/>
    <n v="4680"/>
    <n v="42120"/>
    <n v="28269.19"/>
    <n v="13850.81"/>
    <b v="0"/>
    <n v="0"/>
    <s v="Cash"/>
    <s v="Sanjay"/>
    <s v="WhatsApp"/>
    <n v="3"/>
    <x v="4"/>
    <x v="0"/>
  </r>
  <r>
    <s v="ZAR-10823"/>
    <d v="2025-04-01T00:00:00"/>
    <s v="4 PM - 8 PM"/>
    <x v="260"/>
    <s v="Puri"/>
    <s v="Kids"/>
    <s v="Kids Sherwani"/>
    <s v="Rangriti"/>
    <s v="Wedding"/>
    <s v="Website"/>
    <n v="1"/>
    <n v="3350"/>
    <s v="11-20%"/>
    <n v="15"/>
    <s v="Valid"/>
    <s v="Match"/>
    <n v="3350"/>
    <n v="502.5"/>
    <n v="2847.5"/>
    <n v="2262.59"/>
    <n v="584.91"/>
    <b v="0"/>
    <n v="0"/>
    <s v="Cash"/>
    <s v="Priya"/>
    <s v="Instagram"/>
    <n v="4.5"/>
    <x v="7"/>
    <x v="6"/>
  </r>
  <r>
    <s v="ZAR-10773"/>
    <d v="2025-03-13T00:00:00"/>
    <s v="12 PM - 4 PM"/>
    <x v="94"/>
    <s v="Sambalpur"/>
    <s v="Men"/>
    <s v="Sherwani"/>
    <s v="Biba"/>
    <s v="Reception"/>
    <s v="Walk-in"/>
    <n v="1"/>
    <n v="35950"/>
    <s v="11-20%"/>
    <n v="15"/>
    <s v="Valid"/>
    <s v="Match"/>
    <n v="35950"/>
    <n v="5392.5"/>
    <n v="30557.5"/>
    <n v="21490.720000000001"/>
    <n v="9066.7800000000007"/>
    <b v="0"/>
    <n v="0"/>
    <s v="Cash"/>
    <s v="Meera"/>
    <s v="Referral"/>
    <n v="5"/>
    <x v="9"/>
    <x v="4"/>
  </r>
  <r>
    <s v="ZAR-10107"/>
    <d v="2025-04-26T00:00:00"/>
    <s v="8 AM - 12 PM"/>
    <x v="648"/>
    <s v="Sambalpur"/>
    <s v="Men"/>
    <s v="Dhoti Set"/>
    <s v="Biba"/>
    <s v="Casual"/>
    <s v="Website"/>
    <n v="1"/>
    <n v="2600"/>
    <s v="1-10%"/>
    <n v="10"/>
    <s v="Valid"/>
    <s v="Match"/>
    <n v="2600"/>
    <n v="260"/>
    <n v="2340"/>
    <n v="1886.67"/>
    <n v="453.33"/>
    <b v="0"/>
    <n v="0"/>
    <s v="COD"/>
    <s v="Neha"/>
    <s v="Instagram"/>
    <n v="3.5"/>
    <x v="7"/>
    <x v="5"/>
  </r>
  <r>
    <s v="ZAR-10567"/>
    <d v="2025-09-28T00:00:00"/>
    <s v="8 PM - 12 AM"/>
    <x v="649"/>
    <s v="Bhubaneshwar"/>
    <s v="Women"/>
    <s v="Bridal Lehenga"/>
    <s v="FabIndia"/>
    <s v="Reception"/>
    <s v="Instagram"/>
    <n v="1"/>
    <n v="94400"/>
    <s v="21-30%"/>
    <n v="25"/>
    <s v="Valid"/>
    <s v="Match"/>
    <n v="94400"/>
    <n v="23600"/>
    <n v="70800"/>
    <n v="62819.26"/>
    <n v="7980.74"/>
    <b v="0"/>
    <n v="0"/>
    <s v="UPI"/>
    <s v="Sanjay"/>
    <s v="Google"/>
    <n v="3"/>
    <x v="11"/>
    <x v="0"/>
  </r>
  <r>
    <s v="ZAR-10391"/>
    <d v="2025-04-29T00:00:00"/>
    <s v="4 PM - 8 PM"/>
    <x v="650"/>
    <s v="Sambalpur"/>
    <s v="Women"/>
    <s v="Blouse"/>
    <s v="Designer Collection"/>
    <s v="Casual"/>
    <s v="Store"/>
    <n v="1"/>
    <n v="5400"/>
    <s v="1-10%"/>
    <n v="5"/>
    <s v="Valid"/>
    <s v="Match"/>
    <n v="5400"/>
    <n v="270"/>
    <n v="5130"/>
    <n v="2882.78"/>
    <n v="2247.2199999999998"/>
    <b v="0"/>
    <n v="0"/>
    <s v="COD"/>
    <s v="Karan"/>
    <s v="WhatsApp"/>
    <n v="4"/>
    <x v="7"/>
    <x v="6"/>
  </r>
  <r>
    <s v="ZAR-10003"/>
    <d v="2025-01-04T00:00:00"/>
    <s v="4 AM - 8 AM"/>
    <x v="651"/>
    <s v="Rourkela"/>
    <s v="Men"/>
    <s v="Dhoti Set"/>
    <s v="Rangriti"/>
    <s v="Wedding"/>
    <s v="Store"/>
    <n v="1"/>
    <n v="4000"/>
    <s v="1-10%"/>
    <n v="10"/>
    <s v="Valid"/>
    <s v="Match"/>
    <n v="4000"/>
    <n v="400"/>
    <n v="3600"/>
    <n v="2792.3"/>
    <n v="807.7"/>
    <b v="0"/>
    <n v="0"/>
    <s v="Net Banking"/>
    <s v="Ananya"/>
    <s v="Referral"/>
    <n v="3"/>
    <x v="10"/>
    <x v="5"/>
  </r>
  <r>
    <s v="ZAR-10945"/>
    <d v="2025-12-09T00:00:00"/>
    <s v="4 PM - 8 PM"/>
    <x v="569"/>
    <s v="Rourkela"/>
    <s v="Women"/>
    <s v="Salwar Suit"/>
    <s v="Designer Collection"/>
    <s v="Wedding Guest"/>
    <s v="Store"/>
    <n v="2"/>
    <n v="3950"/>
    <s v="0%"/>
    <n v="0"/>
    <s v="Valid"/>
    <s v="Match"/>
    <n v="7900"/>
    <n v="0"/>
    <n v="7900"/>
    <n v="5527.49"/>
    <n v="2372.5100000000002"/>
    <b v="0"/>
    <n v="0"/>
    <s v="Card"/>
    <s v="Sanjay"/>
    <s v="Instagram"/>
    <n v="3.5"/>
    <x v="1"/>
    <x v="6"/>
  </r>
  <r>
    <s v="ZAR-10992"/>
    <d v="2025-01-30T00:00:00"/>
    <s v="8 AM - 12 PM"/>
    <x v="343"/>
    <s v="Cuttack"/>
    <s v="Men"/>
    <s v="Sherwani"/>
    <s v="Biba"/>
    <s v="Engagement"/>
    <s v="Website"/>
    <n v="1"/>
    <n v="32600"/>
    <s v="1-10%"/>
    <n v="10"/>
    <s v="Valid"/>
    <s v="Match"/>
    <n v="32600"/>
    <n v="3260"/>
    <n v="29340"/>
    <n v="21877.93"/>
    <n v="7462.07"/>
    <b v="0"/>
    <n v="0"/>
    <s v="COD"/>
    <s v="Priya"/>
    <s v="WhatsApp"/>
    <n v="3.5"/>
    <x v="10"/>
    <x v="4"/>
  </r>
  <r>
    <s v="ZAR-10563"/>
    <d v="2025-07-26T00:00:00"/>
    <s v="12 PM - 4 PM"/>
    <x v="247"/>
    <s v="Cuttack"/>
    <s v="Men"/>
    <s v="Shirt"/>
    <s v="Manyavar"/>
    <s v="Casual"/>
    <s v="Store"/>
    <n v="1"/>
    <n v="3900"/>
    <s v="11-20%"/>
    <n v="20"/>
    <s v="Valid"/>
    <s v="Match"/>
    <n v="3900"/>
    <n v="780"/>
    <n v="3120"/>
    <n v="2784.77"/>
    <n v="335.23"/>
    <b v="0"/>
    <n v="0"/>
    <s v="Card"/>
    <s v="Sanjay"/>
    <s v="Repeat Customer"/>
    <n v="5"/>
    <x v="0"/>
    <x v="5"/>
  </r>
  <r>
    <s v="ZAR-10082"/>
    <d v="2025-11-27T00:00:00"/>
    <s v="4 AM - 8 AM"/>
    <x v="652"/>
    <s v="Bhubaneshwar"/>
    <s v="Women"/>
    <s v="Lehenga"/>
    <s v="Designer Collection"/>
    <s v="Reception"/>
    <s v="Store"/>
    <n v="1"/>
    <n v="27150"/>
    <s v="21-30%"/>
    <n v="30"/>
    <s v="Valid"/>
    <s v="Match"/>
    <n v="27150"/>
    <n v="8145"/>
    <n v="19005"/>
    <n v="16204.82"/>
    <n v="2800.18"/>
    <b v="0"/>
    <n v="0"/>
    <s v="COD"/>
    <s v="Meera"/>
    <s v="Repeat Customer"/>
    <n v="4"/>
    <x v="5"/>
    <x v="4"/>
  </r>
  <r>
    <s v="ZAR-10207"/>
    <d v="2025-11-18T00:00:00"/>
    <s v="4 AM - 8 AM"/>
    <x v="653"/>
    <s v="Berhampur"/>
    <s v="Men"/>
    <s v="Kurta Pajama"/>
    <s v="Local Artisan"/>
    <s v="Festive"/>
    <s v="Store"/>
    <n v="1"/>
    <n v="1800"/>
    <s v="21-30%"/>
    <n v="25"/>
    <s v="Valid"/>
    <s v="Match"/>
    <n v="1800"/>
    <n v="450"/>
    <n v="1350"/>
    <n v="1108.42"/>
    <n v="241.58"/>
    <b v="0"/>
    <n v="0"/>
    <s v="COD"/>
    <s v="Priya"/>
    <s v="Referral"/>
    <n v="3"/>
    <x v="5"/>
    <x v="6"/>
  </r>
  <r>
    <s v="ZAR-10036"/>
    <d v="2025-12-09T00:00:00"/>
    <s v="12 AM - 4 AM"/>
    <x v="533"/>
    <s v="Cuttack"/>
    <s v="Kids"/>
    <s v="Kids Kurta"/>
    <s v="Rangriti"/>
    <s v="Wedding"/>
    <s v="Store"/>
    <n v="2"/>
    <n v="3050"/>
    <s v="1-10%"/>
    <n v="5"/>
    <s v="Valid"/>
    <s v="Match"/>
    <n v="6100"/>
    <n v="305"/>
    <n v="5795"/>
    <n v="3341.39"/>
    <n v="2453.61"/>
    <b v="0"/>
    <n v="0"/>
    <s v="Card"/>
    <s v="Priya"/>
    <s v="Instagram"/>
    <n v="3.5"/>
    <x v="1"/>
    <x v="6"/>
  </r>
  <r>
    <s v="ZAR-10777"/>
    <d v="2025-06-10T00:00:00"/>
    <s v="8 AM - 12 PM"/>
    <x v="58"/>
    <s v="Puri"/>
    <s v="Men"/>
    <s v="Kurta Pajama"/>
    <s v="Designer Collection"/>
    <s v="Casual"/>
    <s v="Store"/>
    <n v="1"/>
    <n v="6500"/>
    <s v="21-30%"/>
    <n v="30"/>
    <s v="Valid"/>
    <s v="Match"/>
    <n v="6500"/>
    <n v="1950"/>
    <n v="4550"/>
    <n v="4379.93"/>
    <n v="170.07"/>
    <b v="0"/>
    <n v="0"/>
    <s v="Cash"/>
    <s v="Priya"/>
    <s v="Walk-in"/>
    <n v="4"/>
    <x v="2"/>
    <x v="6"/>
  </r>
  <r>
    <s v="ZAR-10510"/>
    <d v="2025-01-17T00:00:00"/>
    <s v="4 AM - 8 AM"/>
    <x v="108"/>
    <s v="Sambalpur"/>
    <s v="Men"/>
    <s v="Shirt"/>
    <s v="Aurelia"/>
    <s v="Family Function"/>
    <s v="Instagram"/>
    <n v="1"/>
    <n v="2500"/>
    <s v="0%"/>
    <n v="0"/>
    <s v="Valid"/>
    <s v="Match"/>
    <n v="2500"/>
    <n v="0"/>
    <n v="2500"/>
    <n v="1612.17"/>
    <n v="887.83"/>
    <b v="0"/>
    <n v="0"/>
    <s v="Net Banking"/>
    <s v="Ananya"/>
    <s v="Repeat Customer"/>
    <n v="4"/>
    <x v="10"/>
    <x v="3"/>
  </r>
  <r>
    <s v="ZAR-10429"/>
    <d v="2025-05-01T00:00:00"/>
    <s v="12 PM - 4 PM"/>
    <x v="469"/>
    <s v="Cuttack"/>
    <s v="Men"/>
    <s v="Nehru Jacket"/>
    <s v="Local Artisan"/>
    <s v="Wedding"/>
    <s v="Store"/>
    <n v="2"/>
    <n v="3700"/>
    <s v="11-20%"/>
    <n v="15"/>
    <s v="Valid"/>
    <s v="Match"/>
    <n v="7400"/>
    <n v="1110"/>
    <n v="6290"/>
    <n v="5159.91"/>
    <n v="1130.0899999999999"/>
    <b v="0"/>
    <n v="0"/>
    <s v="Cash"/>
    <s v="Meera"/>
    <s v="Repeat Customer"/>
    <n v="4"/>
    <x v="8"/>
    <x v="4"/>
  </r>
  <r>
    <s v="ZAR-10456"/>
    <d v="2025-10-11T00:00:00"/>
    <s v="8 AM - 12 PM"/>
    <x v="236"/>
    <s v="Rourkela"/>
    <s v="Women"/>
    <s v="Dupatta"/>
    <s v="Designer Collection"/>
    <s v="Reception"/>
    <s v="Store"/>
    <s v="3"/>
    <n v="4900"/>
    <s v="21-30%"/>
    <n v="25"/>
    <s v="Valid"/>
    <s v="Match"/>
    <n v="14700"/>
    <n v="3675"/>
    <n v="11025"/>
    <n v="9515.39"/>
    <n v="1509.61"/>
    <b v="0"/>
    <n v="0"/>
    <s v="Card"/>
    <s v="Karan"/>
    <s v="Instagram"/>
    <n v="4.5"/>
    <x v="3"/>
    <x v="5"/>
  </r>
  <r>
    <s v="ZAR-10368"/>
    <d v="2025-09-09T00:00:00"/>
    <s v="12 PM - 4 PM"/>
    <x v="654"/>
    <s v="Rourkela"/>
    <s v="Women"/>
    <s v="Gown"/>
    <s v="Aurelia"/>
    <s v="Wedding Guest"/>
    <s v="Website"/>
    <n v="2"/>
    <n v="13800"/>
    <s v="11-20%"/>
    <n v="20"/>
    <s v="Valid"/>
    <s v="Match"/>
    <n v="27600"/>
    <n v="5520"/>
    <n v="22080"/>
    <n v="18648.580000000002"/>
    <n v="3431.42"/>
    <b v="0"/>
    <n v="0"/>
    <s v="UPI"/>
    <s v="Sanjay"/>
    <s v="WhatsApp"/>
    <n v="4.5"/>
    <x v="11"/>
    <x v="6"/>
  </r>
  <r>
    <s v="ZAR-10093"/>
    <d v="2025-02-10T00:00:00"/>
    <s v="12 AM - 4 AM"/>
    <x v="655"/>
    <s v="Cuttack"/>
    <s v="Men"/>
    <s v="Kurta Pajama"/>
    <s v="Biba"/>
    <s v="Family Function"/>
    <s v="Website"/>
    <n v="1"/>
    <n v="6450"/>
    <s v="11-20%"/>
    <n v="20"/>
    <s v="Valid"/>
    <s v="Match"/>
    <n v="6450"/>
    <n v="1290"/>
    <n v="5160"/>
    <n v="3361.45"/>
    <n v="1798.55"/>
    <b v="0"/>
    <n v="0"/>
    <s v="Card"/>
    <s v="Priya"/>
    <s v="Instagram"/>
    <n v="3"/>
    <x v="4"/>
    <x v="2"/>
  </r>
  <r>
    <s v="ZAR-10341"/>
    <d v="2025-07-18T00:00:00"/>
    <s v="8 PM - 12 AM"/>
    <x v="583"/>
    <s v="Berhampur"/>
    <s v="Men"/>
    <s v="Dhoti Set"/>
    <s v="Rangriti"/>
    <s v="Festive"/>
    <s v="Store"/>
    <n v="1"/>
    <n v="5300"/>
    <s v="21-30%"/>
    <n v="25"/>
    <s v="Valid"/>
    <s v="Match"/>
    <n v="5300"/>
    <n v="1325"/>
    <n v="3975"/>
    <n v="2798.62"/>
    <n v="1176.3800000000001"/>
    <b v="0"/>
    <n v="0"/>
    <s v="Cash"/>
    <s v="Sanjay"/>
    <s v="Instagram"/>
    <n v="5"/>
    <x v="0"/>
    <x v="3"/>
  </r>
  <r>
    <s v="ZAR-10899"/>
    <d v="2025-09-02T00:00:00"/>
    <s v="12 PM - 4 PM"/>
    <x v="656"/>
    <s v="Bhubaneshwar"/>
    <s v="Women"/>
    <s v="Kurti"/>
    <s v="Rangriti"/>
    <s v="Reception"/>
    <s v="Store"/>
    <n v="2"/>
    <n v="3950"/>
    <s v="1-10%"/>
    <n v="5"/>
    <s v="Valid"/>
    <s v="Match"/>
    <n v="7900"/>
    <n v="395"/>
    <n v="7505"/>
    <n v="5262.1"/>
    <n v="2242.9"/>
    <b v="0"/>
    <n v="0"/>
    <s v="Card"/>
    <s v="Karan"/>
    <s v="Walk-in"/>
    <n v="4.5"/>
    <x v="11"/>
    <x v="6"/>
  </r>
  <r>
    <s v="ZAR-10566"/>
    <d v="2025-03-11T00:00:00"/>
    <s v="12 PM - 4 PM"/>
    <x v="657"/>
    <s v="Berhampur"/>
    <s v="Women"/>
    <s v="Blouse"/>
    <s v="Rangriti"/>
    <s v="Puja"/>
    <s v="Instagram"/>
    <n v="1"/>
    <n v="5850"/>
    <s v="11-20%"/>
    <n v="15"/>
    <s v="Valid"/>
    <s v="Match"/>
    <n v="5850"/>
    <n v="877.5"/>
    <n v="4972.5"/>
    <n v="3913.34"/>
    <n v="1059.1600000000001"/>
    <b v="0"/>
    <n v="0"/>
    <s v="Net Banking"/>
    <s v="Ananya"/>
    <s v="Repeat Customer"/>
    <n v="5"/>
    <x v="9"/>
    <x v="6"/>
  </r>
  <r>
    <s v="ZAR-10347"/>
    <d v="2025-11-06T00:00:00"/>
    <s v="4 PM - 8 PM"/>
    <x v="419"/>
    <s v="Berhampur"/>
    <s v="Women"/>
    <s v="Gown"/>
    <s v="Rangriti"/>
    <s v="Wedding Guest"/>
    <s v="Walk-in"/>
    <n v="0"/>
    <n v="8500"/>
    <s v="1-10%"/>
    <n v="10"/>
    <s v="Valid"/>
    <s v="Match"/>
    <n v="25500"/>
    <n v="2550"/>
    <n v="22950"/>
    <n v="17568.150000000001"/>
    <n v="5381.85"/>
    <b v="0"/>
    <n v="0"/>
    <s v="Cash"/>
    <s v="Neha"/>
    <s v="Google"/>
    <n v="4"/>
    <x v="5"/>
    <x v="4"/>
  </r>
  <r>
    <s v="ZAR-10778"/>
    <d v="2025-11-25T00:00:00"/>
    <s v="12 PM - 4 PM"/>
    <x v="317"/>
    <s v="Rourkela"/>
    <s v="Men"/>
    <s v="Shirt"/>
    <s v="FabIndia"/>
    <s v="Festive"/>
    <s v="Website"/>
    <n v="2"/>
    <n v="1650"/>
    <s v="0%"/>
    <n v="0"/>
    <s v="Valid"/>
    <s v="Match"/>
    <n v="3300"/>
    <n v="0"/>
    <n v="3300"/>
    <n v="1817.84"/>
    <n v="1482.16"/>
    <b v="0"/>
    <n v="0"/>
    <s v="UPI"/>
    <s v="Neha"/>
    <s v="Google"/>
    <n v="4.5"/>
    <x v="5"/>
    <x v="6"/>
  </r>
  <r>
    <s v="ZAR-10243"/>
    <d v="2025-12-23T00:00:00"/>
    <s v="8 AM - 12 PM"/>
    <x v="18"/>
    <s v="Balasore"/>
    <s v="Men"/>
    <s v="Kurta Pajama"/>
    <s v="FabIndia"/>
    <s v="Family Function"/>
    <s v="Store"/>
    <n v="2"/>
    <n v="6350"/>
    <s v="1-10%"/>
    <n v="5"/>
    <s v="Valid"/>
    <s v="Match"/>
    <n v="12700"/>
    <n v="635"/>
    <n v="12065"/>
    <n v="8031.52"/>
    <n v="4033.48"/>
    <b v="0"/>
    <n v="0"/>
    <s v="COD"/>
    <s v="Ananya"/>
    <s v="Instagram"/>
    <n v="5"/>
    <x v="1"/>
    <x v="6"/>
  </r>
  <r>
    <s v="ZAR-10015"/>
    <d v="2025-11-30T00:00:00"/>
    <s v="4 PM - 8 PM"/>
    <x v="658"/>
    <s v="Bhubaneshwar"/>
    <s v="Women"/>
    <s v="Lehenga"/>
    <s v="Local Artisan"/>
    <s v="Reception"/>
    <s v="Phone"/>
    <n v="3"/>
    <n v="23850"/>
    <s v="11-20%"/>
    <n v="20"/>
    <s v="Valid"/>
    <s v="Match"/>
    <n v="71550"/>
    <n v="14310"/>
    <n v="57240"/>
    <n v="38747.18"/>
    <n v="18492.82"/>
    <b v="0"/>
    <n v="0"/>
    <s v="Net Banking"/>
    <s v="Sanjay"/>
    <s v="Walk-in"/>
    <n v="3.5"/>
    <x v="5"/>
    <x v="0"/>
  </r>
  <r>
    <s v="ZAR-10317"/>
    <d v="2025-05-19T00:00:00"/>
    <s v="12 AM - 4 AM"/>
    <x v="659"/>
    <s v="Balasore"/>
    <s v="Women"/>
    <s v="Salwar Suit"/>
    <s v="FabIndia"/>
    <s v="Reception"/>
    <s v="Phone"/>
    <n v="1"/>
    <n v="3050"/>
    <s v="21-30%"/>
    <n v="30"/>
    <s v="Valid"/>
    <s v="Match"/>
    <n v="3050"/>
    <n v="915"/>
    <n v="2135"/>
    <n v="2053.37"/>
    <n v="81.63"/>
    <b v="0"/>
    <n v="0"/>
    <s v="UPI"/>
    <s v="Ananya"/>
    <s v="Referral"/>
    <n v="4"/>
    <x v="8"/>
    <x v="2"/>
  </r>
  <r>
    <s v="ZAR-10602"/>
    <d v="2025-06-11T00:00:00"/>
    <s v="12 AM - 4 AM"/>
    <x v="586"/>
    <s v="Bhubaneshwar"/>
    <s v="Kids"/>
    <s v="Kids Sherwani"/>
    <s v="Aurelia"/>
    <s v="Festive"/>
    <s v="Phone"/>
    <n v="5"/>
    <n v="2000"/>
    <s v="11-20%"/>
    <n v="15"/>
    <s v="Valid"/>
    <s v="Match"/>
    <n v="10000"/>
    <n v="1500"/>
    <n v="8500"/>
    <n v="5300.5"/>
    <n v="3199.5"/>
    <b v="0"/>
    <n v="0"/>
    <s v="Cash"/>
    <s v="Meera"/>
    <s v="Google"/>
    <n v="4.5"/>
    <x v="2"/>
    <x v="1"/>
  </r>
  <r>
    <s v="ZAR-10389"/>
    <d v="2025-08-20T00:00:00"/>
    <s v="4 PM - 8 PM"/>
    <x v="660"/>
    <s v="Puri"/>
    <s v="Men"/>
    <s v="Indo-Western"/>
    <s v="Designer Collection"/>
    <s v="Festive"/>
    <s v="Instagram"/>
    <n v="2"/>
    <n v="13950"/>
    <s v="11-20%"/>
    <n v="20"/>
    <s v="Valid"/>
    <s v="Match"/>
    <n v="27900"/>
    <n v="5580"/>
    <n v="22320"/>
    <n v="20028.830000000002"/>
    <n v="2291.17"/>
    <b v="0"/>
    <n v="0"/>
    <s v="UPI"/>
    <s v="Ananya"/>
    <s v="Google"/>
    <n v="3.5"/>
    <x v="6"/>
    <x v="1"/>
  </r>
  <r>
    <s v="ZAR-10275"/>
    <d v="2025-10-14T00:00:00"/>
    <s v="12 AM - 4 AM"/>
    <x v="661"/>
    <s v="Sambalpur"/>
    <s v="Women"/>
    <s v="Dupatta"/>
    <s v="Biba"/>
    <s v="Puja"/>
    <s v="Store"/>
    <n v="1"/>
    <n v="3100"/>
    <s v="11-20%"/>
    <n v="15"/>
    <s v="Valid"/>
    <s v="Match"/>
    <n v="3100"/>
    <n v="465"/>
    <n v="2635"/>
    <n v="1957.25"/>
    <n v="677.75"/>
    <b v="0"/>
    <n v="0"/>
    <s v="Net Banking"/>
    <s v="Sanjay"/>
    <s v="Repeat Customer"/>
    <n v="4"/>
    <x v="3"/>
    <x v="6"/>
  </r>
  <r>
    <s v="ZAR-10168"/>
    <d v="2025-12-13T00:00:00"/>
    <s v="12 PM - 4 PM"/>
    <x v="662"/>
    <s v="Cuttack"/>
    <s v="Women"/>
    <s v="Saree"/>
    <s v="Rangriti"/>
    <s v="Casual"/>
    <s v="Instagram"/>
    <n v="2"/>
    <n v="10100"/>
    <s v="21-30%"/>
    <n v="30"/>
    <s v="Valid"/>
    <s v="Match"/>
    <n v="20200"/>
    <n v="6060"/>
    <n v="14140"/>
    <n v="11604.13"/>
    <n v="2535.87"/>
    <b v="0"/>
    <n v="0"/>
    <s v="Net Banking"/>
    <s v="Neha"/>
    <s v="WhatsApp"/>
    <n v="4"/>
    <x v="1"/>
    <x v="5"/>
  </r>
  <r>
    <s v="ZAR-10842"/>
    <d v="2025-08-20T00:00:00"/>
    <s v="12 AM - 4 AM"/>
    <x v="31"/>
    <s v="Puri"/>
    <s v="Women"/>
    <s v="Salwar Suit"/>
    <s v="Aurelia"/>
    <s v="Casual"/>
    <s v="Phone"/>
    <n v="1"/>
    <n v="3350"/>
    <s v="0%"/>
    <n v="0"/>
    <s v="Valid"/>
    <s v="Match"/>
    <n v="3350"/>
    <n v="0"/>
    <n v="3350"/>
    <n v="2142.06"/>
    <n v="1207.94"/>
    <b v="0"/>
    <n v="0"/>
    <s v="Card"/>
    <s v="Priya"/>
    <s v="Repeat Customer"/>
    <n v="3"/>
    <x v="6"/>
    <x v="1"/>
  </r>
  <r>
    <s v="ZAR-10648"/>
    <d v="2025-03-17T00:00:00"/>
    <s v="12 PM - 4 PM"/>
    <x v="529"/>
    <s v="Cuttack"/>
    <s v="Women"/>
    <s v="Blouse"/>
    <s v="FabIndia"/>
    <s v="Casual"/>
    <s v="Instagram"/>
    <n v="2"/>
    <n v="1600"/>
    <s v="21-30%"/>
    <n v="25"/>
    <s v="Valid"/>
    <s v="Match"/>
    <n v="3200"/>
    <n v="800"/>
    <n v="2400"/>
    <n v="2114.42"/>
    <n v="285.58"/>
    <b v="0"/>
    <n v="0"/>
    <s v="Card"/>
    <s v="Karan"/>
    <s v="Instagram"/>
    <n v="4"/>
    <x v="9"/>
    <x v="2"/>
  </r>
  <r>
    <s v="ZAR-10820"/>
    <d v="2025-06-25T00:00:00"/>
    <s v="4 AM - 8 AM"/>
    <x v="540"/>
    <s v="Sambalpur"/>
    <s v="Kids"/>
    <s v="Kids Gown"/>
    <s v="Rangriti"/>
    <s v="Wedding"/>
    <s v="Store"/>
    <n v="1"/>
    <n v="4250"/>
    <s v="11-20%"/>
    <n v="15"/>
    <s v="Valid"/>
    <s v="Match"/>
    <n v="4250"/>
    <n v="637.5"/>
    <n v="3612.5"/>
    <n v="2339.5100000000002"/>
    <n v="1272.99"/>
    <b v="0"/>
    <n v="0"/>
    <s v="Card"/>
    <s v="Priya"/>
    <s v="Google"/>
    <n v="4"/>
    <x v="2"/>
    <x v="1"/>
  </r>
  <r>
    <s v="ZAR-10486"/>
    <d v="2025-01-05T00:00:00"/>
    <s v="12 AM - 4 AM"/>
    <x v="663"/>
    <s v="Sambalpur"/>
    <s v="Men"/>
    <s v="Nehru Jacket"/>
    <s v="FabIndia"/>
    <s v="Casual"/>
    <s v="Phone"/>
    <n v="3"/>
    <n v="4000"/>
    <s v="21-30%"/>
    <n v="30"/>
    <s v="Valid"/>
    <s v="Match"/>
    <n v="12000"/>
    <n v="3600"/>
    <n v="8400"/>
    <n v="8080.16"/>
    <n v="319.83999999999997"/>
    <b v="0"/>
    <n v="0"/>
    <s v="Card"/>
    <s v="Ananya"/>
    <s v="Repeat Customer"/>
    <n v="3.5"/>
    <x v="10"/>
    <x v="0"/>
  </r>
  <r>
    <s v="ZAR-10990"/>
    <d v="2025-04-28T00:00:00"/>
    <s v="8 PM - 12 AM"/>
    <x v="664"/>
    <s v="Sambalpur"/>
    <s v="Women"/>
    <s v="Gown"/>
    <s v="Zaree Studio"/>
    <s v="Festive"/>
    <s v="Walk-in"/>
    <n v="3"/>
    <n v="11950"/>
    <s v="0%"/>
    <n v="0"/>
    <s v="Valid"/>
    <s v="Match"/>
    <n v="35850"/>
    <n v="0"/>
    <n v="35850"/>
    <n v="20113.63"/>
    <n v="15736.37"/>
    <b v="0"/>
    <n v="0"/>
    <s v="UPI"/>
    <s v="Sanjay"/>
    <s v="Google"/>
    <n v="5"/>
    <x v="7"/>
    <x v="2"/>
  </r>
  <r>
    <s v="ZAR-10506"/>
    <d v="2025-02-20T00:00:00"/>
    <s v="12 AM - 4 AM"/>
    <x v="665"/>
    <s v="Sambalpur"/>
    <s v="Men"/>
    <s v="Dhoti Set"/>
    <s v="FabIndia"/>
    <s v="Casual"/>
    <s v="Walk-in"/>
    <n v="1"/>
    <n v="4650"/>
    <s v="1-10%"/>
    <n v="10"/>
    <s v="Valid"/>
    <s v="Match"/>
    <n v="4650"/>
    <n v="465"/>
    <n v="4185"/>
    <n v="3365.92"/>
    <n v="819.08"/>
    <b v="0"/>
    <n v="0"/>
    <s v="Cash"/>
    <s v="Priya"/>
    <s v="WhatsApp"/>
    <n v="5"/>
    <x v="4"/>
    <x v="4"/>
  </r>
  <r>
    <s v="ZAR-10833"/>
    <d v="2025-10-12T00:00:00"/>
    <s v="12 PM - 4 PM"/>
    <x v="666"/>
    <s v="Cuttack"/>
    <s v="Women"/>
    <s v="Lehenga"/>
    <s v="Rangriti"/>
    <s v="Festive"/>
    <s v="Store"/>
    <n v="3"/>
    <n v="22000"/>
    <s v="1-10%"/>
    <n v="5"/>
    <s v="Valid"/>
    <s v="Match"/>
    <n v="66000"/>
    <n v="3300"/>
    <n v="62700"/>
    <n v="48117.04"/>
    <n v="14582.96"/>
    <b v="0"/>
    <n v="0"/>
    <s v="Card"/>
    <s v="Ananya"/>
    <s v="Google"/>
    <n v="3"/>
    <x v="3"/>
    <x v="0"/>
  </r>
  <r>
    <s v="ZAR-10245"/>
    <d v="2025-10-12T00:00:00"/>
    <s v="8 AM - 12 PM"/>
    <x v="667"/>
    <s v="Cuttack"/>
    <s v="Women"/>
    <s v="Saree"/>
    <s v="Manyavar"/>
    <s v="Office"/>
    <s v="Instagram"/>
    <n v="1"/>
    <n v="26200"/>
    <s v="0%"/>
    <n v="0"/>
    <s v="Valid"/>
    <s v="Match"/>
    <n v="26200"/>
    <n v="0"/>
    <n v="26200"/>
    <n v="16093.92"/>
    <n v="10106.08"/>
    <b v="0"/>
    <n v="0"/>
    <s v="UPI"/>
    <s v="Rohit"/>
    <s v="Referral"/>
    <n v="4"/>
    <x v="3"/>
    <x v="0"/>
  </r>
  <r>
    <s v="ZAR-10568"/>
    <d v="2025-10-04T00:00:00"/>
    <s v="12 AM - 4 AM"/>
    <x v="34"/>
    <s v="Sambalpur"/>
    <s v="Women"/>
    <s v="Gown"/>
    <s v="Local Artisan"/>
    <s v="Wedding Guest"/>
    <s v="Store"/>
    <n v="1"/>
    <n v="14600"/>
    <s v="21-30%"/>
    <n v="25"/>
    <s v="Valid"/>
    <s v="Match"/>
    <n v="14600"/>
    <n v="3650"/>
    <n v="10950"/>
    <n v="8394.25"/>
    <n v="2555.75"/>
    <b v="0"/>
    <n v="0"/>
    <s v="Card"/>
    <s v="Priya"/>
    <s v="WhatsApp"/>
    <n v="5"/>
    <x v="3"/>
    <x v="5"/>
  </r>
  <r>
    <s v="ZAR-10877"/>
    <d v="2025-01-07T00:00:00"/>
    <s v="4 AM - 8 AM"/>
    <x v="180"/>
    <s v="Cuttack"/>
    <s v="Women"/>
    <s v="Bridal Lehenga"/>
    <s v="FabIndia"/>
    <s v="Festive"/>
    <s v="Website"/>
    <n v="1"/>
    <n v="87300"/>
    <s v="11-20%"/>
    <n v="20"/>
    <s v="Valid"/>
    <s v="Match"/>
    <n v="87300"/>
    <n v="17460"/>
    <n v="69840"/>
    <n v="45853.34"/>
    <n v="23986.66"/>
    <b v="0"/>
    <n v="0"/>
    <s v="Net Banking"/>
    <s v="Sanjay"/>
    <s v="Repeat Customer"/>
    <n v="5"/>
    <x v="10"/>
    <x v="6"/>
  </r>
  <r>
    <s v="ZAR-10564"/>
    <d v="2025-05-08T00:00:00"/>
    <s v="8 PM - 12 AM"/>
    <x v="649"/>
    <s v="Rourkela"/>
    <s v="Men"/>
    <s v="Sherwani"/>
    <s v="Biba"/>
    <s v="Engagement"/>
    <s v="WhatsApp"/>
    <n v="2"/>
    <n v="41900"/>
    <s v="1-10%"/>
    <n v="10"/>
    <s v="Valid"/>
    <s v="Match"/>
    <n v="83800"/>
    <n v="8380"/>
    <n v="75420"/>
    <n v="56619.51"/>
    <n v="18800.490000000002"/>
    <b v="0"/>
    <n v="0"/>
    <s v="Cash"/>
    <s v="Sanjay"/>
    <s v="Repeat Customer"/>
    <s v="Not Rated"/>
    <x v="8"/>
    <x v="4"/>
  </r>
  <r>
    <s v="ZAR-10962"/>
    <d v="2025-02-27T00:00:00"/>
    <s v="4 PM - 8 PM"/>
    <x v="256"/>
    <s v="Balasore"/>
    <s v="Women"/>
    <s v="Lehenga"/>
    <s v="Rangriti"/>
    <s v="Wedding"/>
    <s v="Store"/>
    <n v="1"/>
    <n v="33000"/>
    <s v="1-10%"/>
    <n v="5"/>
    <s v="Valid"/>
    <s v="Match"/>
    <n v="33000"/>
    <n v="1650"/>
    <n v="31350"/>
    <n v="19167.75"/>
    <n v="12182.25"/>
    <b v="0"/>
    <n v="0"/>
    <s v="Cash"/>
    <s v="Rohit"/>
    <s v="Google"/>
    <n v="4"/>
    <x v="4"/>
    <x v="4"/>
  </r>
  <r>
    <s v="ZAR-10688"/>
    <d v="2025-05-05T00:00:00"/>
    <s v="8 AM - 12 PM"/>
    <x v="490"/>
    <s v="Puri"/>
    <s v="Women"/>
    <s v="Blouse"/>
    <s v="Rangriti"/>
    <s v="Casual"/>
    <s v="WhatsApp"/>
    <n v="1"/>
    <n v="2850"/>
    <s v="11-20%"/>
    <n v="20"/>
    <s v="Valid"/>
    <s v="Match"/>
    <n v="2850"/>
    <n v="570"/>
    <n v="2280"/>
    <n v="1665.75"/>
    <n v="614.25"/>
    <b v="0"/>
    <n v="0"/>
    <s v="Card"/>
    <s v="Sanjay"/>
    <s v="WhatsApp"/>
    <n v="4"/>
    <x v="8"/>
    <x v="2"/>
  </r>
  <r>
    <s v="ZAR-10959"/>
    <d v="2025-07-28T00:00:00"/>
    <s v="12 AM - 4 AM"/>
    <x v="477"/>
    <s v="Berhampur"/>
    <s v="Men"/>
    <s v="Kurta Pajama"/>
    <s v="Zaree Studio"/>
    <s v="Casual"/>
    <s v="Website"/>
    <n v="3"/>
    <n v="6300"/>
    <s v="21-30%"/>
    <n v="25"/>
    <s v="Valid"/>
    <s v="Match"/>
    <n v="18900"/>
    <n v="4725"/>
    <n v="14175"/>
    <n v="11947.27"/>
    <n v="2227.73"/>
    <b v="0"/>
    <n v="0"/>
    <s v="Net Banking"/>
    <s v="Rohit"/>
    <s v="Repeat Customer"/>
    <n v="4"/>
    <x v="0"/>
    <x v="2"/>
  </r>
  <r>
    <s v="ZAR-10191"/>
    <d v="2025-04-20T00:00:00"/>
    <s v="4 AM - 8 AM"/>
    <x v="513"/>
    <s v="Sambalpur"/>
    <s v="Men"/>
    <s v="Indo-Western"/>
    <s v="Biba"/>
    <s v="Casual"/>
    <s v="Store"/>
    <n v="1"/>
    <n v="10950"/>
    <s v="11-20%"/>
    <n v="15"/>
    <s v="Valid"/>
    <s v="Match"/>
    <n v="10950"/>
    <n v="1642.5"/>
    <n v="9307.5"/>
    <n v="6110.29"/>
    <n v="3197.21"/>
    <b v="0"/>
    <n v="0"/>
    <s v="Net Banking"/>
    <s v="Sanjay"/>
    <s v="Repeat Customer"/>
    <n v="5"/>
    <x v="7"/>
    <x v="0"/>
  </r>
  <r>
    <s v="ZAR-10784"/>
    <d v="2025-07-14T00:00:00"/>
    <s v="4 PM - 8 PM"/>
    <x v="213"/>
    <s v="Bhubaneshwar"/>
    <s v="Kids"/>
    <s v="Kids Kurta"/>
    <s v="Aurelia"/>
    <s v="Festive"/>
    <s v="Store"/>
    <n v="1"/>
    <n v="1750"/>
    <s v="11-20%"/>
    <n v="15"/>
    <s v="Valid"/>
    <s v="Match"/>
    <n v="1750"/>
    <n v="262.5"/>
    <n v="1487.5"/>
    <n v="986.48"/>
    <n v="501.02"/>
    <b v="0"/>
    <n v="0"/>
    <s v="UPI"/>
    <s v="Sanjay"/>
    <s v="WhatsApp"/>
    <n v="3.5"/>
    <x v="0"/>
    <x v="2"/>
  </r>
  <r>
    <s v="ZAR-10701"/>
    <d v="2025-06-03T00:00:00"/>
    <s v="4 AM - 8 AM"/>
    <x v="668"/>
    <s v="Sambalpur"/>
    <s v="Men"/>
    <s v="Kurta Pajama"/>
    <s v="Designer Collection"/>
    <s v="Family Function"/>
    <s v="Instagram"/>
    <n v="1"/>
    <n v="5650"/>
    <s v="21-30%"/>
    <n v="25"/>
    <s v="Valid"/>
    <s v="Match"/>
    <n v="5650"/>
    <n v="1412.5"/>
    <n v="4237.5"/>
    <n v="4124.24"/>
    <n v="113.26"/>
    <b v="0"/>
    <n v="0"/>
    <s v="Cash"/>
    <s v="Ananya"/>
    <s v="Walk-in"/>
    <n v="4.5"/>
    <x v="2"/>
    <x v="6"/>
  </r>
  <r>
    <s v="ZAR-10477"/>
    <d v="2025-12-28T00:00:00"/>
    <s v="4 PM - 8 PM"/>
    <x v="669"/>
    <s v="Bhubaneshwar"/>
    <s v="Women"/>
    <s v="Saree"/>
    <s v="Zaree Studio"/>
    <s v="Casual"/>
    <s v="Website"/>
    <n v="1"/>
    <n v="33750"/>
    <s v="1-10%"/>
    <n v="5"/>
    <s v="Valid"/>
    <s v="Match"/>
    <n v="33750"/>
    <n v="1687.5"/>
    <n v="32062.5"/>
    <n v="19371.25"/>
    <n v="12691.25"/>
    <b v="0"/>
    <n v="0"/>
    <s v="Net Banking"/>
    <s v="Meera"/>
    <s v="Instagram"/>
    <n v="4.5"/>
    <x v="1"/>
    <x v="0"/>
  </r>
  <r>
    <s v="ZAR-10683"/>
    <d v="2025-09-11T00:00:00"/>
    <s v="4 AM - 8 AM"/>
    <x v="670"/>
    <s v="Balasore"/>
    <s v="Women"/>
    <s v="Lehenga"/>
    <s v="Manyavar"/>
    <s v="Wedding"/>
    <s v="Store"/>
    <n v="1"/>
    <n v="23750"/>
    <s v="21-30%"/>
    <n v="30"/>
    <s v="Valid"/>
    <s v="Match"/>
    <n v="23750"/>
    <n v="7125"/>
    <n v="16625"/>
    <n v="13792.85"/>
    <n v="2832.15"/>
    <b v="0"/>
    <n v="0"/>
    <s v="COD"/>
    <s v="Meera"/>
    <s v="Google"/>
    <n v="2.5"/>
    <x v="11"/>
    <x v="4"/>
  </r>
  <r>
    <s v="ZAR-10512"/>
    <d v="2025-08-21T00:00:00"/>
    <s v="12 AM - 4 AM"/>
    <x v="671"/>
    <s v="Berhampur"/>
    <s v="Women"/>
    <s v="Dupatta"/>
    <s v="Manyavar"/>
    <s v="Casual"/>
    <s v="Store"/>
    <n v="1"/>
    <n v="1800"/>
    <s v="21-30%"/>
    <n v="25"/>
    <s v="Valid"/>
    <s v="Match"/>
    <n v="1800"/>
    <n v="450"/>
    <n v="1350"/>
    <n v="1143.6600000000001"/>
    <n v="206.34"/>
    <b v="0"/>
    <n v="0"/>
    <s v="COD"/>
    <s v="Sanjay"/>
    <s v="Google"/>
    <n v="2.5"/>
    <x v="6"/>
    <x v="4"/>
  </r>
  <r>
    <s v="ZAR-10060"/>
    <d v="2025-12-13T00:00:00"/>
    <s v="4 PM - 8 PM"/>
    <x v="17"/>
    <s v="Bhubaneshwar"/>
    <s v="Women"/>
    <s v="Salwar Suit"/>
    <s v="Local Artisan"/>
    <s v="Puja"/>
    <s v="Store"/>
    <n v="3"/>
    <n v="6600"/>
    <s v="11-20%"/>
    <n v="15"/>
    <s v="Valid"/>
    <s v="Match"/>
    <n v="19800"/>
    <n v="2970"/>
    <n v="16830"/>
    <n v="14221.67"/>
    <n v="2608.33"/>
    <b v="0"/>
    <n v="0"/>
    <s v="Cash"/>
    <s v="Sanjay"/>
    <s v="Referral"/>
    <n v="4"/>
    <x v="1"/>
    <x v="5"/>
  </r>
  <r>
    <s v="ZAR-10476"/>
    <d v="2025-03-05T00:00:00"/>
    <s v="8 PM - 12 AM"/>
    <x v="672"/>
    <s v="Bhubaneshwar"/>
    <s v="Men"/>
    <s v="Dhoti Set"/>
    <s v="Aurelia"/>
    <s v="Festive"/>
    <s v="Store"/>
    <n v="2"/>
    <n v="5100"/>
    <s v="1-10%"/>
    <n v="10"/>
    <s v="Valid"/>
    <s v="Match"/>
    <n v="10200"/>
    <n v="1020"/>
    <n v="9180"/>
    <n v="6562.98"/>
    <n v="2617.02"/>
    <b v="0"/>
    <n v="0"/>
    <s v="Net Banking"/>
    <s v="Neha"/>
    <s v="Instagram"/>
    <n v="4.5"/>
    <x v="9"/>
    <x v="1"/>
  </r>
  <r>
    <s v="ZAR-10562"/>
    <d v="2025-12-25T00:00:00"/>
    <s v="4 PM - 8 PM"/>
    <x v="145"/>
    <s v="Sambalpur"/>
    <s v="Women"/>
    <s v="Salwar Suit"/>
    <s v="FabIndia"/>
    <s v="Wedding Guest"/>
    <s v="Insta"/>
    <n v="2"/>
    <n v="6050"/>
    <s v="0%"/>
    <n v="0"/>
    <s v="Valid"/>
    <s v="Match"/>
    <n v="12100"/>
    <n v="0"/>
    <n v="12100"/>
    <n v="7700.09"/>
    <n v="4399.91"/>
    <b v="0"/>
    <n v="0"/>
    <s v="Net Banking"/>
    <s v="Rohit"/>
    <s v="Referral"/>
    <n v="3.5"/>
    <x v="1"/>
    <x v="4"/>
  </r>
  <r>
    <s v="ZAR-10858"/>
    <d v="2025-11-07T00:00:00"/>
    <s v="8 PM - 12 AM"/>
    <x v="380"/>
    <s v="Berhampur"/>
    <s v="Women"/>
    <s v="Lehenga"/>
    <s v="Designer Collection"/>
    <s v="Festive"/>
    <s v="Walk-in"/>
    <n v="2"/>
    <n v="19100"/>
    <s v="1-10%"/>
    <n v="10"/>
    <s v="Valid"/>
    <s v="Match"/>
    <n v="38200"/>
    <n v="3820"/>
    <n v="34380"/>
    <n v="25730.63"/>
    <n v="8649.3700000000008"/>
    <b v="0"/>
    <n v="0"/>
    <s v="Cash"/>
    <s v="Sanjay"/>
    <s v="Referral"/>
    <n v="4"/>
    <x v="5"/>
    <x v="3"/>
  </r>
  <r>
    <s v="ZAR-10749"/>
    <d v="2025-06-27T00:00:00"/>
    <s v="12 PM - 4 PM"/>
    <x v="673"/>
    <s v="Rourkela"/>
    <s v="Women"/>
    <s v="Dupatta"/>
    <s v="Manyavar"/>
    <s v="Puja"/>
    <s v="Website"/>
    <n v="2"/>
    <n v="2650"/>
    <s v="1-10%"/>
    <n v="10"/>
    <s v="Valid"/>
    <s v="Match"/>
    <n v="5300"/>
    <n v="530"/>
    <n v="4770"/>
    <n v="3153.13"/>
    <n v="1616.87"/>
    <b v="0"/>
    <n v="0"/>
    <s v="Net Banking"/>
    <s v="Priya"/>
    <s v="Google"/>
    <n v="5"/>
    <x v="2"/>
    <x v="3"/>
  </r>
  <r>
    <s v="ZAR-10254"/>
    <d v="2025-12-10T00:00:00"/>
    <s v="4 PM - 8 PM"/>
    <x v="674"/>
    <s v="Bhubaneshwar"/>
    <s v="Women"/>
    <s v="Saree"/>
    <s v="Rangriti"/>
    <s v="Puja"/>
    <s v="Website"/>
    <n v="3"/>
    <n v="9150"/>
    <s v="1-10%"/>
    <n v="5"/>
    <s v="Valid"/>
    <s v="Match"/>
    <n v="27450"/>
    <n v="1372.5"/>
    <n v="26077.5"/>
    <n v="14966.21"/>
    <n v="11111.29"/>
    <b v="0"/>
    <n v="0"/>
    <s v="Cash"/>
    <s v="Karan"/>
    <s v="Instagram"/>
    <n v="4"/>
    <x v="1"/>
    <x v="1"/>
  </r>
  <r>
    <s v="ZAR-10023"/>
    <d v="2025-07-30T00:00:00"/>
    <s v="8 PM - 12 AM"/>
    <x v="259"/>
    <s v="Balasore"/>
    <s v="Kids"/>
    <s v="Kids Kurta"/>
    <s v="Designer Collection"/>
    <s v="Festive"/>
    <s v="Website"/>
    <n v="1"/>
    <n v="3150"/>
    <s v="21-30%"/>
    <n v="25"/>
    <s v="Valid"/>
    <s v="Match"/>
    <n v="3150"/>
    <n v="787.5"/>
    <n v="2362.5"/>
    <n v="2278.67"/>
    <n v="83.83"/>
    <b v="0"/>
    <n v="0"/>
    <s v="Card"/>
    <s v="Rohit"/>
    <s v="Google"/>
    <n v="4"/>
    <x v="0"/>
    <x v="1"/>
  </r>
  <r>
    <s v="ZAR-10315"/>
    <d v="2025-03-21T00:00:00"/>
    <s v="12 AM - 4 AM"/>
    <x v="605"/>
    <s v="Balasore"/>
    <s v="Men"/>
    <s v="Indo-Western"/>
    <s v="Zaree Studio"/>
    <s v="Casual"/>
    <s v="Store"/>
    <n v="2"/>
    <n v="4650"/>
    <s v="1-10%"/>
    <n v="5"/>
    <s v="Valid"/>
    <s v="Match"/>
    <n v="9300"/>
    <n v="465"/>
    <n v="8835"/>
    <n v="6238.24"/>
    <n v="2596.7600000000002"/>
    <b v="0"/>
    <n v="0"/>
    <s v="Cash"/>
    <s v="Karan"/>
    <s v="Instagram"/>
    <n v="4"/>
    <x v="9"/>
    <x v="3"/>
  </r>
  <r>
    <s v="ZAR-10461"/>
    <d v="2025-09-21T00:00:00"/>
    <s v="4 PM - 8 PM"/>
    <x v="675"/>
    <s v="Bhubaneshwar"/>
    <s v="Men"/>
    <s v="Sherwani"/>
    <s v="Rangriti"/>
    <s v="Festive"/>
    <s v="WhatsApp"/>
    <n v="2"/>
    <n v="36250"/>
    <s v="1-10%"/>
    <n v="5"/>
    <s v="Valid"/>
    <s v="Match"/>
    <n v="72500"/>
    <n v="3625"/>
    <n v="68875"/>
    <n v="51311.86"/>
    <n v="17563.14"/>
    <b v="0"/>
    <n v="0"/>
    <s v="UPI"/>
    <s v="Meera"/>
    <s v="Repeat Customer"/>
    <n v="4"/>
    <x v="11"/>
    <x v="0"/>
  </r>
  <r>
    <s v="ZAR-10162"/>
    <d v="2025-11-02T00:00:00"/>
    <s v="4 AM - 8 AM"/>
    <x v="383"/>
    <s v="Rourkela"/>
    <s v="Women"/>
    <s v="Lehenga"/>
    <s v="Manyavar"/>
    <s v="Reception"/>
    <s v="Store"/>
    <n v="2"/>
    <n v="13950"/>
    <s v="11-20%"/>
    <n v="20"/>
    <s v="Valid"/>
    <s v="Match"/>
    <n v="27900"/>
    <n v="5580"/>
    <n v="22320"/>
    <n v="16892.39"/>
    <n v="5427.61"/>
    <b v="0"/>
    <n v="0"/>
    <s v="Net Banking"/>
    <s v="Priya"/>
    <s v="Walk-in"/>
    <n v="4.5"/>
    <x v="5"/>
    <x v="0"/>
  </r>
  <r>
    <s v="ZAR-10278"/>
    <d v="2025-11-13T00:00:00"/>
    <s v="8 AM - 12 PM"/>
    <x v="547"/>
    <s v="Puri"/>
    <s v="Women"/>
    <s v="Kurti"/>
    <s v="Designer Collection"/>
    <s v="Reception"/>
    <s v="Store"/>
    <n v="1"/>
    <n v="4000"/>
    <s v="1-10%"/>
    <n v="5"/>
    <s v="Valid"/>
    <s v="Match"/>
    <n v="4000"/>
    <n v="200"/>
    <n v="3800"/>
    <n v="2814.75"/>
    <n v="985.25"/>
    <b v="0"/>
    <n v="0"/>
    <s v="COD"/>
    <s v="Ananya"/>
    <s v="Repeat Customer"/>
    <n v="5"/>
    <x v="5"/>
    <x v="4"/>
  </r>
  <r>
    <s v="ZAR-10957"/>
    <d v="2025-06-20T00:00:00"/>
    <s v="8 AM - 12 PM"/>
    <x v="676"/>
    <s v="Bhubaneshwar"/>
    <s v="Women"/>
    <s v="Dupatta"/>
    <s v="Rangriti"/>
    <s v="Puja"/>
    <s v="Store"/>
    <n v="1"/>
    <n v="3900"/>
    <s v="11-20%"/>
    <n v="15"/>
    <s v="Valid"/>
    <s v="Match"/>
    <n v="3900"/>
    <n v="585"/>
    <n v="3315"/>
    <n v="2107.77"/>
    <n v="1207.23"/>
    <b v="0"/>
    <n v="0"/>
    <s v="Net Banking"/>
    <s v="Ananya"/>
    <s v="Google"/>
    <n v="3"/>
    <x v="2"/>
    <x v="3"/>
  </r>
  <r>
    <s v="ZAR-10193"/>
    <d v="2025-01-16T00:00:00"/>
    <s v="8 AM - 12 PM"/>
    <x v="677"/>
    <s v="Puri"/>
    <s v="Women"/>
    <s v="Gown"/>
    <s v="Manyavar"/>
    <s v="Puja"/>
    <s v="Phone"/>
    <n v="1"/>
    <n v="7350"/>
    <s v="1-10%"/>
    <n v="10"/>
    <s v="Valid"/>
    <s v="Match"/>
    <n v="7350"/>
    <n v="735"/>
    <n v="6615"/>
    <n v="4787.54"/>
    <n v="1827.46"/>
    <b v="0"/>
    <n v="0"/>
    <s v="UPI"/>
    <s v="Rohit"/>
    <s v="WhatsApp"/>
    <n v="3.5"/>
    <x v="10"/>
    <x v="4"/>
  </r>
  <r>
    <s v="ZAR-10387"/>
    <d v="2025-03-31T00:00:00"/>
    <s v="8 PM - 12 AM"/>
    <x v="672"/>
    <s v="Balasore"/>
    <s v="Kids"/>
    <s v="Kids Lehenga"/>
    <s v="FabIndia"/>
    <s v="Casual"/>
    <s v="Store"/>
    <n v="1"/>
    <n v="6150"/>
    <s v="0%"/>
    <n v="0"/>
    <s v="Valid"/>
    <s v="Match"/>
    <n v="6150"/>
    <n v="0"/>
    <n v="6150"/>
    <n v="3692.62"/>
    <n v="2457.38"/>
    <b v="0"/>
    <n v="0"/>
    <s v="Card"/>
    <s v="Neha"/>
    <s v="Instagram"/>
    <n v="3.5"/>
    <x v="9"/>
    <x v="2"/>
  </r>
  <r>
    <s v="ZAR-10807"/>
    <d v="2025-08-22T00:00:00"/>
    <s v="8 AM - 12 PM"/>
    <x v="416"/>
    <s v="Puri"/>
    <s v="Women"/>
    <s v="Gown"/>
    <s v="Zaree Studio"/>
    <s v="Festive"/>
    <s v="Instagram"/>
    <n v="3"/>
    <n v="3750"/>
    <s v="21-30%"/>
    <n v="30"/>
    <s v="Valid"/>
    <s v="Match"/>
    <n v="11250"/>
    <n v="3375"/>
    <n v="7875"/>
    <n v="5920.23"/>
    <n v="1954.77"/>
    <b v="0"/>
    <n v="0"/>
    <s v="Cash"/>
    <s v="Sanjay"/>
    <s v="WhatsApp"/>
    <n v="4"/>
    <x v="6"/>
    <x v="3"/>
  </r>
  <r>
    <s v="ZAR-10415"/>
    <d v="2025-02-19T00:00:00"/>
    <s v="12 AM - 4 AM"/>
    <x v="678"/>
    <s v="Puri"/>
    <s v="Women"/>
    <s v="Bridal Lehenga"/>
    <s v="Biba"/>
    <s v="Festive"/>
    <s v="Store"/>
    <n v="1"/>
    <n v="122000"/>
    <s v="1-10%"/>
    <n v="10"/>
    <s v="Valid"/>
    <s v="Match"/>
    <n v="122000"/>
    <n v="12200"/>
    <n v="109800"/>
    <n v="80133.59"/>
    <n v="29666.41"/>
    <b v="0"/>
    <n v="0"/>
    <s v="Net Banking"/>
    <s v="Sanjay"/>
    <s v="Repeat Customer"/>
    <n v="3.5"/>
    <x v="4"/>
    <x v="1"/>
  </r>
  <r>
    <s v="ZAR-10493"/>
    <d v="2025-11-17T00:00:00"/>
    <s v="12 PM - 4 PM"/>
    <x v="337"/>
    <s v="Bhubaneshwar"/>
    <s v="Women"/>
    <s v="Saree"/>
    <s v="Local Artisan"/>
    <s v="Office"/>
    <s v="Instagram"/>
    <n v="2"/>
    <n v="3850"/>
    <s v="0%"/>
    <n v="0"/>
    <s v="Valid"/>
    <s v="Match"/>
    <n v="7700"/>
    <n v="0"/>
    <n v="7700"/>
    <n v="4514.6899999999996"/>
    <n v="3185.31"/>
    <b v="0"/>
    <n v="0"/>
    <s v="UPI"/>
    <s v="Neha"/>
    <s v="Google"/>
    <n v="4"/>
    <x v="5"/>
    <x v="2"/>
  </r>
  <r>
    <s v="ZAR-10345"/>
    <d v="2025-08-27T00:00:00"/>
    <s v="4 PM - 8 PM"/>
    <x v="419"/>
    <s v="Bhubaneshwar"/>
    <s v="Women"/>
    <s v="Kurti"/>
    <s v="Designer Collection"/>
    <s v="Casual"/>
    <s v="Website"/>
    <n v="2"/>
    <n v="3400"/>
    <s v="11-20%"/>
    <n v="20"/>
    <s v="Valid"/>
    <s v="Match"/>
    <n v="6800"/>
    <n v="1360"/>
    <n v="5440"/>
    <n v="3653.5"/>
    <n v="1786.5"/>
    <b v="0"/>
    <n v="0"/>
    <s v="Cash"/>
    <s v="Karan"/>
    <s v="WhatsApp"/>
    <n v="3"/>
    <x v="6"/>
    <x v="1"/>
  </r>
  <r>
    <s v="ZAR-10771"/>
    <d v="2025-11-09T00:00:00"/>
    <s v="4 AM - 8 AM"/>
    <x v="571"/>
    <s v="Balasore"/>
    <s v="Women"/>
    <s v="Gown"/>
    <s v="Manyavar"/>
    <s v="Casual"/>
    <s v="Store"/>
    <n v="1"/>
    <n v="12100"/>
    <s v="21-30%"/>
    <n v="25"/>
    <s v="Valid"/>
    <s v="Match"/>
    <n v="12100"/>
    <n v="3025"/>
    <n v="9075"/>
    <n v="7090.76"/>
    <n v="1984.24"/>
    <b v="0"/>
    <n v="0"/>
    <s v="Cash"/>
    <s v="Neha"/>
    <s v="Google"/>
    <n v="3.5"/>
    <x v="5"/>
    <x v="0"/>
  </r>
  <r>
    <s v="ZAR-10310"/>
    <d v="2025-06-03T00:00:00"/>
    <s v="12 AM - 4 AM"/>
    <x v="606"/>
    <s v="Puri"/>
    <s v="Men"/>
    <s v="Shirt"/>
    <s v="FabIndia"/>
    <s v="Festive"/>
    <s v="Instagram"/>
    <n v="2"/>
    <n v="3050"/>
    <s v="0%"/>
    <n v="0"/>
    <s v="Valid"/>
    <s v="Match"/>
    <n v="6100"/>
    <n v="0"/>
    <n v="6100"/>
    <n v="3970.8"/>
    <n v="2129.1999999999998"/>
    <b v="0"/>
    <n v="0"/>
    <s v="Net Banking"/>
    <s v="Sanjay"/>
    <s v="Instagram"/>
    <n v="4"/>
    <x v="2"/>
    <x v="6"/>
  </r>
  <r>
    <s v="ZAR-10663"/>
    <d v="2025-07-12T00:00:00"/>
    <s v="12 PM - 4 PM"/>
    <x v="679"/>
    <s v="Balasore"/>
    <s v="Women"/>
    <s v="Salwar Suit"/>
    <s v="Manyavar"/>
    <s v="Puja"/>
    <s v="Store"/>
    <n v="1"/>
    <n v="8450"/>
    <s v="21-30%"/>
    <n v="30"/>
    <s v="Valid"/>
    <s v="Match"/>
    <n v="8450"/>
    <n v="2535"/>
    <n v="5915"/>
    <n v="5593.3"/>
    <n v="321.7"/>
    <b v="0"/>
    <n v="0"/>
    <s v="Cash"/>
    <s v="Neha"/>
    <s v="Repeat Customer"/>
    <n v="5"/>
    <x v="0"/>
    <x v="5"/>
  </r>
  <r>
    <s v="ZAR-10132"/>
    <d v="2025-01-12T00:00:00"/>
    <s v="8 AM - 12 PM"/>
    <x v="680"/>
    <s v="Balasore"/>
    <s v="Kids"/>
    <s v="Kids Gown"/>
    <s v="Aurelia"/>
    <s v="Family Function"/>
    <s v="WhatsApp"/>
    <n v="2"/>
    <n v="3200"/>
    <s v="1-10%"/>
    <n v="5"/>
    <s v="Valid"/>
    <s v="Match"/>
    <n v="6400"/>
    <n v="320"/>
    <n v="6080"/>
    <n v="4503.43"/>
    <n v="1576.57"/>
    <b v="0"/>
    <n v="0"/>
    <s v="Net Banking"/>
    <s v="Priya"/>
    <s v="Walk-in"/>
    <n v="3.5"/>
    <x v="10"/>
    <x v="0"/>
  </r>
  <r>
    <s v="ZAR-10665"/>
    <d v="2025-02-07T00:00:00"/>
    <s v="12 PM - 4 PM"/>
    <x v="320"/>
    <s v="Sambalpur"/>
    <s v="Men"/>
    <s v="Indo-Western"/>
    <s v="Rangriti"/>
    <s v="Casual"/>
    <s v="Instagram"/>
    <n v="1"/>
    <n v="16900"/>
    <s v="1-10%"/>
    <n v="10"/>
    <s v="Valid"/>
    <s v="Match"/>
    <n v="16900"/>
    <n v="1690"/>
    <n v="15210"/>
    <n v="9213.61"/>
    <n v="5996.39"/>
    <b v="0"/>
    <n v="0"/>
    <s v="Net Banking"/>
    <s v="Sanjay"/>
    <s v="Walk-in"/>
    <n v="4"/>
    <x v="4"/>
    <x v="3"/>
  </r>
  <r>
    <s v="ZAR-10873"/>
    <d v="2025-03-20T00:00:00"/>
    <s v="4 AM - 8 AM"/>
    <x v="681"/>
    <s v="Sambalpur "/>
    <s v="Men"/>
    <s v="Shirt"/>
    <s v="Biba"/>
    <s v="Family Function"/>
    <s v="Store"/>
    <n v="1"/>
    <n v="1500"/>
    <s v="1-10%"/>
    <n v="5"/>
    <s v="Valid"/>
    <s v="Match"/>
    <n v="1500"/>
    <n v="75"/>
    <n v="1425"/>
    <n v="1030.31"/>
    <n v="394.69"/>
    <b v="0"/>
    <n v="0"/>
    <s v="Net Banking"/>
    <s v="Ananya"/>
    <s v="WhatsApp"/>
    <n v="3"/>
    <x v="9"/>
    <x v="4"/>
  </r>
  <r>
    <s v="ZAR-10101"/>
    <d v="2025-08-13T00:00:00"/>
    <s v="12 AM - 4 AM"/>
    <x v="566"/>
    <s v="Bhubaneshwar"/>
    <s v="Women"/>
    <s v="Saree"/>
    <s v="Zaree Studio"/>
    <s v="Office"/>
    <s v="Store"/>
    <n v="1"/>
    <n v="33450"/>
    <s v="11-20%"/>
    <n v="20"/>
    <s v="Valid"/>
    <s v="Match"/>
    <n v="33450"/>
    <n v="6690"/>
    <n v="26760"/>
    <n v="22384.06"/>
    <n v="4375.9399999999996"/>
    <b v="0"/>
    <n v="0"/>
    <s v="COD"/>
    <s v="Rohit"/>
    <s v="WhatsApp"/>
    <n v="4"/>
    <x v="6"/>
    <x v="1"/>
  </r>
  <r>
    <s v="ZAR-10374"/>
    <d v="2025-06-16T00:00:00"/>
    <s v="12 AM - 4 AM"/>
    <x v="682"/>
    <s v="Berhampur"/>
    <s v="Women"/>
    <s v="Kurti"/>
    <s v="FabIndia"/>
    <s v="Festive"/>
    <s v="Store"/>
    <n v="2"/>
    <n v="2300"/>
    <s v="21-30%"/>
    <n v="25"/>
    <s v="Valid"/>
    <s v="Match"/>
    <n v="4600"/>
    <n v="1150"/>
    <n v="3450"/>
    <n v="3078.54"/>
    <n v="371.46"/>
    <b v="0"/>
    <n v="0"/>
    <s v="UPI"/>
    <s v="Ananya"/>
    <s v="Referral"/>
    <n v="3"/>
    <x v="2"/>
    <x v="2"/>
  </r>
  <r>
    <s v="ZAR-10089"/>
    <d v="2025-03-26T00:00:00"/>
    <s v="12 PM - 4 PM"/>
    <x v="683"/>
    <s v="Rourkela"/>
    <s v="Women"/>
    <s v="Dupatta"/>
    <s v="Aurelia"/>
    <s v="Casual"/>
    <s v="Store"/>
    <n v="1"/>
    <n v="1200"/>
    <s v="21-30%"/>
    <n v="25"/>
    <s v="Valid"/>
    <s v="Match"/>
    <n v="1200"/>
    <n v="300"/>
    <n v="900"/>
    <n v="827.57"/>
    <n v="72.430000000000007"/>
    <b v="0"/>
    <n v="0"/>
    <s v="COD"/>
    <s v="Rohit"/>
    <s v="Referral"/>
    <n v="4"/>
    <x v="9"/>
    <x v="1"/>
  </r>
  <r>
    <s v="ZAR-10460"/>
    <d v="2025-09-15T00:00:00"/>
    <s v="12 AM - 4 AM"/>
    <x v="557"/>
    <s v="Bhubaneshwar"/>
    <s v="Women"/>
    <s v="Bridal Lehenga"/>
    <s v="Aurelia"/>
    <s v="Reception"/>
    <s v="Store"/>
    <n v="1"/>
    <n v="124900"/>
    <s v="1-10%"/>
    <n v="10"/>
    <s v="Valid"/>
    <s v="Match"/>
    <n v="124900"/>
    <n v="12490"/>
    <n v="112410"/>
    <n v="69748.81"/>
    <n v="42661.19"/>
    <b v="0"/>
    <n v="0"/>
    <s v="Net Banking"/>
    <s v="Priya"/>
    <s v="Referral"/>
    <n v="3"/>
    <x v="11"/>
    <x v="2"/>
  </r>
  <r>
    <s v="ZAR-10332"/>
    <d v="2025-06-19T00:00:00"/>
    <s v="12 AM - 4 AM"/>
    <x v="122"/>
    <s v="Bhubaneshwar"/>
    <s v="Women"/>
    <s v="Saree"/>
    <s v="Manyavar"/>
    <s v="Reception"/>
    <s v="Store"/>
    <n v="2"/>
    <n v="30150"/>
    <s v="21-30%"/>
    <n v="30"/>
    <s v="Valid"/>
    <s v="Match"/>
    <n v="60300"/>
    <n v="18090"/>
    <n v="42210"/>
    <n v="39359.18"/>
    <n v="2850.82"/>
    <b v="0"/>
    <n v="0"/>
    <s v="Net Banking"/>
    <s v="Karan"/>
    <s v="Repeat Customer"/>
    <n v="4"/>
    <x v="2"/>
    <x v="4"/>
  </r>
  <r>
    <s v="ZAR-10216"/>
    <d v="2025-02-25T00:00:00"/>
    <s v="12 PM - 4 PM"/>
    <x v="684"/>
    <s v="Sambalpur"/>
    <s v="Women"/>
    <s v="Gown"/>
    <s v="Biba"/>
    <s v="Office"/>
    <s v="Phone"/>
    <n v="2"/>
    <n v="9500"/>
    <s v="1-10%"/>
    <n v="10"/>
    <s v="Valid"/>
    <s v="Match"/>
    <n v="19000"/>
    <n v="1900"/>
    <n v="17100"/>
    <n v="11127.63"/>
    <n v="5972.37"/>
    <b v="0"/>
    <n v="0"/>
    <s v="Card"/>
    <s v="Rohit"/>
    <s v="Repeat Customer"/>
    <n v="4"/>
    <x v="4"/>
    <x v="6"/>
  </r>
  <r>
    <s v="ZAR-10468"/>
    <d v="2025-08-05T00:00:00"/>
    <s v="4 PM - 8 PM"/>
    <x v="424"/>
    <s v="Balasore"/>
    <s v="Kids"/>
    <s v="Kids Sherwani"/>
    <s v="Designer Collection"/>
    <s v="Engagement"/>
    <s v="Store"/>
    <n v="1"/>
    <n v="4300"/>
    <s v="21-30%"/>
    <n v="30"/>
    <s v="Valid"/>
    <s v="Match"/>
    <n v="4300"/>
    <n v="1290"/>
    <n v="3010"/>
    <n v="2523.5300000000002"/>
    <n v="486.47"/>
    <b v="0"/>
    <n v="0"/>
    <s v="Cash"/>
    <s v="Neha"/>
    <s v="WhatsApp"/>
    <n v="2.5"/>
    <x v="6"/>
    <x v="6"/>
  </r>
  <r>
    <s v="ZAR-10123"/>
    <d v="2025-07-23T00:00:00"/>
    <s v="12 PM - 4 PM"/>
    <x v="572"/>
    <s v="Balasore"/>
    <s v="Women"/>
    <s v="Bridal Lehenga"/>
    <s v="Biba"/>
    <s v="Wedding"/>
    <s v="Phone"/>
    <n v="1"/>
    <n v="115700"/>
    <s v="30%+"/>
    <s v="5"/>
    <s v="Invalid Discount"/>
    <s v="Match"/>
    <n v="115700"/>
    <n v="5785"/>
    <n v="109915"/>
    <n v="85546.01"/>
    <n v="24368.99"/>
    <b v="0"/>
    <n v="0"/>
    <s v="COD"/>
    <s v="Neha"/>
    <s v="Instagram"/>
    <n v="3"/>
    <x v="0"/>
    <x v="1"/>
  </r>
  <r>
    <s v="ZAR-10616"/>
    <d v="2025-08-22T00:00:00"/>
    <s v="12 PM - 4 PM"/>
    <x v="192"/>
    <s v="Sambalpur"/>
    <s v="Kids"/>
    <s v="Kids Sherwani"/>
    <s v="Manyavar"/>
    <s v="Engagement"/>
    <s v="Store"/>
    <n v="1"/>
    <n v="5250"/>
    <s v="11-20%"/>
    <n v="15"/>
    <s v="Valid"/>
    <s v="Match"/>
    <n v="5250"/>
    <n v="787.5"/>
    <n v="4462.5"/>
    <n v="3479.49"/>
    <n v="983.01"/>
    <b v="0"/>
    <n v="0"/>
    <s v="Net Banking"/>
    <s v="Sanjay"/>
    <s v="Referral"/>
    <n v="3"/>
    <x v="6"/>
    <x v="3"/>
  </r>
  <r>
    <s v="ZAR-10022"/>
    <d v="2025-01-21T00:00:00"/>
    <s v="8 AM - 12 PM"/>
    <x v="685"/>
    <s v="Balasore"/>
    <s v="Men"/>
    <s v="Dhoti Set"/>
    <s v="Manyavar"/>
    <s v="Family Function"/>
    <s v="Store"/>
    <n v="1"/>
    <n v="4650"/>
    <s v="0%"/>
    <n v="0"/>
    <s v="Valid"/>
    <s v="Match"/>
    <n v="4650"/>
    <n v="0"/>
    <n v="4650"/>
    <n v="2733.35"/>
    <n v="1916.65"/>
    <b v="0"/>
    <n v="0"/>
    <s v="Card"/>
    <s v="Meera"/>
    <s v="Walk-in"/>
    <n v="4.5"/>
    <x v="10"/>
    <x v="6"/>
  </r>
  <r>
    <s v="ZAR-10702"/>
    <d v="2025-03-01T00:00:00"/>
    <s v="4 AM - 8 AM"/>
    <x v="686"/>
    <s v="Sambalpur"/>
    <s v="Women"/>
    <s v="Salwar Suit"/>
    <s v="Manyavar"/>
    <s v="Casual"/>
    <s v="Instagram"/>
    <n v="1"/>
    <n v="4800"/>
    <s v="1-10%"/>
    <n v="5"/>
    <s v="Valid"/>
    <s v="Match"/>
    <n v="4800"/>
    <n v="240"/>
    <n v="4560"/>
    <n v="3195.51"/>
    <n v="1364.49"/>
    <b v="0"/>
    <n v="0"/>
    <s v="Net Banking"/>
    <s v="Meera"/>
    <s v="Google"/>
    <n v="5"/>
    <x v="9"/>
    <x v="5"/>
  </r>
  <r>
    <s v="ZAR-10073"/>
    <d v="2025-02-18T00:00:00"/>
    <s v="8 AM - 12 PM"/>
    <x v="687"/>
    <s v="Sambalpur"/>
    <s v="Women"/>
    <s v="Kurti"/>
    <s v="Designer Collection"/>
    <s v="Festive"/>
    <s v="Instagram"/>
    <n v="3"/>
    <n v="2250"/>
    <s v="11-20%"/>
    <n v="15"/>
    <s v="Valid"/>
    <s v="Match"/>
    <n v="6750"/>
    <n v="1012.5"/>
    <n v="5737.5"/>
    <n v="4127.74"/>
    <n v="1609.76"/>
    <b v="0"/>
    <n v="0"/>
    <s v="UPI"/>
    <s v="Ananya"/>
    <s v="Instagram"/>
    <n v="5"/>
    <x v="4"/>
    <x v="6"/>
  </r>
  <r>
    <s v="ZAR-10108"/>
    <d v="2025-11-06T00:00:00"/>
    <s v="8 AM - 12 PM"/>
    <x v="688"/>
    <s v="Berhampur"/>
    <s v="Women"/>
    <s v="Saree"/>
    <s v="Biba"/>
    <s v="Wedding Guest"/>
    <s v="Store"/>
    <n v="2"/>
    <n v="21450"/>
    <s v="1-10%"/>
    <n v="5"/>
    <s v="Valid"/>
    <s v="Match"/>
    <n v="42900"/>
    <n v="2145"/>
    <n v="40755"/>
    <n v="28525.119999999999"/>
    <n v="12229.88"/>
    <b v="0"/>
    <n v="0"/>
    <s v="Card"/>
    <s v="Meera"/>
    <s v="Repeat Customer"/>
    <n v="3"/>
    <x v="5"/>
    <x v="4"/>
  </r>
  <r>
    <s v="ZAR-10272"/>
    <d v="2025-02-02T00:00:00"/>
    <s v="8 AM - 12 PM"/>
    <x v="689"/>
    <s v="Sambalpur"/>
    <s v="Women"/>
    <s v="Lehenga"/>
    <s v="Biba"/>
    <s v="Festive"/>
    <s v="Store"/>
    <n v="1"/>
    <n v="38300"/>
    <s v="11-20%"/>
    <n v="20"/>
    <s v="Valid"/>
    <s v="Match"/>
    <n v="38300"/>
    <n v="7660"/>
    <n v="30640"/>
    <n v="23584.49"/>
    <n v="7055.51"/>
    <b v="0"/>
    <n v="0"/>
    <s v="COD"/>
    <s v="Ananya"/>
    <s v="Walk-in"/>
    <n v="4"/>
    <x v="4"/>
    <x v="0"/>
  </r>
  <r>
    <s v="ZAR-10862"/>
    <d v="2025-03-14T00:00:00"/>
    <s v="4 AM - 8 AM"/>
    <x v="285"/>
    <s v="Rourkela"/>
    <s v="Women"/>
    <s v="Lehenga"/>
    <s v="Manyavar"/>
    <s v="Wedding"/>
    <s v="Website"/>
    <n v="1"/>
    <n v="9550"/>
    <s v="11-20%"/>
    <n v="15"/>
    <s v="Valid"/>
    <s v="Match"/>
    <n v="9550"/>
    <n v="1432.5"/>
    <n v="8117.5"/>
    <n v="6243.02"/>
    <n v="1874.48"/>
    <b v="0"/>
    <n v="0"/>
    <s v="Cash"/>
    <s v="Unknown"/>
    <s v="Referral"/>
    <n v="4"/>
    <x v="9"/>
    <x v="3"/>
  </r>
  <r>
    <s v="ZAR-10437"/>
    <d v="2025-08-21T00:00:00"/>
    <s v="8 PM - 12 AM"/>
    <x v="368"/>
    <s v="Bhubaneshwar"/>
    <s v="Women"/>
    <s v="Lehenga"/>
    <s v="Local Artisan"/>
    <s v="Engagement"/>
    <s v="Store"/>
    <n v="1"/>
    <n v="7550"/>
    <s v="21-30%"/>
    <n v="30"/>
    <s v="Valid"/>
    <s v="Match"/>
    <n v="7550"/>
    <n v="2265"/>
    <n v="5285"/>
    <n v="5454.1"/>
    <n v="-169.1"/>
    <b v="1"/>
    <n v="169.1"/>
    <s v="Card"/>
    <s v="Sanjay"/>
    <s v="Walk-in"/>
    <n v="4"/>
    <x v="6"/>
    <x v="4"/>
  </r>
  <r>
    <s v="ZAR-10104"/>
    <d v="2025-06-03T00:00:00"/>
    <s v="4 AM - 8 AM"/>
    <x v="124"/>
    <s v="Balasore"/>
    <s v="Kids"/>
    <s v="Kids Saree"/>
    <s v="Aurelia"/>
    <s v="Wedding"/>
    <s v="Phone"/>
    <n v="2"/>
    <n v="2650"/>
    <s v="11-20%"/>
    <n v="20"/>
    <s v="Valid"/>
    <s v="Match"/>
    <n v="5300"/>
    <n v="1060"/>
    <n v="4240"/>
    <n v="3388.17"/>
    <n v="851.83"/>
    <b v="0"/>
    <n v="0"/>
    <s v="UPI"/>
    <s v="Rohit"/>
    <s v="Walk-in"/>
    <n v="4.5"/>
    <x v="2"/>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ZAR-10940"/>
    <d v="2025-07-06T00:00:00"/>
    <x v="0"/>
    <d v="1899-12-30T05:25:00"/>
    <x v="0"/>
    <x v="0"/>
    <x v="0"/>
    <x v="0"/>
    <x v="0"/>
    <x v="0"/>
    <n v="1"/>
    <n v="8550"/>
    <x v="0"/>
    <n v="15"/>
    <s v="Valid"/>
    <s v="Match"/>
    <n v="8550"/>
    <n v="1282.5"/>
    <n v="7267.5"/>
    <n v="5680.28"/>
    <n v="1587.22"/>
    <b v="0"/>
    <x v="0"/>
    <x v="0"/>
    <s v="Unknown"/>
    <x v="0"/>
    <n v="4"/>
    <s v="Jul"/>
    <x v="0"/>
  </r>
  <r>
    <s v="ZAR-10632"/>
    <d v="2025-12-10T00:00:00"/>
    <x v="1"/>
    <d v="1899-12-30T02:36:00"/>
    <x v="1"/>
    <x v="0"/>
    <x v="1"/>
    <x v="1"/>
    <x v="0"/>
    <x v="0"/>
    <n v="1"/>
    <n v="1100"/>
    <x v="0"/>
    <n v="20"/>
    <s v="Valid"/>
    <s v="Match"/>
    <n v="1100"/>
    <n v="220"/>
    <n v="880"/>
    <n v="801"/>
    <n v="79"/>
    <b v="0"/>
    <x v="0"/>
    <x v="1"/>
    <s v="Ananya"/>
    <x v="1"/>
    <n v="4"/>
    <s v="Dec"/>
    <x v="1"/>
  </r>
  <r>
    <s v="ZAR-10684"/>
    <d v="2025-06-30T00:00:00"/>
    <x v="2"/>
    <d v="1899-12-30T17:45:00"/>
    <x v="2"/>
    <x v="0"/>
    <x v="2"/>
    <x v="2"/>
    <x v="1"/>
    <x v="1"/>
    <n v="3"/>
    <n v="77200"/>
    <x v="1"/>
    <n v="10"/>
    <s v="Valid"/>
    <s v="Match"/>
    <n v="231600"/>
    <n v="23160"/>
    <n v="208440"/>
    <n v="121253.25"/>
    <n v="87186.75"/>
    <b v="0"/>
    <x v="0"/>
    <x v="2"/>
    <s v="Neha"/>
    <x v="2"/>
    <n v="4.5"/>
    <s v="Jun"/>
    <x v="2"/>
  </r>
  <r>
    <s v="ZAR-10516"/>
    <d v="2025-10-03T00:00:00"/>
    <x v="3"/>
    <d v="1899-12-30T09:42:00"/>
    <x v="2"/>
    <x v="1"/>
    <x v="3"/>
    <x v="3"/>
    <x v="2"/>
    <x v="1"/>
    <n v="3"/>
    <n v="16100"/>
    <x v="1"/>
    <n v="10"/>
    <s v="Valid"/>
    <s v="Match"/>
    <n v="48300"/>
    <n v="4830"/>
    <n v="43470"/>
    <n v="34494.04"/>
    <n v="8975.9599999999991"/>
    <b v="0"/>
    <x v="0"/>
    <x v="3"/>
    <s v="Ananya"/>
    <x v="3"/>
    <n v="4"/>
    <s v="Oct"/>
    <x v="3"/>
  </r>
  <r>
    <s v="ZAR-10367"/>
    <d v="2025-02-06T00:00:00"/>
    <x v="2"/>
    <d v="1899-12-30T18:46:00"/>
    <x v="3"/>
    <x v="0"/>
    <x v="4"/>
    <x v="4"/>
    <x v="3"/>
    <x v="2"/>
    <n v="2"/>
    <n v="41700"/>
    <x v="2"/>
    <n v="0"/>
    <s v="Valid"/>
    <s v="Match"/>
    <n v="83400"/>
    <n v="0"/>
    <n v="83400"/>
    <n v="44007.63"/>
    <n v="39392.370000000003"/>
    <b v="0"/>
    <x v="0"/>
    <x v="2"/>
    <s v="Karan"/>
    <x v="1"/>
    <n v="3.5"/>
    <s v="Feb"/>
    <x v="4"/>
  </r>
  <r>
    <s v="ZAR-10657"/>
    <d v="2025-02-01T00:00:00"/>
    <x v="1"/>
    <d v="1899-12-30T03:47:00"/>
    <x v="4"/>
    <x v="0"/>
    <x v="4"/>
    <x v="2"/>
    <x v="1"/>
    <x v="1"/>
    <n v="2"/>
    <n v="38250"/>
    <x v="3"/>
    <n v="25"/>
    <s v="Valid"/>
    <s v="Match"/>
    <n v="76500"/>
    <n v="19125"/>
    <n v="57375"/>
    <n v="45355.91"/>
    <n v="12019.09"/>
    <b v="0"/>
    <x v="0"/>
    <x v="1"/>
    <s v="Rohit"/>
    <x v="4"/>
    <n v="3"/>
    <s v="Feb"/>
    <x v="5"/>
  </r>
  <r>
    <s v="ZAR-10658"/>
    <d v="2025-11-16T00:00:00"/>
    <x v="4"/>
    <d v="1899-12-30T22:12:00"/>
    <x v="2"/>
    <x v="1"/>
    <x v="5"/>
    <x v="5"/>
    <x v="3"/>
    <x v="0"/>
    <n v="1"/>
    <n v="3450"/>
    <x v="2"/>
    <n v="0"/>
    <s v="Valid"/>
    <s v="Match"/>
    <n v="3450"/>
    <n v="0"/>
    <n v="3450"/>
    <n v="2405.46"/>
    <n v="1044.54"/>
    <b v="0"/>
    <x v="0"/>
    <x v="1"/>
    <s v="Rohit"/>
    <x v="2"/>
    <n v="4.5"/>
    <s v="Nov"/>
    <x v="0"/>
  </r>
  <r>
    <s v="ZAR-10531"/>
    <d v="2025-07-11T00:00:00"/>
    <x v="5"/>
    <d v="1899-12-30T15:25:00"/>
    <x v="5"/>
    <x v="1"/>
    <x v="5"/>
    <x v="2"/>
    <x v="1"/>
    <x v="3"/>
    <n v="1"/>
    <n v="2500"/>
    <x v="2"/>
    <n v="0"/>
    <s v="Valid"/>
    <s v="Match"/>
    <n v="2500"/>
    <n v="0"/>
    <n v="2500"/>
    <n v="1773.91"/>
    <n v="726.09"/>
    <b v="0"/>
    <x v="0"/>
    <x v="4"/>
    <s v="Karan"/>
    <x v="5"/>
    <n v="4"/>
    <s v="Jul"/>
    <x v="3"/>
  </r>
  <r>
    <s v="ZAR-10323"/>
    <d v="2025-12-18T00:00:00"/>
    <x v="1"/>
    <d v="1899-12-30T00:22:00"/>
    <x v="2"/>
    <x v="0"/>
    <x v="0"/>
    <x v="2"/>
    <x v="4"/>
    <x v="1"/>
    <n v="2"/>
    <n v="6150"/>
    <x v="0"/>
    <n v="20"/>
    <s v="Valid"/>
    <s v="Match"/>
    <n v="12300"/>
    <n v="2460"/>
    <n v="9840"/>
    <n v="7024.29"/>
    <n v="2815.71"/>
    <b v="0"/>
    <x v="0"/>
    <x v="4"/>
    <s v="Rohit"/>
    <x v="1"/>
    <n v="4.5"/>
    <s v="Dec"/>
    <x v="4"/>
  </r>
  <r>
    <s v="ZAR-10072"/>
    <d v="2025-07-15T00:00:00"/>
    <x v="2"/>
    <d v="1899-12-30T19:33:00"/>
    <x v="3"/>
    <x v="0"/>
    <x v="6"/>
    <x v="5"/>
    <x v="5"/>
    <x v="0"/>
    <n v="2"/>
    <n v="10950"/>
    <x v="0"/>
    <n v="20"/>
    <s v="Valid"/>
    <s v="Match"/>
    <n v="21900"/>
    <n v="4380"/>
    <n v="17520"/>
    <n v="14819.15"/>
    <n v="2700.85"/>
    <b v="0"/>
    <x v="0"/>
    <x v="3"/>
    <s v="Karan"/>
    <x v="6"/>
    <s v="Not Rated"/>
    <s v="Jul"/>
    <x v="6"/>
  </r>
  <r>
    <s v="ZAR-10794"/>
    <d v="2025-08-14T00:00:00"/>
    <x v="1"/>
    <d v="1899-12-30T03:47:00"/>
    <x v="3"/>
    <x v="0"/>
    <x v="7"/>
    <x v="0"/>
    <x v="0"/>
    <x v="1"/>
    <n v="1"/>
    <n v="2550"/>
    <x v="0"/>
    <n v="20"/>
    <s v="Valid"/>
    <s v="Match"/>
    <n v="2550"/>
    <n v="510"/>
    <n v="2040"/>
    <n v="1473.43"/>
    <n v="566.57000000000005"/>
    <b v="0"/>
    <x v="0"/>
    <x v="4"/>
    <s v="Priya"/>
    <x v="1"/>
    <n v="4"/>
    <s v="Aug"/>
    <x v="4"/>
  </r>
  <r>
    <s v="ZAR-10373"/>
    <d v="2025-02-19T00:00:00"/>
    <x v="5"/>
    <d v="1899-12-30T14:39:00"/>
    <x v="0"/>
    <x v="0"/>
    <x v="6"/>
    <x v="2"/>
    <x v="6"/>
    <x v="4"/>
    <n v="2"/>
    <n v="2300"/>
    <x v="1"/>
    <n v="10"/>
    <s v="Valid"/>
    <s v="Match"/>
    <n v="4600"/>
    <n v="460"/>
    <n v="4140"/>
    <n v="3222.59"/>
    <n v="917.41"/>
    <b v="0"/>
    <x v="0"/>
    <x v="3"/>
    <s v="Meera"/>
    <x v="0"/>
    <n v="3"/>
    <s v="Feb"/>
    <x v="1"/>
  </r>
  <r>
    <s v="ZAR-10843"/>
    <d v="2025-04-16T00:00:00"/>
    <x v="5"/>
    <d v="1899-12-30T12:36:00"/>
    <x v="1"/>
    <x v="2"/>
    <x v="8"/>
    <x v="3"/>
    <x v="5"/>
    <x v="0"/>
    <n v="1"/>
    <n v="4750"/>
    <x v="0"/>
    <n v="15"/>
    <s v="Valid"/>
    <s v="Match"/>
    <n v="4750"/>
    <n v="712.5"/>
    <n v="4037.5"/>
    <n v="2494.91"/>
    <n v="1542.59"/>
    <b v="0"/>
    <x v="0"/>
    <x v="3"/>
    <s v="Meera"/>
    <x v="6"/>
    <n v="5"/>
    <s v="Apr"/>
    <x v="1"/>
  </r>
  <r>
    <s v="ZAR-10458"/>
    <d v="2025-12-17T00:00:00"/>
    <x v="3"/>
    <d v="1899-12-30T10:58:00"/>
    <x v="4"/>
    <x v="1"/>
    <x v="9"/>
    <x v="6"/>
    <x v="7"/>
    <x v="4"/>
    <n v="1"/>
    <n v="8800"/>
    <x v="1"/>
    <n v="5"/>
    <s v="Valid"/>
    <s v="Match"/>
    <n v="8800"/>
    <n v="440"/>
    <n v="8360"/>
    <n v="5713.71"/>
    <n v="2646.29"/>
    <b v="0"/>
    <x v="0"/>
    <x v="0"/>
    <s v="Sanjay"/>
    <x v="4"/>
    <n v="3.5"/>
    <s v="Dec"/>
    <x v="1"/>
  </r>
  <r>
    <s v="ZAR-10249"/>
    <d v="2025-10-03T00:00:00"/>
    <x v="2"/>
    <d v="1899-12-30T17:00:00"/>
    <x v="1"/>
    <x v="0"/>
    <x v="2"/>
    <x v="3"/>
    <x v="2"/>
    <x v="5"/>
    <n v="1"/>
    <n v="49700"/>
    <x v="1"/>
    <n v="5"/>
    <s v="Valid"/>
    <s v="Match"/>
    <n v="49700"/>
    <n v="2485"/>
    <n v="47215"/>
    <n v="27674.29"/>
    <n v="19540.71"/>
    <b v="0"/>
    <x v="0"/>
    <x v="2"/>
    <s v="Rohit"/>
    <x v="5"/>
    <n v="5"/>
    <s v="Oct"/>
    <x v="3"/>
  </r>
  <r>
    <s v="ZAR-10613"/>
    <d v="2025-08-12T00:00:00"/>
    <x v="3"/>
    <d v="1899-12-30T11:58:00"/>
    <x v="1"/>
    <x v="2"/>
    <x v="8"/>
    <x v="0"/>
    <x v="5"/>
    <x v="1"/>
    <n v="2"/>
    <n v="3000"/>
    <x v="1"/>
    <n v="5"/>
    <s v="Valid"/>
    <s v="Match"/>
    <n v="6000"/>
    <n v="300"/>
    <n v="5700"/>
    <n v="4394.58"/>
    <n v="1305.42"/>
    <b v="0"/>
    <x v="0"/>
    <x v="4"/>
    <s v="Karan"/>
    <x v="4"/>
    <n v="3"/>
    <s v="Aug"/>
    <x v="6"/>
  </r>
  <r>
    <s v="ZAR-10707"/>
    <d v="2025-12-02T00:00:00"/>
    <x v="5"/>
    <d v="1899-12-30T12:08:00"/>
    <x v="6"/>
    <x v="0"/>
    <x v="1"/>
    <x v="4"/>
    <x v="6"/>
    <x v="2"/>
    <n v="2"/>
    <n v="850"/>
    <x v="3"/>
    <n v="30"/>
    <s v="Valid"/>
    <s v="Match"/>
    <n v="1700"/>
    <n v="510"/>
    <n v="1190"/>
    <n v="1177.24"/>
    <n v="12.76"/>
    <b v="0"/>
    <x v="0"/>
    <x v="2"/>
    <s v="Karan"/>
    <x v="5"/>
    <n v="4"/>
    <s v="Dec"/>
    <x v="6"/>
  </r>
  <r>
    <s v="ZAR-10984"/>
    <d v="2025-05-06T00:00:00"/>
    <x v="5"/>
    <d v="1899-12-30T12:22:00"/>
    <x v="1"/>
    <x v="0"/>
    <x v="10"/>
    <x v="0"/>
    <x v="4"/>
    <x v="0"/>
    <n v="2"/>
    <n v="1050"/>
    <x v="2"/>
    <n v="0"/>
    <s v="Valid"/>
    <s v="Match"/>
    <n v="2100"/>
    <n v="0"/>
    <n v="2100"/>
    <n v="1397.86"/>
    <n v="702.14"/>
    <b v="0"/>
    <x v="0"/>
    <x v="0"/>
    <s v="Sanjay"/>
    <x v="5"/>
    <n v="4"/>
    <s v="May"/>
    <x v="6"/>
  </r>
  <r>
    <s v="ZAR-10300"/>
    <d v="2025-11-03T00:00:00"/>
    <x v="2"/>
    <d v="1899-12-30T17:10:00"/>
    <x v="2"/>
    <x v="0"/>
    <x v="6"/>
    <x v="7"/>
    <x v="0"/>
    <x v="0"/>
    <n v="1"/>
    <n v="19850"/>
    <x v="0"/>
    <n v="15"/>
    <s v="Valid"/>
    <s v="Match"/>
    <n v="19850"/>
    <n v="2977.5"/>
    <n v="16872.5"/>
    <n v="11524.34"/>
    <n v="5348.16"/>
    <b v="0"/>
    <x v="0"/>
    <x v="0"/>
    <s v="Ananya"/>
    <x v="4"/>
    <n v="4.5"/>
    <s v="Nov"/>
    <x v="2"/>
  </r>
  <r>
    <s v="ZAR-10103"/>
    <d v="2025-11-10T00:00:00"/>
    <x v="3"/>
    <d v="1899-12-30T09:44:00"/>
    <x v="5"/>
    <x v="2"/>
    <x v="11"/>
    <x v="0"/>
    <x v="3"/>
    <x v="0"/>
    <n v="1"/>
    <n v="5000"/>
    <x v="0"/>
    <n v="15"/>
    <s v="Valid"/>
    <s v="Match"/>
    <n v="5000"/>
    <n v="750"/>
    <n v="4250"/>
    <n v="2836.03"/>
    <n v="1413.97"/>
    <b v="0"/>
    <x v="0"/>
    <x v="0"/>
    <s v="Ananya"/>
    <x v="4"/>
    <n v="4"/>
    <s v="Nov"/>
    <x v="2"/>
  </r>
  <r>
    <s v="ZAR-10965"/>
    <d v="2025-08-31T00:00:00"/>
    <x v="2"/>
    <d v="1899-12-30T16:04:00"/>
    <x v="4"/>
    <x v="0"/>
    <x v="0"/>
    <x v="1"/>
    <x v="3"/>
    <x v="0"/>
    <n v="1"/>
    <n v="2800"/>
    <x v="0"/>
    <n v="15"/>
    <s v="Valid"/>
    <s v="Match"/>
    <n v="2800"/>
    <n v="420"/>
    <n v="2380"/>
    <n v="1929.74"/>
    <n v="450.26"/>
    <b v="0"/>
    <x v="0"/>
    <x v="4"/>
    <s v="Meera"/>
    <x v="1"/>
    <n v="4"/>
    <s v="Aug"/>
    <x v="0"/>
  </r>
  <r>
    <s v="ZAR-10607"/>
    <d v="2025-05-27T00:00:00"/>
    <x v="5"/>
    <d v="1899-12-30T12:26:00"/>
    <x v="6"/>
    <x v="1"/>
    <x v="5"/>
    <x v="7"/>
    <x v="7"/>
    <x v="1"/>
    <n v="4"/>
    <n v="7600"/>
    <x v="0"/>
    <n v="15"/>
    <s v="Valid"/>
    <s v="Match"/>
    <n v="30400"/>
    <n v="4560"/>
    <n v="25840"/>
    <n v="16072.8"/>
    <n v="9767.2000000000007"/>
    <b v="0"/>
    <x v="0"/>
    <x v="4"/>
    <s v="Ananya"/>
    <x v="4"/>
    <n v="4"/>
    <s v="May"/>
    <x v="6"/>
  </r>
  <r>
    <s v="ZAR-10215"/>
    <d v="2025-07-12T00:00:00"/>
    <x v="3"/>
    <d v="1899-12-30T11:29:00"/>
    <x v="3"/>
    <x v="0"/>
    <x v="0"/>
    <x v="3"/>
    <x v="4"/>
    <x v="0"/>
    <n v="2"/>
    <n v="6950"/>
    <x v="1"/>
    <n v="10"/>
    <s v="Valid"/>
    <s v="Match"/>
    <n v="13900"/>
    <n v="1390"/>
    <n v="12510"/>
    <n v="8524"/>
    <n v="3986"/>
    <b v="0"/>
    <x v="0"/>
    <x v="3"/>
    <s v="Ananya"/>
    <x v="2"/>
    <n v="4.5"/>
    <s v="Jul"/>
    <x v="5"/>
  </r>
  <r>
    <s v="ZAR-10239"/>
    <d v="2025-05-08T00:00:00"/>
    <x v="3"/>
    <d v="1899-12-30T08:25:00"/>
    <x v="3"/>
    <x v="0"/>
    <x v="12"/>
    <x v="3"/>
    <x v="3"/>
    <x v="3"/>
    <n v="1"/>
    <n v="8800"/>
    <x v="0"/>
    <n v="20"/>
    <s v="Valid"/>
    <s v="Match"/>
    <n v="8800"/>
    <n v="1760"/>
    <n v="7040"/>
    <n v="6349.2"/>
    <n v="690.8"/>
    <b v="0"/>
    <x v="0"/>
    <x v="3"/>
    <s v="Karan"/>
    <x v="4"/>
    <n v="3.5"/>
    <s v="May"/>
    <x v="4"/>
  </r>
  <r>
    <s v="ZAR-10595"/>
    <d v="2025-02-14T00:00:00"/>
    <x v="0"/>
    <d v="1899-12-30T07:23:00"/>
    <x v="2"/>
    <x v="1"/>
    <x v="13"/>
    <x v="0"/>
    <x v="1"/>
    <x v="0"/>
    <n v="2"/>
    <n v="4800"/>
    <x v="3"/>
    <n v="25"/>
    <s v="Valid"/>
    <s v="Match"/>
    <n v="9600"/>
    <n v="2400"/>
    <n v="7200"/>
    <n v="5455.23"/>
    <n v="1744.77"/>
    <b v="0"/>
    <x v="0"/>
    <x v="2"/>
    <s v="Ananya"/>
    <x v="3"/>
    <n v="4.5"/>
    <s v="Feb"/>
    <x v="3"/>
  </r>
  <r>
    <s v="ZAR-10283"/>
    <d v="2025-02-20T00:00:00"/>
    <x v="4"/>
    <d v="1899-12-30T22:10:00"/>
    <x v="2"/>
    <x v="0"/>
    <x v="10"/>
    <x v="2"/>
    <x v="2"/>
    <x v="0"/>
    <n v="2"/>
    <n v="2750"/>
    <x v="0"/>
    <n v="20"/>
    <s v="Valid"/>
    <s v="Match"/>
    <n v="5500"/>
    <n v="1100"/>
    <n v="4400"/>
    <n v="2917.73"/>
    <n v="1482.27"/>
    <b v="0"/>
    <x v="0"/>
    <x v="4"/>
    <s v="Priya"/>
    <x v="3"/>
    <n v="3"/>
    <s v="Feb"/>
    <x v="4"/>
  </r>
  <r>
    <s v="ZAR-10379"/>
    <d v="2025-05-01T00:00:00"/>
    <x v="5"/>
    <d v="1899-12-30T14:37:00"/>
    <x v="4"/>
    <x v="0"/>
    <x v="2"/>
    <x v="5"/>
    <x v="8"/>
    <x v="0"/>
    <n v="1"/>
    <n v="116950"/>
    <x v="0"/>
    <n v="20"/>
    <s v="Valid"/>
    <s v="Match"/>
    <n v="116950"/>
    <n v="23390"/>
    <n v="93560"/>
    <n v="63800.24"/>
    <n v="29759.759999999998"/>
    <b v="0"/>
    <x v="0"/>
    <x v="4"/>
    <s v="Rohit"/>
    <x v="2"/>
    <n v="3.5"/>
    <s v="May"/>
    <x v="4"/>
  </r>
  <r>
    <s v=" ZAR-10288 "/>
    <d v="2025-03-06T00:00:00"/>
    <x v="0"/>
    <d v="1899-12-30T04:33:00"/>
    <x v="6"/>
    <x v="1"/>
    <x v="9"/>
    <x v="2"/>
    <x v="1"/>
    <x v="0"/>
    <n v="1"/>
    <n v="8350"/>
    <x v="1"/>
    <n v="10"/>
    <s v="Valid"/>
    <s v="Match"/>
    <n v="8350"/>
    <n v="835"/>
    <n v="7515"/>
    <n v="5156.09"/>
    <n v="2358.91"/>
    <b v="0"/>
    <x v="0"/>
    <x v="0"/>
    <s v="Meera"/>
    <x v="5"/>
    <n v="4"/>
    <s v="Mar"/>
    <x v="4"/>
  </r>
  <r>
    <s v="ZAR-10390"/>
    <d v="2025-12-23T00:00:00"/>
    <x v="0"/>
    <d v="1899-12-30T04:31:00"/>
    <x v="0"/>
    <x v="2"/>
    <x v="14"/>
    <x v="3"/>
    <x v="3"/>
    <x v="4"/>
    <n v="1"/>
    <n v="3400"/>
    <x v="1"/>
    <n v="5"/>
    <s v="Valid"/>
    <s v="Match"/>
    <n v="3400"/>
    <n v="170"/>
    <n v="3230"/>
    <n v="1974.41"/>
    <n v="1255.5899999999999"/>
    <b v="0"/>
    <x v="0"/>
    <x v="3"/>
    <s v="Rohit"/>
    <x v="1"/>
    <n v="4"/>
    <s v="Dec"/>
    <x v="6"/>
  </r>
  <r>
    <s v="ZAR-10887"/>
    <d v="2025-04-23T00:00:00"/>
    <x v="2"/>
    <d v="1899-12-30T18:22:00"/>
    <x v="1"/>
    <x v="0"/>
    <x v="12"/>
    <x v="2"/>
    <x v="6"/>
    <x v="0"/>
    <n v="1"/>
    <n v="9350"/>
    <x v="3"/>
    <n v="25"/>
    <s v="Valid"/>
    <s v="Match"/>
    <n v="9350"/>
    <n v="2337.5"/>
    <n v="7012.5"/>
    <n v="6547.43"/>
    <n v="465.07"/>
    <b v="0"/>
    <x v="0"/>
    <x v="1"/>
    <s v="Meera"/>
    <x v="4"/>
    <n v="3.5"/>
    <s v="Apr"/>
    <x v="1"/>
  </r>
  <r>
    <s v="ZAR-10720"/>
    <d v="2025-08-31T00:00:00"/>
    <x v="3"/>
    <d v="1899-12-30T11:19:00"/>
    <x v="6"/>
    <x v="0"/>
    <x v="4"/>
    <x v="6"/>
    <x v="2"/>
    <x v="0"/>
    <n v="1"/>
    <n v="16150"/>
    <x v="3"/>
    <n v="30"/>
    <s v="Valid"/>
    <s v="Match"/>
    <n v="16150"/>
    <n v="4845"/>
    <n v="11305"/>
    <n v="9767.7900000000009"/>
    <n v="1537.21"/>
    <b v="0"/>
    <x v="0"/>
    <x v="1"/>
    <s v="Meera"/>
    <x v="1"/>
    <n v="3.5"/>
    <s v="Aug"/>
    <x v="0"/>
  </r>
  <r>
    <s v="ZAR-10837"/>
    <d v="2025-02-23T00:00:00"/>
    <x v="4"/>
    <d v="1899-12-30T21:14:00"/>
    <x v="2"/>
    <x v="0"/>
    <x v="6"/>
    <x v="5"/>
    <x v="5"/>
    <x v="0"/>
    <n v="1"/>
    <n v="25850"/>
    <x v="2"/>
    <n v="0"/>
    <s v="Valid"/>
    <s v="Match"/>
    <n v="25850"/>
    <n v="0"/>
    <n v="25850"/>
    <n v="14258.01"/>
    <n v="11591.99"/>
    <b v="0"/>
    <x v="0"/>
    <x v="1"/>
    <s v="Meera"/>
    <x v="4"/>
    <n v="4.5"/>
    <s v="Feb"/>
    <x v="0"/>
  </r>
  <r>
    <s v="ZAR-10098"/>
    <d v="2025-02-07T00:00:00"/>
    <x v="1"/>
    <m/>
    <x v="1"/>
    <x v="2"/>
    <x v="15"/>
    <x v="2"/>
    <x v="8"/>
    <x v="5"/>
    <n v="1"/>
    <n v="3800"/>
    <x v="3"/>
    <n v="25"/>
    <s v="Valid"/>
    <s v="Match"/>
    <n v="3800"/>
    <n v="950"/>
    <n v="2850"/>
    <n v="2135.7600000000002"/>
    <n v="714.24"/>
    <b v="0"/>
    <x v="0"/>
    <x v="0"/>
    <s v="Priya"/>
    <x v="6"/>
    <n v="4"/>
    <s v="Jul"/>
    <x v="1"/>
  </r>
  <r>
    <s v="ZAR-10246"/>
    <d v="2025-12-29T00:00:00"/>
    <x v="3"/>
    <d v="1899-12-30T10:33:00"/>
    <x v="0"/>
    <x v="0"/>
    <x v="0"/>
    <x v="3"/>
    <x v="4"/>
    <x v="3"/>
    <n v="2"/>
    <n v="5350"/>
    <x v="1"/>
    <n v="10"/>
    <s v="Valid"/>
    <s v="Match"/>
    <n v="10700"/>
    <n v="1070"/>
    <n v="9630"/>
    <n v="5735.56"/>
    <n v="3894.44"/>
    <b v="0"/>
    <x v="0"/>
    <x v="3"/>
    <s v="Neha"/>
    <x v="1"/>
    <n v="3.5"/>
    <s v="Dec"/>
    <x v="2"/>
  </r>
  <r>
    <s v="ZAR-10738"/>
    <d v="2025-07-08T00:00:00"/>
    <x v="3"/>
    <d v="1899-12-30T11:21:00"/>
    <x v="4"/>
    <x v="1"/>
    <x v="13"/>
    <x v="1"/>
    <x v="7"/>
    <x v="4"/>
    <n v="3"/>
    <n v="1950"/>
    <x v="1"/>
    <n v="5"/>
    <s v="Valid"/>
    <s v="Match"/>
    <n v="5850"/>
    <n v="292.5"/>
    <n v="5557.5"/>
    <n v="4030.22"/>
    <n v="1527.28"/>
    <b v="0"/>
    <x v="0"/>
    <x v="1"/>
    <s v="Sanjay"/>
    <x v="6"/>
    <n v="3"/>
    <s v="Jul"/>
    <x v="6"/>
  </r>
  <r>
    <s v="ZAR-10078"/>
    <d v="2025-08-09T00:00:00"/>
    <x v="1"/>
    <d v="1899-12-30T03:18:00"/>
    <x v="1"/>
    <x v="0"/>
    <x v="10"/>
    <x v="4"/>
    <x v="2"/>
    <x v="1"/>
    <n v="1"/>
    <n v="3450"/>
    <x v="0"/>
    <n v="20"/>
    <s v="Valid"/>
    <s v="Match"/>
    <n v="3450"/>
    <n v="690"/>
    <n v="2760"/>
    <n v="1880.39"/>
    <n v="879.61"/>
    <b v="0"/>
    <x v="0"/>
    <x v="1"/>
    <s v="Sanjay"/>
    <x v="0"/>
    <n v="4"/>
    <s v="Aug"/>
    <x v="5"/>
  </r>
  <r>
    <s v="ZAR-10901"/>
    <d v="2025-07-11T00:00:00"/>
    <x v="5"/>
    <d v="1899-12-30T12:28:00"/>
    <x v="4"/>
    <x v="0"/>
    <x v="12"/>
    <x v="3"/>
    <x v="3"/>
    <x v="4"/>
    <n v="1"/>
    <n v="12250"/>
    <x v="3"/>
    <n v="25"/>
    <s v="Valid"/>
    <s v="Match"/>
    <n v="12250"/>
    <n v="3062.5"/>
    <n v="9187.5"/>
    <n v="8327.9"/>
    <n v="859.6"/>
    <b v="0"/>
    <x v="0"/>
    <x v="1"/>
    <s v="Rohit"/>
    <x v="0"/>
    <n v="4"/>
    <s v="Jul"/>
    <x v="3"/>
  </r>
  <r>
    <s v="ZAR-10211"/>
    <d v="2025-08-15T00:00:00"/>
    <x v="0"/>
    <d v="1899-12-30T06:58:00"/>
    <x v="6"/>
    <x v="1"/>
    <x v="16"/>
    <x v="0"/>
    <x v="1"/>
    <x v="0"/>
    <n v="1"/>
    <n v="3350"/>
    <x v="3"/>
    <n v="25"/>
    <s v="Valid"/>
    <s v="Match"/>
    <n v="3350"/>
    <n v="837.5"/>
    <n v="2512.5"/>
    <n v="1807.8"/>
    <n v="704.7"/>
    <b v="0"/>
    <x v="0"/>
    <x v="2"/>
    <s v="Unknown"/>
    <x v="4"/>
    <n v="3"/>
    <s v="Aug"/>
    <x v="3"/>
  </r>
  <r>
    <s v="ZAR-10261"/>
    <d v="2025-11-21T00:00:00"/>
    <x v="3"/>
    <d v="1899-12-30T08:53:00"/>
    <x v="1"/>
    <x v="2"/>
    <x v="11"/>
    <x v="7"/>
    <x v="5"/>
    <x v="0"/>
    <n v="1"/>
    <n v="11800"/>
    <x v="3"/>
    <n v="25"/>
    <s v="Valid"/>
    <s v="Match"/>
    <n v="11800"/>
    <n v="2950"/>
    <n v="8850"/>
    <n v="8650.07"/>
    <n v="199.93"/>
    <b v="0"/>
    <x v="0"/>
    <x v="3"/>
    <s v="Karan"/>
    <x v="2"/>
    <n v="4"/>
    <s v="Nov"/>
    <x v="3"/>
  </r>
  <r>
    <s v="ZAR-10160"/>
    <d v="2025-04-16T00:00:00"/>
    <x v="3"/>
    <d v="1899-12-30T08:48:00"/>
    <x v="1"/>
    <x v="1"/>
    <x v="5"/>
    <x v="0"/>
    <x v="3"/>
    <x v="4"/>
    <n v="1"/>
    <n v="4400"/>
    <x v="2"/>
    <n v="0"/>
    <s v="Valid"/>
    <s v="Match"/>
    <n v="4400"/>
    <n v="0"/>
    <n v="4400"/>
    <n v="2970.18"/>
    <n v="1429.82"/>
    <b v="0"/>
    <x v="0"/>
    <x v="4"/>
    <s v="Priya"/>
    <x v="6"/>
    <n v="4.5"/>
    <s v="Apr"/>
    <x v="1"/>
  </r>
  <r>
    <s v="ZAR-10497"/>
    <d v="2025-11-24T00:00:00"/>
    <x v="0"/>
    <d v="1899-12-30T06:50:00"/>
    <x v="2"/>
    <x v="1"/>
    <x v="13"/>
    <x v="7"/>
    <x v="7"/>
    <x v="0"/>
    <n v="1"/>
    <n v="6250"/>
    <x v="1"/>
    <n v="5"/>
    <s v="Valid"/>
    <s v="Match"/>
    <n v="6250"/>
    <n v="312.5"/>
    <n v="5937.5"/>
    <n v="4592.7"/>
    <n v="1344.8"/>
    <b v="0"/>
    <x v="0"/>
    <x v="3"/>
    <s v="Neha"/>
    <x v="3"/>
    <n v="4.5"/>
    <s v="Nov"/>
    <x v="2"/>
  </r>
  <r>
    <s v="ZAR-10528"/>
    <d v="2025-04-15T00:00:00"/>
    <x v="0"/>
    <d v="1899-12-30T07:32:00"/>
    <x v="2"/>
    <x v="2"/>
    <x v="17"/>
    <x v="0"/>
    <x v="5"/>
    <x v="0"/>
    <n v="2"/>
    <n v="950"/>
    <x v="3"/>
    <n v="30"/>
    <s v="Valid"/>
    <s v="Match"/>
    <n v="1900"/>
    <n v="570"/>
    <n v="1330"/>
    <n v="1320.41"/>
    <n v="9.59"/>
    <b v="0"/>
    <x v="0"/>
    <x v="3"/>
    <s v="Rohit"/>
    <x v="3"/>
    <n v="4"/>
    <s v="Apr"/>
    <x v="6"/>
  </r>
  <r>
    <s v="ZAR-10333"/>
    <d v="2025-10-09T00:00:00"/>
    <x v="1"/>
    <d v="1899-12-30T02:18:00"/>
    <x v="5"/>
    <x v="0"/>
    <x v="2"/>
    <x v="3"/>
    <x v="8"/>
    <x v="0"/>
    <n v="2"/>
    <n v="27950"/>
    <x v="1"/>
    <n v="5"/>
    <s v="Valid"/>
    <s v="Match"/>
    <n v="55900"/>
    <n v="2795"/>
    <n v="53105"/>
    <n v="38395.32"/>
    <n v="14709.68"/>
    <b v="0"/>
    <x v="0"/>
    <x v="3"/>
    <s v="Rohit"/>
    <x v="4"/>
    <n v="4"/>
    <s v="Oct"/>
    <x v="4"/>
  </r>
  <r>
    <s v="ZAR-10956"/>
    <d v="2025-02-10T00:00:00"/>
    <x v="0"/>
    <d v="1899-12-30T07:03:00"/>
    <x v="3"/>
    <x v="2"/>
    <x v="14"/>
    <x v="6"/>
    <x v="3"/>
    <x v="0"/>
    <n v="1"/>
    <n v="1750"/>
    <x v="0"/>
    <n v="20"/>
    <s v="Valid"/>
    <s v="Match"/>
    <n v="1750"/>
    <n v="350"/>
    <n v="1400"/>
    <n v="991.74"/>
    <n v="408.26"/>
    <b v="0"/>
    <x v="0"/>
    <x v="3"/>
    <s v="Karan"/>
    <x v="3"/>
    <n v="5"/>
    <s v="Feb"/>
    <x v="2"/>
  </r>
  <r>
    <s v="ZAR-10316"/>
    <d v="2025-10-07T00:00:00"/>
    <x v="2"/>
    <d v="1899-12-30T16:48:00"/>
    <x v="3"/>
    <x v="0"/>
    <x v="10"/>
    <x v="4"/>
    <x v="3"/>
    <x v="0"/>
    <n v="1"/>
    <n v="1050"/>
    <x v="0"/>
    <n v="20"/>
    <s v="Valid"/>
    <s v="Match"/>
    <n v="1050"/>
    <n v="210"/>
    <n v="840"/>
    <n v="594.94000000000005"/>
    <n v="245.06"/>
    <b v="0"/>
    <x v="0"/>
    <x v="0"/>
    <s v="Neha"/>
    <x v="4"/>
    <s v="Not Rated"/>
    <s v="Oct"/>
    <x v="6"/>
  </r>
  <r>
    <s v="ZAR-10296"/>
    <d v="2025-06-09T00:00:00"/>
    <x v="3"/>
    <d v="1899-12-30T10:10:00"/>
    <x v="1"/>
    <x v="1"/>
    <x v="13"/>
    <x v="2"/>
    <x v="3"/>
    <x v="2"/>
    <n v="1"/>
    <n v="5250"/>
    <x v="0"/>
    <n v="15"/>
    <s v="Valid"/>
    <s v="Match"/>
    <n v="5250"/>
    <n v="787.5"/>
    <n v="4462.5"/>
    <n v="3517.07"/>
    <n v="945.43"/>
    <b v="0"/>
    <x v="0"/>
    <x v="4"/>
    <s v="Rohit"/>
    <x v="3"/>
    <n v="4"/>
    <s v="Jun"/>
    <x v="2"/>
  </r>
  <r>
    <s v="ZAR-10383"/>
    <d v="2025-01-03T00:00:00"/>
    <x v="5"/>
    <d v="1899-12-30T13:02:00"/>
    <x v="2"/>
    <x v="0"/>
    <x v="1"/>
    <x v="3"/>
    <x v="4"/>
    <x v="3"/>
    <n v="2"/>
    <n v="4100"/>
    <x v="1"/>
    <n v="5"/>
    <s v="Valid"/>
    <s v="Match"/>
    <n v="8200"/>
    <n v="410"/>
    <n v="7790"/>
    <n v="5912.41"/>
    <n v="1877.59"/>
    <b v="0"/>
    <x v="0"/>
    <x v="3"/>
    <s v="Sanjay"/>
    <x v="1"/>
    <n v="3"/>
    <s v="Jan"/>
    <x v="3"/>
  </r>
  <r>
    <s v="ZAR-10924"/>
    <d v="2025-01-09T00:00:00"/>
    <x v="0"/>
    <d v="1899-12-30T07:57:00"/>
    <x v="5"/>
    <x v="1"/>
    <x v="18"/>
    <x v="1"/>
    <x v="7"/>
    <x v="0"/>
    <n v="2"/>
    <n v="1250"/>
    <x v="0"/>
    <n v="15"/>
    <s v="Valid"/>
    <s v="Match"/>
    <n v="2500"/>
    <n v="375"/>
    <n v="2125"/>
    <n v="1434.47"/>
    <n v="690.53"/>
    <b v="0"/>
    <x v="0"/>
    <x v="0"/>
    <s v="Rohit"/>
    <x v="1"/>
    <n v="4"/>
    <s v="Jan"/>
    <x v="4"/>
  </r>
  <r>
    <s v="ZAR-10983"/>
    <d v="2025-09-25T00:00:00"/>
    <x v="1"/>
    <d v="1899-12-30T02:09:00"/>
    <x v="0"/>
    <x v="0"/>
    <x v="6"/>
    <x v="7"/>
    <x v="4"/>
    <x v="4"/>
    <n v="2"/>
    <n v="21750"/>
    <x v="0"/>
    <n v="15"/>
    <s v="Valid"/>
    <s v="Match"/>
    <n v="43500"/>
    <n v="6525"/>
    <n v="36975"/>
    <n v="25368.35"/>
    <n v="11606.65"/>
    <b v="0"/>
    <x v="0"/>
    <x v="0"/>
    <s v="Sanjay"/>
    <x v="2"/>
    <n v="3"/>
    <s v="Sep"/>
    <x v="4"/>
  </r>
  <r>
    <s v="ZAR-10879"/>
    <d v="2025-08-05T00:00:00"/>
    <x v="3"/>
    <d v="1899-12-30T11:04:00"/>
    <x v="7"/>
    <x v="1"/>
    <x v="5"/>
    <x v="2"/>
    <x v="3"/>
    <x v="0"/>
    <n v="1"/>
    <n v="2150"/>
    <x v="3"/>
    <n v="25"/>
    <s v="Valid"/>
    <s v="Match"/>
    <n v="2150"/>
    <n v="537.5"/>
    <n v="1612.5"/>
    <n v="1208.24"/>
    <n v="404.26"/>
    <b v="0"/>
    <x v="0"/>
    <x v="1"/>
    <s v="Ananya"/>
    <x v="4"/>
    <n v="3.5"/>
    <s v="Aug"/>
    <x v="6"/>
  </r>
  <r>
    <s v="ZAR-10623"/>
    <d v="2025-08-21T00:00:00"/>
    <x v="4"/>
    <d v="1899-12-30T20:40:00"/>
    <x v="6"/>
    <x v="0"/>
    <x v="4"/>
    <x v="3"/>
    <x v="2"/>
    <x v="0"/>
    <n v="1"/>
    <n v="28750"/>
    <x v="4"/>
    <n v="55"/>
    <s v="Valid"/>
    <s v="Mismatch"/>
    <n v="28750"/>
    <n v="7187.5"/>
    <n v="21562.5"/>
    <n v="15775.72"/>
    <n v="5786.78"/>
    <b v="0"/>
    <x v="0"/>
    <x v="4"/>
    <s v="Karan"/>
    <x v="2"/>
    <n v="3"/>
    <s v="Aug"/>
    <x v="4"/>
  </r>
  <r>
    <s v="ZAR-10937"/>
    <d v="2025-05-14T00:00:00"/>
    <x v="0"/>
    <d v="1899-12-30T05:41:00"/>
    <x v="6"/>
    <x v="0"/>
    <x v="4"/>
    <x v="6"/>
    <x v="2"/>
    <x v="1"/>
    <n v="1"/>
    <n v="38600"/>
    <x v="2"/>
    <n v="0"/>
    <s v="Valid"/>
    <s v="Match"/>
    <n v="38600"/>
    <n v="0"/>
    <n v="38600"/>
    <n v="23998.16"/>
    <n v="14601.84"/>
    <b v="0"/>
    <x v="0"/>
    <x v="2"/>
    <s v="Sanjay"/>
    <x v="3"/>
    <n v="5"/>
    <s v="May"/>
    <x v="1"/>
  </r>
  <r>
    <s v="ZAR-10061"/>
    <d v="2025-10-22T00:00:00"/>
    <x v="3"/>
    <d v="1899-12-30T09:44:00"/>
    <x v="3"/>
    <x v="0"/>
    <x v="7"/>
    <x v="4"/>
    <x v="5"/>
    <x v="0"/>
    <n v="1"/>
    <n v="4350"/>
    <x v="0"/>
    <n v="15"/>
    <s v="Valid"/>
    <s v="Match"/>
    <n v="4350"/>
    <n v="652.5"/>
    <n v="3697.5"/>
    <n v="2809.33"/>
    <n v="888.17"/>
    <b v="0"/>
    <x v="0"/>
    <x v="3"/>
    <s v="Meera"/>
    <x v="4"/>
    <n v="4"/>
    <s v="Oct"/>
    <x v="1"/>
  </r>
  <r>
    <s v="ZAR-10627"/>
    <d v="2025-03-12T00:00:00"/>
    <x v="0"/>
    <d v="1899-12-30T07:05:00"/>
    <x v="1"/>
    <x v="0"/>
    <x v="6"/>
    <x v="1"/>
    <x v="0"/>
    <x v="6"/>
    <n v="1"/>
    <n v="9000"/>
    <x v="1"/>
    <n v="5"/>
    <s v="Valid"/>
    <s v="Match"/>
    <n v="9000"/>
    <n v="450"/>
    <n v="8550"/>
    <n v="4738.41"/>
    <n v="3811.59"/>
    <b v="0"/>
    <x v="0"/>
    <x v="2"/>
    <s v="Priya"/>
    <x v="4"/>
    <n v="4"/>
    <s v="Mar"/>
    <x v="1"/>
  </r>
  <r>
    <s v="ZAR-10560"/>
    <d v="2025-11-06T00:00:00"/>
    <x v="0"/>
    <d v="1899-12-30T05:26:00"/>
    <x v="6"/>
    <x v="0"/>
    <x v="1"/>
    <x v="5"/>
    <x v="5"/>
    <x v="0"/>
    <n v="2"/>
    <n v="3400"/>
    <x v="3"/>
    <n v="25"/>
    <s v="Valid"/>
    <s v="Match"/>
    <n v="6800"/>
    <n v="1700"/>
    <n v="5100"/>
    <n v="4763.4799999999996"/>
    <n v="336.52"/>
    <b v="0"/>
    <x v="0"/>
    <x v="4"/>
    <s v="Ananya"/>
    <x v="5"/>
    <n v="3"/>
    <s v="Nov"/>
    <x v="4"/>
  </r>
  <r>
    <s v="ZAR-10747"/>
    <d v="2025-12-10T00:00:00"/>
    <x v="1"/>
    <d v="1899-12-30T01:38:00"/>
    <x v="5"/>
    <x v="0"/>
    <x v="7"/>
    <x v="3"/>
    <x v="0"/>
    <x v="4"/>
    <n v="2"/>
    <n v="1750"/>
    <x v="1"/>
    <n v="5"/>
    <s v="Valid"/>
    <s v="Match"/>
    <n v="3500"/>
    <n v="175"/>
    <n v="3325"/>
    <n v="2033.18"/>
    <n v="1291.82"/>
    <b v="0"/>
    <x v="0"/>
    <x v="1"/>
    <s v="Ananya"/>
    <x v="1"/>
    <n v="3"/>
    <s v="Dec"/>
    <x v="1"/>
  </r>
  <r>
    <s v="ZAR-10382"/>
    <d v="2025-09-25T00:00:00"/>
    <x v="5"/>
    <d v="1899-12-30T15:55:00"/>
    <x v="0"/>
    <x v="0"/>
    <x v="6"/>
    <x v="3"/>
    <x v="0"/>
    <x v="1"/>
    <n v="2"/>
    <n v="21000"/>
    <x v="1"/>
    <n v="5"/>
    <s v="Valid"/>
    <s v="Match"/>
    <n v="42000"/>
    <n v="2100"/>
    <n v="39900"/>
    <n v="22639.02"/>
    <n v="17260.98"/>
    <b v="0"/>
    <x v="0"/>
    <x v="1"/>
    <s v="Rohit"/>
    <x v="3"/>
    <n v="3"/>
    <s v="Sep"/>
    <x v="4"/>
  </r>
  <r>
    <s v="ZAR-10056"/>
    <d v="2025-11-30T00:00:00"/>
    <x v="1"/>
    <m/>
    <x v="2"/>
    <x v="0"/>
    <x v="10"/>
    <x v="2"/>
    <x v="0"/>
    <x v="0"/>
    <n v="2"/>
    <n v="5200"/>
    <x v="0"/>
    <n v="15"/>
    <s v="Valid"/>
    <s v="Match"/>
    <n v="10400"/>
    <n v="1560"/>
    <n v="8840"/>
    <n v="7669.49"/>
    <n v="1170.51"/>
    <b v="0"/>
    <x v="0"/>
    <x v="2"/>
    <s v="Neha"/>
    <x v="1"/>
    <n v="3"/>
    <s v="Nov"/>
    <x v="0"/>
  </r>
  <r>
    <s v="ZAR-10025"/>
    <d v="2025-06-30T00:00:00"/>
    <x v="5"/>
    <d v="1899-12-30T13:38:00"/>
    <x v="4"/>
    <x v="0"/>
    <x v="0"/>
    <x v="4"/>
    <x v="3"/>
    <x v="0"/>
    <n v="2"/>
    <n v="2100"/>
    <x v="1"/>
    <n v="10"/>
    <s v="Valid"/>
    <s v="Match"/>
    <n v="4200"/>
    <n v="420"/>
    <n v="3780"/>
    <n v="2857.18"/>
    <n v="922.82"/>
    <b v="0"/>
    <x v="0"/>
    <x v="0"/>
    <s v="Ananya"/>
    <x v="5"/>
    <n v="4"/>
    <s v="Jun"/>
    <x v="6"/>
  </r>
  <r>
    <s v="ZAR-10032"/>
    <d v="2025-03-15T00:00:00"/>
    <x v="5"/>
    <d v="1899-12-30T13:03:00"/>
    <x v="0"/>
    <x v="0"/>
    <x v="6"/>
    <x v="4"/>
    <x v="4"/>
    <x v="4"/>
    <n v="1"/>
    <n v="25250"/>
    <x v="0"/>
    <n v="15"/>
    <s v="Valid"/>
    <s v="Match"/>
    <n v="25250"/>
    <n v="3787.5"/>
    <n v="21462.5"/>
    <n v="14968.05"/>
    <n v="6494.45"/>
    <b v="0"/>
    <x v="0"/>
    <x v="3"/>
    <s v="Sanjay"/>
    <x v="1"/>
    <n v="5"/>
    <s v="Aug"/>
    <x v="1"/>
  </r>
  <r>
    <s v="ZAR-10896"/>
    <d v="2025-05-15T00:00:00"/>
    <x v="2"/>
    <d v="1899-12-30T17:44:00"/>
    <x v="5"/>
    <x v="0"/>
    <x v="12"/>
    <x v="2"/>
    <x v="2"/>
    <x v="0"/>
    <n v="1"/>
    <n v="10450"/>
    <x v="0"/>
    <n v="15"/>
    <s v="Valid"/>
    <s v="Match"/>
    <n v="10450"/>
    <n v="1567.5"/>
    <n v="8882.5"/>
    <n v="5511.1"/>
    <n v="3371.4"/>
    <b v="0"/>
    <x v="0"/>
    <x v="0"/>
    <s v="Neha"/>
    <x v="6"/>
    <n v="4"/>
    <s v="Aug"/>
    <x v="6"/>
  </r>
  <r>
    <s v="ZAR-10431"/>
    <d v="2025-12-17T00:00:00"/>
    <x v="3"/>
    <d v="1899-12-30T11:57:00"/>
    <x v="6"/>
    <x v="0"/>
    <x v="2"/>
    <x v="3"/>
    <x v="2"/>
    <x v="1"/>
    <n v="1"/>
    <n v="91900"/>
    <x v="0"/>
    <n v="15"/>
    <s v="Valid"/>
    <s v="Match"/>
    <n v="91900"/>
    <n v="13785"/>
    <n v="78115"/>
    <n v="54040.79"/>
    <n v="24074.21"/>
    <b v="0"/>
    <x v="0"/>
    <x v="2"/>
    <s v="Sanjay"/>
    <x v="3"/>
    <n v="4"/>
    <s v="Dec"/>
    <x v="4"/>
  </r>
  <r>
    <s v="ZAR-10012"/>
    <d v="2025-08-20T00:00:00"/>
    <x v="1"/>
    <d v="1899-12-30T00:37:00"/>
    <x v="4"/>
    <x v="1"/>
    <x v="9"/>
    <x v="4"/>
    <x v="3"/>
    <x v="0"/>
    <n v="1"/>
    <m/>
    <x v="1"/>
    <n v="5"/>
    <s v="Valid"/>
    <s v="Match"/>
    <n v="16600"/>
    <n v="830"/>
    <n v="15770"/>
    <n v="9452.59"/>
    <n v="6317.41"/>
    <b v="0"/>
    <x v="0"/>
    <x v="1"/>
    <s v="Ananya"/>
    <x v="2"/>
    <n v="5"/>
    <s v="Jun"/>
    <x v="2"/>
  </r>
  <r>
    <s v="ZAR-10951"/>
    <d v="2025-09-20T00:00:00"/>
    <x v="5"/>
    <d v="1899-12-30T12:13:00"/>
    <x v="0"/>
    <x v="0"/>
    <x v="12"/>
    <x v="5"/>
    <x v="4"/>
    <x v="0"/>
    <n v="2"/>
    <n v="13150"/>
    <x v="0"/>
    <n v="15"/>
    <s v="Valid"/>
    <s v="Match"/>
    <n v="26300"/>
    <n v="3945"/>
    <n v="22355"/>
    <n v="14275.25"/>
    <n v="8079.75"/>
    <b v="0"/>
    <x v="0"/>
    <x v="1"/>
    <s v="Meera"/>
    <x v="4"/>
    <n v="5"/>
    <s v="Sep"/>
    <x v="5"/>
  </r>
  <r>
    <s v="ZAR-10813"/>
    <d v="2025-04-09T00:00:00"/>
    <x v="5"/>
    <d v="1899-12-30T13:11:00"/>
    <x v="6"/>
    <x v="2"/>
    <x v="8"/>
    <x v="6"/>
    <x v="7"/>
    <x v="0"/>
    <n v="1"/>
    <n v="4400"/>
    <x v="0"/>
    <n v="20"/>
    <s v="Valid"/>
    <s v="Match"/>
    <n v="4400"/>
    <n v="880"/>
    <n v="3520"/>
    <n v="3254.42"/>
    <n v="265.58"/>
    <b v="0"/>
    <x v="0"/>
    <x v="4"/>
    <s v="Meera"/>
    <x v="0"/>
    <n v="5"/>
    <s v="Apr"/>
    <x v="1"/>
  </r>
  <r>
    <s v="ZAR-10484"/>
    <d v="2025-05-06T00:00:00"/>
    <x v="4"/>
    <d v="1899-12-30T21:20:00"/>
    <x v="3"/>
    <x v="2"/>
    <x v="14"/>
    <x v="0"/>
    <x v="1"/>
    <x v="0"/>
    <n v="4"/>
    <n v="2550"/>
    <x v="3"/>
    <n v="25"/>
    <s v="Valid"/>
    <s v="Match"/>
    <n v="10200"/>
    <n v="2550"/>
    <n v="7650"/>
    <n v="6319.9"/>
    <n v="1330.1"/>
    <b v="0"/>
    <x v="0"/>
    <x v="2"/>
    <s v="Neha"/>
    <x v="1"/>
    <n v="3"/>
    <s v="May"/>
    <x v="6"/>
  </r>
  <r>
    <s v="ZAR-10447"/>
    <d v="2025-05-03T00:00:00"/>
    <x v="5"/>
    <d v="1899-12-30T12:05:00"/>
    <x v="2"/>
    <x v="1"/>
    <x v="13"/>
    <x v="0"/>
    <x v="7"/>
    <x v="4"/>
    <n v="1"/>
    <n v="6750"/>
    <x v="0"/>
    <n v="15"/>
    <s v="Valid"/>
    <s v="Match"/>
    <n v="6750"/>
    <n v="1012.5"/>
    <n v="5737.5"/>
    <n v="3888.92"/>
    <n v="1848.58"/>
    <b v="0"/>
    <x v="0"/>
    <x v="2"/>
    <s v="Priya"/>
    <x v="1"/>
    <n v="4"/>
    <s v="May"/>
    <x v="5"/>
  </r>
  <r>
    <s v="ZAR-10201"/>
    <d v="2025-07-12T00:00:00"/>
    <x v="0"/>
    <d v="1899-12-30T05:46:00"/>
    <x v="2"/>
    <x v="0"/>
    <x v="12"/>
    <x v="2"/>
    <x v="6"/>
    <x v="0"/>
    <n v="1"/>
    <n v="5750"/>
    <x v="1"/>
    <n v="10"/>
    <s v="Valid"/>
    <s v="Match"/>
    <n v="5750"/>
    <n v="575"/>
    <n v="5175"/>
    <n v="3205.18"/>
    <n v="1969.82"/>
    <b v="0"/>
    <x v="0"/>
    <x v="2"/>
    <s v="Sanjay"/>
    <x v="4"/>
    <n v="4"/>
    <s v="Jul"/>
    <x v="5"/>
  </r>
  <r>
    <s v="ZAR-10502"/>
    <d v="2025-10-02T00:00:00"/>
    <x v="3"/>
    <d v="1899-12-30T09:50:00"/>
    <x v="0"/>
    <x v="2"/>
    <x v="17"/>
    <x v="2"/>
    <x v="1"/>
    <x v="0"/>
    <n v="2"/>
    <n v="3300"/>
    <x v="0"/>
    <n v="20"/>
    <s v="Valid"/>
    <s v="Match"/>
    <n v="6600"/>
    <n v="1320"/>
    <n v="5280"/>
    <n v="3706.58"/>
    <n v="1573.42"/>
    <b v="0"/>
    <x v="0"/>
    <x v="1"/>
    <s v="Karan"/>
    <x v="2"/>
    <n v="3.5"/>
    <s v="Oct"/>
    <x v="4"/>
  </r>
  <r>
    <s v="ZAR-10776"/>
    <d v="2025-03-19T00:00:00"/>
    <x v="2"/>
    <d v="1899-12-30T18:19:00"/>
    <x v="4"/>
    <x v="2"/>
    <x v="11"/>
    <x v="6"/>
    <x v="5"/>
    <x v="0"/>
    <n v="2"/>
    <n v="5600"/>
    <x v="0"/>
    <n v="15"/>
    <s v="Valid"/>
    <s v="Match"/>
    <n v="11200"/>
    <n v="1680"/>
    <n v="9520"/>
    <n v="7855.1"/>
    <n v="1664.9"/>
    <b v="0"/>
    <x v="0"/>
    <x v="3"/>
    <s v="Neha"/>
    <x v="3"/>
    <n v="4"/>
    <s v="Mar"/>
    <x v="1"/>
  </r>
  <r>
    <s v="ZAR-10109"/>
    <d v="2025-12-17T00:00:00"/>
    <x v="5"/>
    <d v="1899-12-30T12:19:00"/>
    <x v="5"/>
    <x v="0"/>
    <x v="2"/>
    <x v="2"/>
    <x v="3"/>
    <x v="0"/>
    <n v="1"/>
    <n v="71300"/>
    <x v="1"/>
    <n v="10"/>
    <s v="Valid"/>
    <s v="Match"/>
    <n v="71300"/>
    <n v="7130"/>
    <n v="64170"/>
    <n v="44651.47"/>
    <n v="19518.53"/>
    <b v="0"/>
    <x v="0"/>
    <x v="0"/>
    <s v="Rohit"/>
    <x v="3"/>
    <n v="4"/>
    <s v="Dec"/>
    <x v="1"/>
  </r>
  <r>
    <s v="ZAR-10220"/>
    <d v="2025-07-15T00:00:00"/>
    <x v="2"/>
    <d v="1899-12-30T16:19:00"/>
    <x v="5"/>
    <x v="0"/>
    <x v="4"/>
    <x v="7"/>
    <x v="2"/>
    <x v="0"/>
    <n v="1"/>
    <n v="24950"/>
    <x v="2"/>
    <n v="0"/>
    <s v="Valid"/>
    <s v="Match"/>
    <n v="24950"/>
    <n v="0"/>
    <n v="24950"/>
    <n v="17735.7"/>
    <n v="7214.3"/>
    <b v="0"/>
    <x v="0"/>
    <x v="0"/>
    <s v="Neha"/>
    <x v="1"/>
    <n v="3.5"/>
    <s v="Jul"/>
    <x v="6"/>
  </r>
  <r>
    <s v="ZAR-10422"/>
    <d v="2025-02-17T00:00:00"/>
    <x v="4"/>
    <d v="1899-12-30T22:54:00"/>
    <x v="4"/>
    <x v="0"/>
    <x v="0"/>
    <x v="2"/>
    <x v="6"/>
    <x v="0"/>
    <n v="1"/>
    <n v="8950"/>
    <x v="1"/>
    <n v="5"/>
    <s v="Valid"/>
    <s v="Match"/>
    <n v="8950"/>
    <n v="447.5"/>
    <n v="8502.5"/>
    <n v="5883.78"/>
    <n v="2618.7199999999998"/>
    <b v="0"/>
    <x v="0"/>
    <x v="0"/>
    <s v="Rohit"/>
    <x v="3"/>
    <n v="4.5"/>
    <s v="Feb"/>
    <x v="2"/>
  </r>
  <r>
    <s v="ZAR-10176"/>
    <d v="2025-03-09T00:00:00"/>
    <x v="5"/>
    <d v="1899-12-30T12:55:00"/>
    <x v="6"/>
    <x v="0"/>
    <x v="4"/>
    <x v="5"/>
    <x v="2"/>
    <x v="1"/>
    <n v="4"/>
    <n v="27050"/>
    <x v="1"/>
    <n v="10"/>
    <s v="Valid"/>
    <s v="Match"/>
    <n v="108200"/>
    <n v="10820"/>
    <n v="97380"/>
    <n v="78495.14"/>
    <n v="18884.86"/>
    <b v="0"/>
    <x v="0"/>
    <x v="2"/>
    <s v="Neha"/>
    <x v="0"/>
    <n v="4"/>
    <s v="Mar"/>
    <x v="0"/>
  </r>
  <r>
    <s v="ZAR-10723"/>
    <d v="2025-05-21T00:00:00"/>
    <x v="4"/>
    <d v="1899-12-30T20:03:00"/>
    <x v="4"/>
    <x v="0"/>
    <x v="0"/>
    <x v="2"/>
    <x v="5"/>
    <x v="4"/>
    <n v="1"/>
    <n v="6400"/>
    <x v="3"/>
    <n v="25"/>
    <s v="Valid"/>
    <s v="Match"/>
    <n v="6400"/>
    <n v="1600"/>
    <n v="4800"/>
    <n v="4319.6000000000004"/>
    <n v="480.4"/>
    <b v="0"/>
    <x v="0"/>
    <x v="1"/>
    <s v="Sanjay"/>
    <x v="4"/>
    <n v="4.5"/>
    <s v="May"/>
    <x v="1"/>
  </r>
  <r>
    <s v="ZAR-10521"/>
    <d v="2025-12-09T00:00:00"/>
    <x v="1"/>
    <d v="1899-12-30T02:14:00"/>
    <x v="2"/>
    <x v="0"/>
    <x v="7"/>
    <x v="5"/>
    <x v="3"/>
    <x v="2"/>
    <n v="1"/>
    <n v="650"/>
    <x v="3"/>
    <n v="30"/>
    <s v="Valid"/>
    <s v="Match"/>
    <n v="650"/>
    <n v="195"/>
    <n v="455"/>
    <n v="365.48"/>
    <n v="89.52"/>
    <b v="0"/>
    <x v="0"/>
    <x v="4"/>
    <s v="Priya"/>
    <x v="5"/>
    <n v="4"/>
    <s v="Dec"/>
    <x v="6"/>
  </r>
  <r>
    <s v="ZAR-10455"/>
    <d v="2025-08-16T00:00:00"/>
    <x v="5"/>
    <d v="1899-12-30T15:30:00"/>
    <x v="2"/>
    <x v="0"/>
    <x v="7"/>
    <x v="3"/>
    <x v="3"/>
    <x v="4"/>
    <n v="1"/>
    <n v="600"/>
    <x v="1"/>
    <n v="5"/>
    <s v="Valid"/>
    <s v="Match"/>
    <n v="600"/>
    <n v="30"/>
    <n v="570"/>
    <n v="409.52"/>
    <n v="160.47999999999999"/>
    <b v="0"/>
    <x v="0"/>
    <x v="2"/>
    <s v="Priya"/>
    <x v="2"/>
    <n v="4"/>
    <s v="Aug"/>
    <x v="5"/>
  </r>
  <r>
    <s v="ZAR-10933"/>
    <d v="2025-06-10T00:00:00"/>
    <x v="1"/>
    <d v="1899-12-30T01:27:00"/>
    <x v="5"/>
    <x v="0"/>
    <x v="1"/>
    <x v="5"/>
    <x v="5"/>
    <x v="4"/>
    <n v="1"/>
    <n v="1300"/>
    <x v="3"/>
    <n v="25"/>
    <s v="Valid"/>
    <s v="Match"/>
    <n v="1300"/>
    <n v="325"/>
    <n v="975"/>
    <n v="694.97"/>
    <n v="280.02999999999997"/>
    <b v="0"/>
    <x v="0"/>
    <x v="4"/>
    <s v="Rohit"/>
    <x v="1"/>
    <n v="3.5"/>
    <s v="Jun"/>
    <x v="6"/>
  </r>
  <r>
    <s v="ZAR-10041"/>
    <d v="2025-04-24T00:00:00"/>
    <x v="5"/>
    <d v="1899-12-30T12:44:00"/>
    <x v="0"/>
    <x v="1"/>
    <x v="18"/>
    <x v="7"/>
    <x v="7"/>
    <x v="0"/>
    <n v="1"/>
    <n v="3100"/>
    <x v="2"/>
    <n v="0"/>
    <s v="Valid"/>
    <s v="Match"/>
    <n v="3100"/>
    <n v="0"/>
    <n v="3100"/>
    <n v="1675.46"/>
    <n v="1424.54"/>
    <b v="0"/>
    <x v="0"/>
    <x v="0"/>
    <s v="Unknown"/>
    <x v="5"/>
    <n v="4.5"/>
    <s v="Apr"/>
    <x v="4"/>
  </r>
  <r>
    <s v="ZAR-10553"/>
    <d v="2025-12-10T00:00:00"/>
    <x v="4"/>
    <d v="1899-12-30T21:05:00"/>
    <x v="6"/>
    <x v="0"/>
    <x v="6"/>
    <x v="2"/>
    <x v="5"/>
    <x v="0"/>
    <n v="1"/>
    <n v="23450"/>
    <x v="3"/>
    <n v="25"/>
    <s v="Valid"/>
    <s v="Match"/>
    <n v="23450"/>
    <n v="5862.5"/>
    <n v="17587.5"/>
    <n v="17307.41"/>
    <n v="280.08999999999997"/>
    <b v="0"/>
    <x v="0"/>
    <x v="4"/>
    <s v="Ananya"/>
    <x v="2"/>
    <n v="4"/>
    <s v="Dec"/>
    <x v="1"/>
  </r>
  <r>
    <s v="ZAR-10918"/>
    <d v="2025-01-27T00:00:00"/>
    <x v="2"/>
    <d v="1899-12-30T18:41:00"/>
    <x v="6"/>
    <x v="0"/>
    <x v="0"/>
    <x v="3"/>
    <x v="2"/>
    <x v="2"/>
    <n v="1"/>
    <n v="3000"/>
    <x v="3"/>
    <n v="30"/>
    <s v="Valid"/>
    <s v="Match"/>
    <n v="3000"/>
    <n v="900"/>
    <n v="2100"/>
    <n v="1620.9"/>
    <n v="479.1"/>
    <b v="0"/>
    <x v="0"/>
    <x v="1"/>
    <s v="Rohit"/>
    <x v="2"/>
    <n v="4"/>
    <s v="Jan"/>
    <x v="2"/>
  </r>
  <r>
    <s v="ZAR-10353"/>
    <d v="2025-10-12T00:00:00"/>
    <x v="5"/>
    <d v="1899-12-30T12:53:00"/>
    <x v="3"/>
    <x v="0"/>
    <x v="7"/>
    <x v="0"/>
    <x v="2"/>
    <x v="4"/>
    <n v="2"/>
    <n v="2950"/>
    <x v="0"/>
    <n v="15"/>
    <s v="Valid"/>
    <s v="Match"/>
    <n v="5900"/>
    <n v="885"/>
    <n v="5015"/>
    <n v="3248.51"/>
    <n v="1766.49"/>
    <b v="0"/>
    <x v="0"/>
    <x v="2"/>
    <s v="Ananya"/>
    <x v="4"/>
    <n v="3.5"/>
    <s v="Oct"/>
    <x v="0"/>
  </r>
  <r>
    <s v="ZAR-10068"/>
    <d v="2025-11-25T00:00:00"/>
    <x v="4"/>
    <d v="1899-12-30T20:38:00"/>
    <x v="2"/>
    <x v="0"/>
    <x v="4"/>
    <x v="1"/>
    <x v="2"/>
    <x v="0"/>
    <n v="3"/>
    <n v="43050"/>
    <x v="2"/>
    <n v="0"/>
    <s v="Valid"/>
    <s v="Match"/>
    <n v="129150"/>
    <n v="0"/>
    <n v="129150"/>
    <n v="85989.25"/>
    <n v="43160.75"/>
    <b v="0"/>
    <x v="0"/>
    <x v="2"/>
    <s v="Meera"/>
    <x v="5"/>
    <n v="4.5"/>
    <s v="Nov"/>
    <x v="6"/>
  </r>
  <r>
    <s v="ZAR-10279"/>
    <d v="2025-09-09T00:00:00"/>
    <x v="0"/>
    <d v="1899-12-30T05:48:00"/>
    <x v="4"/>
    <x v="2"/>
    <x v="8"/>
    <x v="3"/>
    <x v="5"/>
    <x v="0"/>
    <n v="1"/>
    <n v="2600"/>
    <x v="0"/>
    <n v="20"/>
    <s v="Valid"/>
    <s v="Match"/>
    <n v="2600"/>
    <n v="520"/>
    <n v="2080"/>
    <n v="1848.94"/>
    <n v="231.06"/>
    <b v="0"/>
    <x v="0"/>
    <x v="0"/>
    <s v="Neha"/>
    <x v="2"/>
    <n v="3"/>
    <s v="Sep"/>
    <x v="6"/>
  </r>
  <r>
    <s v="ZAR-10069"/>
    <d v="2025-11-02T00:00:00"/>
    <x v="1"/>
    <d v="1899-12-30T00:17:00"/>
    <x v="6"/>
    <x v="0"/>
    <x v="1"/>
    <x v="5"/>
    <x v="4"/>
    <x v="3"/>
    <n v="1"/>
    <n v="3800"/>
    <x v="3"/>
    <n v="30"/>
    <s v="Valid"/>
    <s v="Match"/>
    <n v="3800"/>
    <n v="1140"/>
    <n v="2660"/>
    <n v="2099.36"/>
    <n v="560.64"/>
    <b v="0"/>
    <x v="0"/>
    <x v="2"/>
    <s v="Rohit"/>
    <x v="2"/>
    <n v="4"/>
    <s v="Nov"/>
    <x v="0"/>
  </r>
  <r>
    <s v="ZAR-10910"/>
    <d v="2025-04-23T00:00:00"/>
    <x v="2"/>
    <d v="1899-12-30T19:38:00"/>
    <x v="4"/>
    <x v="0"/>
    <x v="2"/>
    <x v="0"/>
    <x v="8"/>
    <x v="2"/>
    <n v="1"/>
    <n v="29900"/>
    <x v="0"/>
    <n v="15"/>
    <s v="Valid"/>
    <s v="Match"/>
    <n v="29900"/>
    <n v="4485"/>
    <n v="25415"/>
    <n v="17131.189999999999"/>
    <n v="8283.81"/>
    <b v="0"/>
    <x v="0"/>
    <x v="2"/>
    <s v="Neha"/>
    <x v="5"/>
    <n v="3.5"/>
    <s v="Apr"/>
    <x v="1"/>
  </r>
  <r>
    <s v="ZAR-10736"/>
    <d v="2025-09-02T00:00:00"/>
    <x v="0"/>
    <d v="1899-12-30T05:22:00"/>
    <x v="2"/>
    <x v="0"/>
    <x v="1"/>
    <x v="3"/>
    <x v="2"/>
    <x v="0"/>
    <n v="2"/>
    <n v="1300"/>
    <x v="3"/>
    <n v="30"/>
    <s v="Valid"/>
    <s v="Match"/>
    <n v="2600"/>
    <n v="780"/>
    <n v="1820"/>
    <n v="1566.08"/>
    <n v="253.92"/>
    <b v="0"/>
    <x v="0"/>
    <x v="0"/>
    <s v="Karan"/>
    <x v="6"/>
    <n v="3.5"/>
    <s v="Sep"/>
    <x v="6"/>
  </r>
  <r>
    <s v="ZAR-10844"/>
    <d v="2025-09-07T00:00:00"/>
    <x v="3"/>
    <d v="1899-12-30T10:39:00"/>
    <x v="6"/>
    <x v="0"/>
    <x v="12"/>
    <x v="5"/>
    <x v="6"/>
    <x v="1"/>
    <n v="3"/>
    <n v="8350"/>
    <x v="1"/>
    <n v="5"/>
    <s v="Valid"/>
    <s v="Match"/>
    <n v="25050"/>
    <n v="1252.5"/>
    <n v="23797.5"/>
    <n v="17228.8"/>
    <n v="6568.7"/>
    <b v="0"/>
    <x v="0"/>
    <x v="2"/>
    <s v="Ananya"/>
    <x v="2"/>
    <n v="5"/>
    <s v="Sep"/>
    <x v="0"/>
  </r>
  <r>
    <s v="ZAR-10298"/>
    <d v="2025-11-17T00:00:00"/>
    <x v="1"/>
    <d v="1899-12-30T01:03:00"/>
    <x v="7"/>
    <x v="1"/>
    <x v="5"/>
    <x v="2"/>
    <x v="3"/>
    <x v="1"/>
    <n v="1"/>
    <n v="2550"/>
    <x v="0"/>
    <n v="20"/>
    <s v="Valid"/>
    <s v="Match"/>
    <n v="2550"/>
    <n v="510"/>
    <n v="2040"/>
    <n v="1515.85"/>
    <n v="524.15"/>
    <b v="0"/>
    <x v="0"/>
    <x v="1"/>
    <s v="Priya"/>
    <x v="5"/>
    <n v="3.5"/>
    <s v="Nov"/>
    <x v="2"/>
  </r>
  <r>
    <s v="ZAR-10620"/>
    <d v="2025-01-03T00:00:00"/>
    <x v="5"/>
    <d v="1899-12-30T13:02:00"/>
    <x v="2"/>
    <x v="0"/>
    <x v="0"/>
    <x v="7"/>
    <x v="4"/>
    <x v="0"/>
    <n v="3"/>
    <n v="4000"/>
    <x v="0"/>
    <n v="15"/>
    <s v="Valid"/>
    <s v="Match"/>
    <n v="12000"/>
    <n v="1800"/>
    <n v="10200"/>
    <n v="8017.51"/>
    <n v="2182.4899999999998"/>
    <b v="0"/>
    <x v="0"/>
    <x v="4"/>
    <s v="Rohit"/>
    <x v="5"/>
    <n v="5"/>
    <s v="Jan"/>
    <x v="3"/>
  </r>
  <r>
    <s v="ZAR-10600"/>
    <d v="2025-12-21T00:00:00"/>
    <x v="5"/>
    <d v="1899-12-30T14:30:00"/>
    <x v="3"/>
    <x v="0"/>
    <x v="2"/>
    <x v="4"/>
    <x v="3"/>
    <x v="1"/>
    <n v="3"/>
    <n v="41400"/>
    <x v="0"/>
    <n v="20"/>
    <s v="Valid"/>
    <s v="Match"/>
    <n v="124200"/>
    <n v="24840"/>
    <n v="99360"/>
    <n v="87582.97"/>
    <n v="11777.03"/>
    <b v="0"/>
    <x v="0"/>
    <x v="4"/>
    <s v="Karan"/>
    <x v="1"/>
    <n v="3.5"/>
    <s v="Dec"/>
    <x v="0"/>
  </r>
  <r>
    <s v="ZAR-10819"/>
    <d v="2025-04-02T00:00:00"/>
    <x v="0"/>
    <d v="1899-12-30T05:01:00"/>
    <x v="1"/>
    <x v="0"/>
    <x v="6"/>
    <x v="5"/>
    <x v="0"/>
    <x v="3"/>
    <n v="1"/>
    <n v="26100"/>
    <x v="0"/>
    <n v="20"/>
    <s v="Valid"/>
    <s v="Match"/>
    <n v="26100"/>
    <n v="5220"/>
    <n v="20880"/>
    <n v="18014.78"/>
    <n v="2865.22"/>
    <b v="0"/>
    <x v="0"/>
    <x v="0"/>
    <s v="Neha"/>
    <x v="4"/>
    <n v="3"/>
    <s v="Apr"/>
    <x v="1"/>
  </r>
  <r>
    <s v="ZAR-10808"/>
    <d v="2025-10-08T00:00:00"/>
    <x v="4"/>
    <d v="1899-12-30T20:20:00"/>
    <x v="1"/>
    <x v="2"/>
    <x v="14"/>
    <x v="5"/>
    <x v="5"/>
    <x v="0"/>
    <n v="1"/>
    <n v="2900"/>
    <x v="0"/>
    <n v="20"/>
    <s v="Valid"/>
    <s v="Match"/>
    <n v="2900"/>
    <n v="580"/>
    <n v="2320"/>
    <n v="1999.78"/>
    <n v="320.22000000000003"/>
    <b v="0"/>
    <x v="0"/>
    <x v="4"/>
    <s v="Priya"/>
    <x v="5"/>
    <n v="4"/>
    <s v="Oct"/>
    <x v="1"/>
  </r>
  <r>
    <s v="ZAR-10425"/>
    <d v="2025-07-30T00:00:00"/>
    <x v="3"/>
    <d v="1899-12-30T10:55:00"/>
    <x v="6"/>
    <x v="0"/>
    <x v="1"/>
    <x v="6"/>
    <x v="5"/>
    <x v="4"/>
    <n v="0"/>
    <n v="1250"/>
    <x v="1"/>
    <n v="10"/>
    <s v="Valid"/>
    <s v="Match"/>
    <n v="2500"/>
    <n v="250"/>
    <n v="2250"/>
    <n v="1764.27"/>
    <n v="485.73"/>
    <b v="0"/>
    <x v="0"/>
    <x v="1"/>
    <s v="Priya"/>
    <x v="4"/>
    <n v="4"/>
    <s v="Jul"/>
    <x v="1"/>
  </r>
  <r>
    <s v="ZAR-10760"/>
    <d v="2025-12-25T00:00:00"/>
    <x v="3"/>
    <d v="1899-12-30T08:36:00"/>
    <x v="3"/>
    <x v="1"/>
    <x v="16"/>
    <x v="6"/>
    <x v="5"/>
    <x v="1"/>
    <n v="2"/>
    <n v="3750"/>
    <x v="1"/>
    <n v="10"/>
    <s v="Valid"/>
    <s v="Match"/>
    <n v="7500"/>
    <n v="750"/>
    <n v="6750"/>
    <n v="5199.17"/>
    <n v="1550.83"/>
    <b v="0"/>
    <x v="0"/>
    <x v="2"/>
    <s v="Rohit"/>
    <x v="3"/>
    <n v="4.5"/>
    <s v="Dec"/>
    <x v="4"/>
  </r>
  <r>
    <s v="ZAR-10314"/>
    <d v="2025-08-05T00:00:00"/>
    <x v="3"/>
    <d v="1899-12-30T11:22:00"/>
    <x v="0"/>
    <x v="1"/>
    <x v="16"/>
    <x v="0"/>
    <x v="3"/>
    <x v="0"/>
    <n v="2"/>
    <n v="5700"/>
    <x v="2"/>
    <n v="0"/>
    <s v="Valid"/>
    <s v="Match"/>
    <n v="11400"/>
    <n v="0"/>
    <n v="11400"/>
    <n v="7612.74"/>
    <n v="3787.26"/>
    <b v="0"/>
    <x v="0"/>
    <x v="4"/>
    <s v="Neha"/>
    <x v="1"/>
    <n v="4"/>
    <s v="Aug"/>
    <x v="6"/>
  </r>
  <r>
    <s v="ZAR-10186"/>
    <d v="2025-08-11T00:00:00"/>
    <x v="4"/>
    <d v="1899-12-30T21:08:00"/>
    <x v="0"/>
    <x v="0"/>
    <x v="6"/>
    <x v="7"/>
    <x v="5"/>
    <x v="0"/>
    <n v="1"/>
    <n v="22950"/>
    <x v="0"/>
    <n v="20"/>
    <s v="Valid"/>
    <s v="Match"/>
    <n v="22950"/>
    <n v="4590"/>
    <n v="18360"/>
    <n v="14800.93"/>
    <n v="3559.07"/>
    <b v="0"/>
    <x v="0"/>
    <x v="4"/>
    <s v="Sanjay"/>
    <x v="3"/>
    <n v="5"/>
    <s v="Aug"/>
    <x v="2"/>
  </r>
  <r>
    <s v="ZAR-10334"/>
    <d v="2025-12-19T00:00:00"/>
    <x v="2"/>
    <d v="1899-12-30T19:59:00"/>
    <x v="6"/>
    <x v="0"/>
    <x v="2"/>
    <x v="7"/>
    <x v="8"/>
    <x v="3"/>
    <n v="1"/>
    <n v="29700"/>
    <x v="1"/>
    <n v="5"/>
    <s v="Valid"/>
    <s v="Match"/>
    <n v="29700"/>
    <n v="1485"/>
    <n v="28215"/>
    <n v="18604.25"/>
    <n v="9610.75"/>
    <b v="0"/>
    <x v="0"/>
    <x v="1"/>
    <s v="Neha"/>
    <x v="5"/>
    <n v="4"/>
    <s v="Dec"/>
    <x v="3"/>
  </r>
  <r>
    <s v="ZAR-10090"/>
    <d v="2025-08-14T00:00:00"/>
    <x v="5"/>
    <d v="1899-12-30T14:49:00"/>
    <x v="3"/>
    <x v="2"/>
    <x v="8"/>
    <x v="0"/>
    <x v="7"/>
    <x v="2"/>
    <n v="1"/>
    <n v="4650"/>
    <x v="3"/>
    <n v="25"/>
    <s v="Valid"/>
    <s v="Match"/>
    <n v="4650"/>
    <n v="1162.5"/>
    <n v="3487.5"/>
    <n v="3386.91"/>
    <n v="100.59"/>
    <b v="0"/>
    <x v="0"/>
    <x v="4"/>
    <s v="Ananya"/>
    <x v="4"/>
    <n v="3.5"/>
    <s v="Aug"/>
    <x v="4"/>
  </r>
  <r>
    <s v="ZAR-10065"/>
    <d v="2025-07-15T00:00:00"/>
    <x v="4"/>
    <d v="1899-12-30T20:23:00"/>
    <x v="2"/>
    <x v="0"/>
    <x v="4"/>
    <x v="2"/>
    <x v="8"/>
    <x v="1"/>
    <n v="2"/>
    <n v="24300"/>
    <x v="3"/>
    <n v="25"/>
    <s v="Valid"/>
    <s v="Match"/>
    <n v="48600"/>
    <n v="12150"/>
    <n v="36450"/>
    <n v="28075.03"/>
    <n v="8374.9699999999993"/>
    <b v="0"/>
    <x v="0"/>
    <x v="4"/>
    <s v="Karan"/>
    <x v="1"/>
    <n v="2.5"/>
    <s v="Jul"/>
    <x v="6"/>
  </r>
  <r>
    <s v="ZAR-10834"/>
    <d v="2025-08-15T00:00:00"/>
    <x v="2"/>
    <d v="1899-12-30T19:49:00"/>
    <x v="2"/>
    <x v="0"/>
    <x v="4"/>
    <x v="7"/>
    <x v="2"/>
    <x v="1"/>
    <n v="2"/>
    <n v="16200"/>
    <x v="0"/>
    <n v="15"/>
    <s v="Valid"/>
    <s v="Match"/>
    <n v="32400"/>
    <n v="4860"/>
    <n v="27540"/>
    <n v="22110.93"/>
    <n v="5429.07"/>
    <b v="0"/>
    <x v="0"/>
    <x v="2"/>
    <s v="Neha"/>
    <x v="2"/>
    <n v="3.5"/>
    <s v="Aug"/>
    <x v="3"/>
  </r>
  <r>
    <s v="ZAR-10578"/>
    <d v="2025-10-10T00:00:00"/>
    <x v="0"/>
    <d v="1899-12-30T04:21:00"/>
    <x v="3"/>
    <x v="2"/>
    <x v="14"/>
    <x v="1"/>
    <x v="1"/>
    <x v="2"/>
    <n v="1"/>
    <n v="1750"/>
    <x v="3"/>
    <n v="25"/>
    <s v="Valid"/>
    <s v="Match"/>
    <n v="1750"/>
    <n v="437.5"/>
    <n v="1312.5"/>
    <n v="915.26"/>
    <n v="397.24"/>
    <b v="0"/>
    <x v="0"/>
    <x v="3"/>
    <s v="Sanjay"/>
    <x v="2"/>
    <n v="3.5"/>
    <s v="Oct"/>
    <x v="3"/>
  </r>
  <r>
    <s v="ZAR-10217"/>
    <d v="2025-06-13T00:00:00"/>
    <x v="4"/>
    <d v="1899-12-30T21:08:00"/>
    <x v="1"/>
    <x v="1"/>
    <x v="3"/>
    <x v="3"/>
    <x v="8"/>
    <x v="0"/>
    <n v="2"/>
    <n v="37600"/>
    <x v="0"/>
    <n v="20"/>
    <s v="Valid"/>
    <s v="Match"/>
    <n v="75200"/>
    <n v="15040"/>
    <n v="60160"/>
    <n v="45789.4"/>
    <n v="14370.6"/>
    <b v="0"/>
    <x v="0"/>
    <x v="0"/>
    <s v="Sanjay"/>
    <x v="4"/>
    <n v="4"/>
    <s v="Jun"/>
    <x v="3"/>
  </r>
  <r>
    <s v="ZAR-10606"/>
    <d v="2025-10-23T00:00:00"/>
    <x v="3"/>
    <d v="1899-12-30T11:22:00"/>
    <x v="2"/>
    <x v="0"/>
    <x v="10"/>
    <x v="2"/>
    <x v="5"/>
    <x v="0"/>
    <n v="3"/>
    <n v="2800"/>
    <x v="1"/>
    <n v="5"/>
    <s v="Valid"/>
    <s v="Match"/>
    <n v="8400"/>
    <n v="420"/>
    <n v="7980"/>
    <n v="4493.96"/>
    <n v="3486.04"/>
    <b v="0"/>
    <x v="0"/>
    <x v="4"/>
    <s v="Meera"/>
    <x v="1"/>
    <n v="4"/>
    <s v="Oct"/>
    <x v="4"/>
  </r>
  <r>
    <s v="ZAR-10550"/>
    <d v="2025-02-19T00:00:00"/>
    <x v="0"/>
    <d v="1899-12-30T04:20:00"/>
    <x v="6"/>
    <x v="1"/>
    <x v="16"/>
    <x v="0"/>
    <x v="3"/>
    <x v="2"/>
    <n v="1"/>
    <n v="5750"/>
    <x v="3"/>
    <n v="30"/>
    <s v="Valid"/>
    <s v="Match"/>
    <n v="5750"/>
    <n v="1725"/>
    <n v="4025"/>
    <n v="3683.23"/>
    <n v="341.77"/>
    <b v="0"/>
    <x v="0"/>
    <x v="0"/>
    <s v="Karan"/>
    <x v="1"/>
    <n v="3"/>
    <s v="Feb"/>
    <x v="1"/>
  </r>
  <r>
    <s v="ZAR-10292"/>
    <d v="2025-12-17T00:00:00"/>
    <x v="3"/>
    <d v="1899-12-30T08:18:00"/>
    <x v="1"/>
    <x v="0"/>
    <x v="1"/>
    <x v="5"/>
    <x v="5"/>
    <x v="2"/>
    <n v="2"/>
    <n v="2650"/>
    <x v="0"/>
    <n v="20"/>
    <s v="Valid"/>
    <s v="Match"/>
    <n v="5300"/>
    <n v="1060"/>
    <n v="4240"/>
    <n v="3697.63"/>
    <n v="542.37"/>
    <b v="0"/>
    <x v="0"/>
    <x v="1"/>
    <s v="Rohit"/>
    <x v="3"/>
    <n v="3.5"/>
    <s v="Dec"/>
    <x v="1"/>
  </r>
  <r>
    <s v="ZAR-10790"/>
    <d v="2025-11-05T00:00:00"/>
    <x v="4"/>
    <d v="1899-12-30T20:00:00"/>
    <x v="3"/>
    <x v="2"/>
    <x v="8"/>
    <x v="7"/>
    <x v="1"/>
    <x v="0"/>
    <n v="3"/>
    <n v="4950"/>
    <x v="0"/>
    <n v="20"/>
    <s v="Valid"/>
    <s v="Match"/>
    <n v="14850"/>
    <n v="2970"/>
    <n v="11880"/>
    <n v="9160.84"/>
    <n v="2719.16"/>
    <b v="0"/>
    <x v="0"/>
    <x v="3"/>
    <s v="Priya"/>
    <x v="5"/>
    <n v="3.5"/>
    <s v="Nov"/>
    <x v="1"/>
  </r>
  <r>
    <s v="ZAR-10891"/>
    <d v="2025-11-14T00:00:00"/>
    <x v="3"/>
    <d v="1899-12-30T11:43:00"/>
    <x v="5"/>
    <x v="1"/>
    <x v="9"/>
    <x v="2"/>
    <x v="7"/>
    <x v="3"/>
    <n v="2"/>
    <n v="14550"/>
    <x v="0"/>
    <n v="15"/>
    <s v="Valid"/>
    <s v="Match"/>
    <n v="29100"/>
    <n v="4365"/>
    <n v="24735"/>
    <n v="19540.36"/>
    <n v="5194.6400000000003"/>
    <b v="0"/>
    <x v="0"/>
    <x v="4"/>
    <s v="Neha"/>
    <x v="2"/>
    <n v="3"/>
    <s v="Nov"/>
    <x v="3"/>
  </r>
  <r>
    <s v="ZAR-10969"/>
    <d v="2025-06-16T00:00:00"/>
    <x v="1"/>
    <d v="1899-12-30T01:54:00"/>
    <x v="3"/>
    <x v="0"/>
    <x v="12"/>
    <x v="2"/>
    <x v="4"/>
    <x v="0"/>
    <n v="1"/>
    <n v="3700"/>
    <x v="1"/>
    <n v="5"/>
    <s v="Valid"/>
    <s v="Match"/>
    <n v="3700"/>
    <n v="185"/>
    <n v="3515"/>
    <n v="2648.67"/>
    <n v="866.33"/>
    <b v="0"/>
    <x v="0"/>
    <x v="1"/>
    <s v="Sanjay"/>
    <x v="5"/>
    <n v="4"/>
    <s v="Jun"/>
    <x v="2"/>
  </r>
  <r>
    <s v="ZAR-10946"/>
    <d v="2025-08-02T00:00:00"/>
    <x v="1"/>
    <d v="1899-12-30T00:32:00"/>
    <x v="6"/>
    <x v="0"/>
    <x v="4"/>
    <x v="2"/>
    <x v="8"/>
    <x v="3"/>
    <n v="1"/>
    <n v="37500"/>
    <x v="3"/>
    <n v="30"/>
    <s v="Valid"/>
    <s v="Match"/>
    <n v="37500"/>
    <n v="11250"/>
    <n v="26250"/>
    <n v="26920.82"/>
    <n v="-670.82"/>
    <b v="1"/>
    <x v="1"/>
    <x v="3"/>
    <s v="Rohit"/>
    <x v="5"/>
    <n v="4.5"/>
    <s v="Aug"/>
    <x v="5"/>
  </r>
  <r>
    <s v="ZAR-10829"/>
    <d v="2025-10-20T00:00:00"/>
    <x v="4"/>
    <d v="1899-12-30T20:39:00"/>
    <x v="2"/>
    <x v="2"/>
    <x v="17"/>
    <x v="4"/>
    <x v="3"/>
    <x v="0"/>
    <n v="1"/>
    <n v="2700"/>
    <x v="1"/>
    <n v="5"/>
    <s v="Valid"/>
    <s v="Match"/>
    <n v="2700"/>
    <n v="135"/>
    <n v="2565"/>
    <n v="1698.19"/>
    <n v="866.81"/>
    <b v="0"/>
    <x v="0"/>
    <x v="1"/>
    <s v="Karan"/>
    <x v="3"/>
    <n v="4"/>
    <s v="Oct"/>
    <x v="2"/>
  </r>
  <r>
    <s v="ZAR-10809"/>
    <d v="2025-07-27T00:00:00"/>
    <x v="3"/>
    <d v="1899-12-30T10:39:00"/>
    <x v="5"/>
    <x v="0"/>
    <x v="1"/>
    <x v="2"/>
    <x v="3"/>
    <x v="1"/>
    <n v="1"/>
    <n v="1900"/>
    <x v="3"/>
    <n v="25"/>
    <s v="Valid"/>
    <s v="Match"/>
    <n v="1900"/>
    <n v="475"/>
    <n v="1425"/>
    <n v="1025.8"/>
    <n v="399.2"/>
    <b v="0"/>
    <x v="0"/>
    <x v="4"/>
    <s v="Priya"/>
    <x v="1"/>
    <n v="4"/>
    <s v="Jul"/>
    <x v="0"/>
  </r>
  <r>
    <s v="ZAR-10696"/>
    <d v="2025-03-28T00:00:00"/>
    <x v="1"/>
    <d v="1899-12-30T00:38:00"/>
    <x v="2"/>
    <x v="2"/>
    <x v="14"/>
    <x v="4"/>
    <x v="5"/>
    <x v="3"/>
    <n v="1"/>
    <n v="1250"/>
    <x v="3"/>
    <n v="30"/>
    <s v="Valid"/>
    <s v="Match"/>
    <n v="1250"/>
    <n v="375"/>
    <n v="875"/>
    <n v="789.89"/>
    <n v="85.11"/>
    <b v="0"/>
    <x v="0"/>
    <x v="4"/>
    <s v="Rohit"/>
    <x v="3"/>
    <n v="3"/>
    <s v="Mar"/>
    <x v="3"/>
  </r>
  <r>
    <s v="ZAR-10995"/>
    <d v="2025-01-06T00:00:00"/>
    <x v="0"/>
    <d v="1899-12-30T05:13:00"/>
    <x v="6"/>
    <x v="0"/>
    <x v="7"/>
    <x v="7"/>
    <x v="4"/>
    <x v="0"/>
    <n v="2"/>
    <n v="4000"/>
    <x v="0"/>
    <n v="20"/>
    <s v="Valid"/>
    <s v="Match"/>
    <n v="8000"/>
    <n v="1600"/>
    <n v="6400"/>
    <n v="5729.61"/>
    <n v="670.39"/>
    <b v="0"/>
    <x v="0"/>
    <x v="0"/>
    <s v="Ananya"/>
    <x v="5"/>
    <n v="3"/>
    <s v="Jan"/>
    <x v="2"/>
  </r>
  <r>
    <s v="ZAR-10311"/>
    <d v="2025-11-20T00:00:00"/>
    <x v="5"/>
    <d v="1899-12-30T12:03:00"/>
    <x v="3"/>
    <x v="2"/>
    <x v="17"/>
    <x v="1"/>
    <x v="5"/>
    <x v="0"/>
    <n v="3"/>
    <n v="2800"/>
    <x v="2"/>
    <n v="0"/>
    <s v="Valid"/>
    <s v="Match"/>
    <n v="8400"/>
    <n v="0"/>
    <n v="8400"/>
    <n v="5539.42"/>
    <n v="2860.58"/>
    <b v="0"/>
    <x v="0"/>
    <x v="1"/>
    <s v="Ananya"/>
    <x v="4"/>
    <n v="4"/>
    <s v="Nov"/>
    <x v="4"/>
  </r>
  <r>
    <s v="ZAR-10088"/>
    <d v="2025-04-26T00:00:00"/>
    <x v="0"/>
    <d v="1899-12-30T04:09:00"/>
    <x v="2"/>
    <x v="0"/>
    <x v="0"/>
    <x v="4"/>
    <x v="4"/>
    <x v="0"/>
    <n v="1"/>
    <n v="3100"/>
    <x v="3"/>
    <n v="30"/>
    <s v="Valid"/>
    <s v="Match"/>
    <n v="3100"/>
    <n v="930"/>
    <n v="2170"/>
    <n v="1943.64"/>
    <n v="226.36"/>
    <b v="0"/>
    <x v="0"/>
    <x v="4"/>
    <s v="Meera"/>
    <x v="5"/>
    <n v="4.5"/>
    <s v="Apr"/>
    <x v="5"/>
  </r>
  <r>
    <s v="ZAR-10741"/>
    <d v="2025-08-19T00:00:00"/>
    <x v="2"/>
    <d v="1899-12-30T16:23:00"/>
    <x v="6"/>
    <x v="0"/>
    <x v="0"/>
    <x v="3"/>
    <x v="4"/>
    <x v="0"/>
    <n v="1"/>
    <n v="7150"/>
    <x v="3"/>
    <n v="30"/>
    <s v="Valid"/>
    <s v="Match"/>
    <n v="7150"/>
    <n v="2145"/>
    <n v="5005"/>
    <n v="4980.2"/>
    <n v="24.8"/>
    <b v="0"/>
    <x v="0"/>
    <x v="3"/>
    <s v="Meera"/>
    <x v="1"/>
    <n v="3"/>
    <s v="Aug"/>
    <x v="6"/>
  </r>
  <r>
    <s v="ZAR-10518"/>
    <d v="2025-08-25T00:00:00"/>
    <x v="1"/>
    <d v="1899-12-30T02:05:00"/>
    <x v="4"/>
    <x v="0"/>
    <x v="2"/>
    <x v="6"/>
    <x v="3"/>
    <x v="1"/>
    <n v="1"/>
    <n v="44800"/>
    <x v="3"/>
    <n v="25"/>
    <s v="Valid"/>
    <s v="Match"/>
    <n v="44800"/>
    <n v="11200"/>
    <n v="33600"/>
    <n v="27871.599999999999"/>
    <n v="5728.4"/>
    <b v="0"/>
    <x v="0"/>
    <x v="1"/>
    <s v="Rohit"/>
    <x v="2"/>
    <n v="3.5"/>
    <s v="Aug"/>
    <x v="2"/>
  </r>
  <r>
    <s v="ZAR-10312"/>
    <d v="2025-04-24T00:00:00"/>
    <x v="5"/>
    <d v="1899-12-30T13:18:00"/>
    <x v="6"/>
    <x v="1"/>
    <x v="9"/>
    <x v="4"/>
    <x v="3"/>
    <x v="0"/>
    <n v="2"/>
    <n v="17600"/>
    <x v="0"/>
    <n v="20"/>
    <s v="Valid"/>
    <s v="Match"/>
    <n v="35200"/>
    <n v="7040"/>
    <n v="28160"/>
    <n v="22212.62"/>
    <n v="5947.38"/>
    <b v="0"/>
    <x v="0"/>
    <x v="3"/>
    <s v="Sanjay"/>
    <x v="3"/>
    <n v="4"/>
    <s v="Apr"/>
    <x v="4"/>
  </r>
  <r>
    <s v="ZAR-10538"/>
    <d v="2025-01-04T00:00:00"/>
    <x v="4"/>
    <d v="1899-12-30T21:37:00"/>
    <x v="6"/>
    <x v="0"/>
    <x v="10"/>
    <x v="3"/>
    <x v="4"/>
    <x v="3"/>
    <n v="2"/>
    <n v="3850"/>
    <x v="2"/>
    <n v="0"/>
    <s v="Valid"/>
    <s v="Match"/>
    <n v="7700"/>
    <n v="0"/>
    <n v="7700"/>
    <n v="4107.43"/>
    <n v="3592.57"/>
    <b v="0"/>
    <x v="0"/>
    <x v="3"/>
    <s v="Neha"/>
    <x v="3"/>
    <n v="3"/>
    <s v="Jan"/>
    <x v="5"/>
  </r>
  <r>
    <s v="ZAR-10138"/>
    <d v="2025-05-05T00:00:00"/>
    <x v="4"/>
    <d v="1899-12-30T22:38:00"/>
    <x v="1"/>
    <x v="0"/>
    <x v="1"/>
    <x v="3"/>
    <x v="4"/>
    <x v="5"/>
    <n v="1"/>
    <n v="4350"/>
    <x v="3"/>
    <n v="30"/>
    <s v="Valid"/>
    <s v="Match"/>
    <n v="4350"/>
    <n v="1305"/>
    <n v="3045"/>
    <n v="2720.33"/>
    <n v="324.67"/>
    <b v="0"/>
    <x v="0"/>
    <x v="0"/>
    <s v="Neha"/>
    <x v="0"/>
    <n v="4"/>
    <s v="May"/>
    <x v="2"/>
  </r>
  <r>
    <s v="ZAR-10875"/>
    <d v="2025-04-14T00:00:00"/>
    <x v="2"/>
    <d v="1899-12-30T19:16:00"/>
    <x v="3"/>
    <x v="0"/>
    <x v="0"/>
    <x v="6"/>
    <x v="5"/>
    <x v="0"/>
    <n v="1"/>
    <n v="3700"/>
    <x v="0"/>
    <n v="15"/>
    <s v="Valid"/>
    <s v="Match"/>
    <n v="3700"/>
    <n v="555"/>
    <n v="3145"/>
    <n v="2054.13"/>
    <n v="1090.8699999999999"/>
    <b v="0"/>
    <x v="0"/>
    <x v="0"/>
    <s v="Ananya"/>
    <x v="1"/>
    <n v="3"/>
    <s v="Apr"/>
    <x v="2"/>
  </r>
  <r>
    <s v="ZAR-10467"/>
    <d v="2025-03-06T00:00:00"/>
    <x v="2"/>
    <d v="1899-12-30T16:34:00"/>
    <x v="3"/>
    <x v="0"/>
    <x v="1"/>
    <x v="7"/>
    <x v="0"/>
    <x v="0"/>
    <n v="1"/>
    <n v="4050"/>
    <x v="0"/>
    <n v="20"/>
    <s v="Valid"/>
    <s v="Match"/>
    <n v="4050"/>
    <n v="810"/>
    <n v="3240"/>
    <n v="2404.0300000000002"/>
    <n v="835.97"/>
    <b v="0"/>
    <x v="0"/>
    <x v="1"/>
    <s v="Ananya"/>
    <x v="2"/>
    <n v="4.5"/>
    <s v="Mar"/>
    <x v="4"/>
  </r>
  <r>
    <s v="ZAR-10904"/>
    <d v="2025-05-19T00:00:00"/>
    <x v="3"/>
    <d v="1899-12-30T09:38:00"/>
    <x v="4"/>
    <x v="2"/>
    <x v="15"/>
    <x v="1"/>
    <x v="8"/>
    <x v="0"/>
    <n v="2"/>
    <n v="3950"/>
    <x v="1"/>
    <n v="10"/>
    <s v="Valid"/>
    <s v="Match"/>
    <n v="7900"/>
    <n v="790"/>
    <n v="7110"/>
    <n v="5201.41"/>
    <n v="1908.59"/>
    <b v="0"/>
    <x v="0"/>
    <x v="4"/>
    <s v="Priya"/>
    <x v="6"/>
    <n v="3.5"/>
    <s v="May"/>
    <x v="2"/>
  </r>
  <r>
    <s v="ZAR-10263"/>
    <d v="2025-03-02T00:00:00"/>
    <x v="4"/>
    <d v="1899-12-30T21:14:00"/>
    <x v="5"/>
    <x v="1"/>
    <x v="5"/>
    <x v="2"/>
    <x v="7"/>
    <x v="4"/>
    <n v="1"/>
    <n v="2500"/>
    <x v="0"/>
    <n v="20"/>
    <s v="Valid"/>
    <s v="Match"/>
    <n v="2500"/>
    <n v="500"/>
    <n v="2000"/>
    <n v="1694.52"/>
    <n v="305.48"/>
    <b v="0"/>
    <x v="0"/>
    <x v="0"/>
    <s v="Rohit"/>
    <x v="5"/>
    <n v="5"/>
    <s v="Mar"/>
    <x v="0"/>
  </r>
  <r>
    <s v="ZAR-10488"/>
    <d v="2025-03-31T00:00:00"/>
    <x v="1"/>
    <d v="1899-12-30T02:37:00"/>
    <x v="0"/>
    <x v="0"/>
    <x v="1"/>
    <x v="6"/>
    <x v="4"/>
    <x v="2"/>
    <n v="2"/>
    <n v="3200"/>
    <x v="3"/>
    <n v="25"/>
    <s v="Valid"/>
    <s v="Match"/>
    <n v="6400"/>
    <n v="1600"/>
    <n v="4800"/>
    <n v="4176.99"/>
    <n v="623.01"/>
    <b v="0"/>
    <x v="0"/>
    <x v="1"/>
    <s v="Meera"/>
    <x v="4"/>
    <n v="3.5"/>
    <s v="Mar"/>
    <x v="2"/>
  </r>
  <r>
    <s v="ZAR-10170"/>
    <d v="2025-09-06T00:00:00"/>
    <x v="3"/>
    <d v="1899-12-30T10:57:00"/>
    <x v="1"/>
    <x v="0"/>
    <x v="12"/>
    <x v="4"/>
    <x v="2"/>
    <x v="2"/>
    <n v="1"/>
    <n v="12850"/>
    <x v="0"/>
    <n v="20"/>
    <s v="Valid"/>
    <s v="Match"/>
    <n v="12850"/>
    <n v="2570"/>
    <n v="10280"/>
    <n v="7051.19"/>
    <n v="3228.81"/>
    <b v="0"/>
    <x v="0"/>
    <x v="2"/>
    <s v="Meera"/>
    <x v="6"/>
    <n v="4"/>
    <s v="Sep"/>
    <x v="5"/>
  </r>
  <r>
    <s v="ZAR-10832"/>
    <d v="2025-02-10T00:00:00"/>
    <x v="1"/>
    <m/>
    <x v="1"/>
    <x v="0"/>
    <x v="4"/>
    <x v="6"/>
    <x v="3"/>
    <x v="0"/>
    <n v="3"/>
    <n v="11400"/>
    <x v="0"/>
    <n v="15"/>
    <s v="Valid"/>
    <s v="Match"/>
    <n v="34200"/>
    <n v="5130"/>
    <n v="29070"/>
    <n v="18284.349999999999"/>
    <n v="10785.65"/>
    <b v="0"/>
    <x v="0"/>
    <x v="4"/>
    <s v="Meera"/>
    <x v="5"/>
    <n v="4"/>
    <s v="Oct"/>
    <x v="4"/>
  </r>
  <r>
    <s v="ZAR-10449"/>
    <d v="2025-06-24T00:00:00"/>
    <x v="5"/>
    <d v="1899-12-30T14:43:00"/>
    <x v="0"/>
    <x v="1"/>
    <x v="13"/>
    <x v="5"/>
    <x v="7"/>
    <x v="1"/>
    <n v="2"/>
    <n v="2750"/>
    <x v="2"/>
    <n v="0"/>
    <s v="Valid"/>
    <s v="Match"/>
    <n v="5500"/>
    <n v="0"/>
    <n v="5500"/>
    <n v="2908.93"/>
    <n v="2591.0700000000002"/>
    <b v="0"/>
    <x v="0"/>
    <x v="4"/>
    <s v="Sanjay"/>
    <x v="1"/>
    <n v="4.5"/>
    <s v="Jun"/>
    <x v="6"/>
  </r>
  <r>
    <s v="ZAR-10141"/>
    <d v="2025-10-05T00:00:00"/>
    <x v="4"/>
    <d v="1899-12-30T20:03:00"/>
    <x v="4"/>
    <x v="1"/>
    <x v="16"/>
    <x v="3"/>
    <x v="3"/>
    <x v="0"/>
    <n v="2"/>
    <n v="2750"/>
    <x v="0"/>
    <n v="15"/>
    <s v="Valid"/>
    <s v="Match"/>
    <n v="5500"/>
    <n v="825"/>
    <n v="4675"/>
    <n v="3082.7"/>
    <n v="1592.3"/>
    <b v="0"/>
    <x v="0"/>
    <x v="1"/>
    <s v="Meera"/>
    <x v="4"/>
    <n v="3"/>
    <s v="Oct"/>
    <x v="0"/>
  </r>
  <r>
    <s v="ZAR-10742"/>
    <d v="2025-04-12T00:00:00"/>
    <x v="2"/>
    <d v="1899-12-30T16:52:00"/>
    <x v="4"/>
    <x v="2"/>
    <x v="11"/>
    <x v="2"/>
    <x v="3"/>
    <x v="2"/>
    <n v="1"/>
    <n v="3950"/>
    <x v="3"/>
    <n v="25"/>
    <s v="Valid"/>
    <s v="Match"/>
    <n v="3950"/>
    <n v="987.5"/>
    <n v="2962.5"/>
    <n v="2566.84"/>
    <n v="395.66"/>
    <b v="0"/>
    <x v="0"/>
    <x v="0"/>
    <s v="Priya"/>
    <x v="0"/>
    <n v="2.5"/>
    <s v="Apr"/>
    <x v="5"/>
  </r>
  <r>
    <s v="ZAR-10666"/>
    <d v="2025-05-27T00:00:00"/>
    <x v="0"/>
    <d v="1899-12-30T07:12:00"/>
    <x v="1"/>
    <x v="2"/>
    <x v="15"/>
    <x v="4"/>
    <x v="2"/>
    <x v="0"/>
    <n v="1"/>
    <n v="4150"/>
    <x v="0"/>
    <n v="15"/>
    <s v="Valid"/>
    <s v="Match"/>
    <n v="4150"/>
    <n v="622.5"/>
    <n v="3527.5"/>
    <n v="2557.4499999999998"/>
    <n v="970.05"/>
    <b v="0"/>
    <x v="0"/>
    <x v="2"/>
    <s v="Rohit"/>
    <x v="2"/>
    <n v="3"/>
    <s v="May"/>
    <x v="6"/>
  </r>
  <r>
    <s v="ZAR-10857"/>
    <d v="2025-03-24T00:00:00"/>
    <x v="1"/>
    <d v="1899-12-30T02:03:00"/>
    <x v="2"/>
    <x v="1"/>
    <x v="18"/>
    <x v="3"/>
    <x v="3"/>
    <x v="0"/>
    <n v="1"/>
    <n v="1550"/>
    <x v="3"/>
    <n v="25"/>
    <s v="Valid"/>
    <s v="Match"/>
    <n v="1550"/>
    <n v="387.5"/>
    <n v="1162.5"/>
    <n v="891.82"/>
    <n v="270.68"/>
    <b v="0"/>
    <x v="0"/>
    <x v="2"/>
    <s v="Karan"/>
    <x v="4"/>
    <n v="4.5"/>
    <s v="Mar"/>
    <x v="2"/>
  </r>
  <r>
    <s v="ZAR-10442"/>
    <d v="2025-09-09T00:00:00"/>
    <x v="0"/>
    <d v="1899-12-30T04:35:00"/>
    <x v="6"/>
    <x v="0"/>
    <x v="0"/>
    <x v="1"/>
    <x v="5"/>
    <x v="3"/>
    <n v="1"/>
    <n v="5500"/>
    <x v="1"/>
    <n v="5"/>
    <s v="Valid"/>
    <s v="Match"/>
    <n v="5500"/>
    <n v="275"/>
    <n v="5225"/>
    <n v="3241.81"/>
    <n v="1983.19"/>
    <b v="0"/>
    <x v="0"/>
    <x v="1"/>
    <s v="Ananya"/>
    <x v="6"/>
    <n v="3"/>
    <s v="Sep"/>
    <x v="6"/>
  </r>
  <r>
    <s v="ZAR-10871"/>
    <d v="2025-09-25T00:00:00"/>
    <x v="0"/>
    <d v="1899-12-30T05:45:00"/>
    <x v="0"/>
    <x v="1"/>
    <x v="5"/>
    <x v="5"/>
    <x v="1"/>
    <x v="0"/>
    <n v="3"/>
    <n v="4750"/>
    <x v="1"/>
    <n v="5"/>
    <s v="Valid"/>
    <s v="Match"/>
    <n v="14250"/>
    <n v="712.5"/>
    <n v="13537.5"/>
    <n v="7885.17"/>
    <n v="5652.33"/>
    <b v="0"/>
    <x v="0"/>
    <x v="0"/>
    <s v="Priya"/>
    <x v="2"/>
    <n v="4"/>
    <s v="Sep"/>
    <x v="4"/>
  </r>
  <r>
    <s v="ZAR-10533"/>
    <d v="2025-03-17T00:00:00"/>
    <x v="3"/>
    <d v="1899-12-30T08:38:00"/>
    <x v="5"/>
    <x v="0"/>
    <x v="2"/>
    <x v="0"/>
    <x v="2"/>
    <x v="3"/>
    <n v="1"/>
    <n v="116600"/>
    <x v="3"/>
    <n v="25"/>
    <s v="Valid"/>
    <s v="Match"/>
    <n v="116600"/>
    <n v="29150"/>
    <n v="87450"/>
    <n v="77707.91"/>
    <n v="9742.09"/>
    <b v="0"/>
    <x v="0"/>
    <x v="2"/>
    <s v="Ananya"/>
    <x v="2"/>
    <n v="4.5"/>
    <s v="Mar"/>
    <x v="2"/>
  </r>
  <r>
    <s v="ZAR-10057"/>
    <d v="2025-05-16T00:00:00"/>
    <x v="3"/>
    <d v="1899-12-30T10:39:00"/>
    <x v="1"/>
    <x v="0"/>
    <x v="6"/>
    <x v="3"/>
    <x v="0"/>
    <x v="0"/>
    <n v="2"/>
    <n v="15400"/>
    <x v="1"/>
    <n v="5"/>
    <s v="Valid"/>
    <s v="Match"/>
    <n v="30800"/>
    <n v="1540"/>
    <n v="29260"/>
    <n v="16523.04"/>
    <n v="12736.96"/>
    <b v="0"/>
    <x v="0"/>
    <x v="4"/>
    <s v="Karan"/>
    <x v="4"/>
    <n v="5"/>
    <s v="May"/>
    <x v="3"/>
  </r>
  <r>
    <s v="ZAR-10122"/>
    <d v="2025-09-01T00:00:00"/>
    <x v="5"/>
    <d v="1899-12-30T15:41:00"/>
    <x v="0"/>
    <x v="0"/>
    <x v="6"/>
    <x v="4"/>
    <x v="0"/>
    <x v="2"/>
    <n v="2"/>
    <n v="1950"/>
    <x v="1"/>
    <n v="5"/>
    <s v="Valid"/>
    <s v="Match"/>
    <n v="3900"/>
    <n v="195"/>
    <n v="3705"/>
    <n v="2377.13"/>
    <n v="1327.87"/>
    <b v="0"/>
    <x v="0"/>
    <x v="2"/>
    <s v="Karan"/>
    <x v="5"/>
    <n v="5"/>
    <s v="Sep"/>
    <x v="2"/>
  </r>
  <r>
    <s v="ZAR-10530"/>
    <d v="2025-10-11T00:00:00"/>
    <x v="0"/>
    <d v="1899-12-30T05:16:00"/>
    <x v="5"/>
    <x v="0"/>
    <x v="4"/>
    <x v="2"/>
    <x v="3"/>
    <x v="0"/>
    <n v="3"/>
    <n v="35850"/>
    <x v="0"/>
    <n v="20"/>
    <s v="Valid"/>
    <s v="Match"/>
    <n v="107550"/>
    <n v="21510"/>
    <n v="86040"/>
    <n v="68636.63"/>
    <n v="17403.37"/>
    <b v="0"/>
    <x v="0"/>
    <x v="2"/>
    <s v="Priya"/>
    <x v="6"/>
    <n v="4.5"/>
    <s v="Oct"/>
    <x v="5"/>
  </r>
  <r>
    <s v="ZAR-10027"/>
    <d v="2025-03-31T00:00:00"/>
    <x v="2"/>
    <d v="1899-12-30T19:36:00"/>
    <x v="3"/>
    <x v="1"/>
    <x v="13"/>
    <x v="1"/>
    <x v="1"/>
    <x v="0"/>
    <n v="0"/>
    <n v="2450"/>
    <x v="0"/>
    <n v="15"/>
    <s v="Valid"/>
    <s v="Match"/>
    <n v="2450"/>
    <n v="367.5"/>
    <n v="2082.5"/>
    <n v="1639.07"/>
    <n v="443.43"/>
    <b v="0"/>
    <x v="0"/>
    <x v="0"/>
    <s v="Meera"/>
    <x v="5"/>
    <n v="4"/>
    <s v="Mar"/>
    <x v="2"/>
  </r>
  <r>
    <s v="ZAR-10074"/>
    <d v="2025-10-28T00:00:00"/>
    <x v="2"/>
    <d v="1899-12-30T17:35:00"/>
    <x v="3"/>
    <x v="0"/>
    <x v="4"/>
    <x v="4"/>
    <x v="3"/>
    <x v="1"/>
    <n v="1"/>
    <n v="35300"/>
    <x v="1"/>
    <n v="5"/>
    <s v="Valid"/>
    <s v="Match"/>
    <n v="35300"/>
    <n v="1765"/>
    <n v="33535"/>
    <n v="22676.78"/>
    <n v="10858.22"/>
    <b v="0"/>
    <x v="0"/>
    <x v="4"/>
    <s v="Neha"/>
    <x v="3"/>
    <n v="5"/>
    <s v="Oct"/>
    <x v="6"/>
  </r>
  <r>
    <s v="ZAR-10046"/>
    <d v="2025-03-30T00:00:00"/>
    <x v="2"/>
    <d v="1899-12-30T17:04:00"/>
    <x v="0"/>
    <x v="2"/>
    <x v="17"/>
    <x v="4"/>
    <x v="7"/>
    <x v="0"/>
    <n v="1"/>
    <n v="2450"/>
    <x v="2"/>
    <n v="0"/>
    <s v="Valid"/>
    <s v="Match"/>
    <n v="2450"/>
    <n v="0"/>
    <n v="2450"/>
    <n v="1358.65"/>
    <n v="1091.3499999999999"/>
    <b v="0"/>
    <x v="0"/>
    <x v="1"/>
    <s v="Priya"/>
    <x v="4"/>
    <n v="4"/>
    <s v="Mar"/>
    <x v="0"/>
  </r>
  <r>
    <s v="ZAR-10251"/>
    <d v="2025-01-09T00:00:00"/>
    <x v="5"/>
    <d v="1899-12-30T12:43:00"/>
    <x v="2"/>
    <x v="1"/>
    <x v="16"/>
    <x v="4"/>
    <x v="3"/>
    <x v="0"/>
    <n v="1"/>
    <n v="4100"/>
    <x v="0"/>
    <n v="15"/>
    <s v="Valid"/>
    <s v="Match"/>
    <n v="4100"/>
    <n v="615"/>
    <n v="3485"/>
    <n v="2522.59"/>
    <n v="962.41"/>
    <b v="0"/>
    <x v="0"/>
    <x v="2"/>
    <s v="Priya"/>
    <x v="5"/>
    <n v="5"/>
    <s v="Jan"/>
    <x v="4"/>
  </r>
  <r>
    <s v="ZAR-10396"/>
    <d v="2025-02-17T00:00:00"/>
    <x v="3"/>
    <d v="1899-12-30T10:03:00"/>
    <x v="4"/>
    <x v="0"/>
    <x v="0"/>
    <x v="1"/>
    <x v="3"/>
    <x v="1"/>
    <n v="2"/>
    <n v="2000"/>
    <x v="1"/>
    <n v="5"/>
    <s v="Valid"/>
    <s v="Match"/>
    <n v="4000"/>
    <n v="200"/>
    <n v="3800"/>
    <n v="2472.46"/>
    <n v="1327.54"/>
    <b v="0"/>
    <x v="0"/>
    <x v="2"/>
    <s v="Ananya"/>
    <x v="5"/>
    <n v="4"/>
    <s v="Feb"/>
    <x v="2"/>
  </r>
  <r>
    <s v="ZAR-10916"/>
    <d v="2025-05-18T00:00:00"/>
    <x v="3"/>
    <d v="1899-12-30T11:58:00"/>
    <x v="3"/>
    <x v="0"/>
    <x v="10"/>
    <x v="1"/>
    <x v="4"/>
    <x v="0"/>
    <n v="1"/>
    <n v="6450"/>
    <x v="1"/>
    <n v="10"/>
    <s v="Valid"/>
    <s v="Match"/>
    <n v="6450"/>
    <n v="645"/>
    <n v="5805"/>
    <n v="3848.14"/>
    <n v="1956.86"/>
    <b v="0"/>
    <x v="0"/>
    <x v="2"/>
    <s v="Sanjay"/>
    <x v="3"/>
    <n v="5"/>
    <s v="May"/>
    <x v="0"/>
  </r>
  <r>
    <s v="ZAR-10902"/>
    <d v="2025-10-15T00:00:00"/>
    <x v="1"/>
    <d v="1899-12-30T02:45:00"/>
    <x v="6"/>
    <x v="0"/>
    <x v="10"/>
    <x v="3"/>
    <x v="0"/>
    <x v="0"/>
    <n v="1"/>
    <n v="5600"/>
    <x v="2"/>
    <n v="0"/>
    <s v="Valid"/>
    <s v="Match"/>
    <n v="5600"/>
    <n v="0"/>
    <n v="5600"/>
    <n v="3426.13"/>
    <n v="2173.87"/>
    <b v="0"/>
    <x v="0"/>
    <x v="4"/>
    <s v="Sanjay"/>
    <x v="4"/>
    <n v="4"/>
    <s v="Oct"/>
    <x v="1"/>
  </r>
  <r>
    <s v="ZAR-10748"/>
    <d v="2025-04-24T00:00:00"/>
    <x v="0"/>
    <d v="1899-12-30T07:01:00"/>
    <x v="1"/>
    <x v="1"/>
    <x v="16"/>
    <x v="2"/>
    <x v="1"/>
    <x v="0"/>
    <n v="2"/>
    <n v="3300"/>
    <x v="3"/>
    <n v="25"/>
    <s v="Valid"/>
    <s v="Match"/>
    <n v="6600"/>
    <n v="1650"/>
    <n v="4950"/>
    <n v="3893.97"/>
    <n v="1056.03"/>
    <b v="0"/>
    <x v="0"/>
    <x v="3"/>
    <s v="Sanjay"/>
    <x v="4"/>
    <n v="5"/>
    <s v="Apr"/>
    <x v="4"/>
  </r>
  <r>
    <s v="ZAR-10200"/>
    <d v="2025-09-10T00:00:00"/>
    <x v="5"/>
    <d v="1899-12-30T12:22:00"/>
    <x v="4"/>
    <x v="1"/>
    <x v="3"/>
    <x v="2"/>
    <x v="2"/>
    <x v="0"/>
    <n v="2"/>
    <n v="21650"/>
    <x v="1"/>
    <n v="5"/>
    <s v="Valid"/>
    <s v="Match"/>
    <n v="43300"/>
    <n v="2165"/>
    <n v="41135"/>
    <n v="30942.240000000002"/>
    <n v="10192.76"/>
    <b v="0"/>
    <x v="0"/>
    <x v="2"/>
    <s v="Meera"/>
    <x v="2"/>
    <n v="3.5"/>
    <s v="Sep"/>
    <x v="1"/>
  </r>
  <r>
    <s v="ZAR-10818"/>
    <d v="2025-10-28T00:00:00"/>
    <x v="3"/>
    <d v="1899-12-30T10:55:00"/>
    <x v="2"/>
    <x v="1"/>
    <x v="13"/>
    <x v="5"/>
    <x v="1"/>
    <x v="3"/>
    <n v="1"/>
    <n v="6700"/>
    <x v="0"/>
    <n v="20"/>
    <s v="Valid"/>
    <s v="Match"/>
    <n v="6700"/>
    <n v="1340"/>
    <n v="5360"/>
    <n v="4928.78"/>
    <n v="431.22"/>
    <b v="0"/>
    <x v="0"/>
    <x v="2"/>
    <s v="Neha"/>
    <x v="2"/>
    <n v="4.5"/>
    <s v="Oct"/>
    <x v="6"/>
  </r>
  <r>
    <s v="ZAR-10357"/>
    <d v="2025-10-21T00:00:00"/>
    <x v="3"/>
    <d v="1899-12-30T10:26:00"/>
    <x v="3"/>
    <x v="0"/>
    <x v="2"/>
    <x v="4"/>
    <x v="8"/>
    <x v="3"/>
    <n v="1"/>
    <n v="114700"/>
    <x v="0"/>
    <n v="20"/>
    <s v="Valid"/>
    <s v="Match"/>
    <n v="114700"/>
    <n v="22940"/>
    <n v="91760"/>
    <n v="82507.39"/>
    <n v="9252.61"/>
    <b v="0"/>
    <x v="0"/>
    <x v="3"/>
    <s v="Unknown"/>
    <x v="3"/>
    <n v="3.5"/>
    <s v="Oct"/>
    <x v="6"/>
  </r>
  <r>
    <s v="ZAR-10325"/>
    <d v="2025-01-22T00:00:00"/>
    <x v="2"/>
    <d v="1899-12-30T19:47:00"/>
    <x v="6"/>
    <x v="0"/>
    <x v="12"/>
    <x v="4"/>
    <x v="4"/>
    <x v="0"/>
    <n v="3"/>
    <n v="13350"/>
    <x v="0"/>
    <n v="15"/>
    <s v="Valid"/>
    <s v="Match"/>
    <n v="40050"/>
    <n v="6007.5"/>
    <n v="34042.5"/>
    <n v="24393.279999999999"/>
    <n v="9649.2199999999993"/>
    <b v="0"/>
    <x v="0"/>
    <x v="3"/>
    <s v="Ananya"/>
    <x v="1"/>
    <n v="5"/>
    <s v="Jan"/>
    <x v="1"/>
  </r>
  <r>
    <s v="ZAR-10878"/>
    <d v="2025-05-08T00:00:00"/>
    <x v="1"/>
    <d v="1899-12-30T02:39:00"/>
    <x v="2"/>
    <x v="1"/>
    <x v="9"/>
    <x v="4"/>
    <x v="3"/>
    <x v="4"/>
    <n v="2"/>
    <n v="10700"/>
    <x v="3"/>
    <n v="30"/>
    <s v="Valid"/>
    <s v="Match"/>
    <n v="21400"/>
    <n v="6420"/>
    <n v="14980"/>
    <n v="15773.77"/>
    <n v="-793.77"/>
    <b v="1"/>
    <x v="2"/>
    <x v="4"/>
    <s v="Sanjay"/>
    <x v="1"/>
    <n v="3"/>
    <s v="May"/>
    <x v="4"/>
  </r>
  <r>
    <s v="ZAR-10745"/>
    <d v="2025-02-21T00:00:00"/>
    <x v="5"/>
    <d v="1899-12-30T12:32:00"/>
    <x v="1"/>
    <x v="0"/>
    <x v="12"/>
    <x v="4"/>
    <x v="2"/>
    <x v="0"/>
    <n v="1"/>
    <n v="7150"/>
    <x v="3"/>
    <n v="25"/>
    <s v="Valid"/>
    <s v="Match"/>
    <n v="7150"/>
    <n v="1787.5"/>
    <n v="5362.5"/>
    <n v="4721.28"/>
    <n v="641.22"/>
    <b v="0"/>
    <x v="0"/>
    <x v="1"/>
    <s v="Karan"/>
    <x v="3"/>
    <n v="4"/>
    <s v="Feb"/>
    <x v="3"/>
  </r>
  <r>
    <s v="ZAR-10237"/>
    <d v="2025-07-21T00:00:00"/>
    <x v="0"/>
    <d v="1899-12-30T06:29:00"/>
    <x v="6"/>
    <x v="0"/>
    <x v="7"/>
    <x v="4"/>
    <x v="6"/>
    <x v="2"/>
    <n v="2"/>
    <n v="1000"/>
    <x v="1"/>
    <n v="5"/>
    <s v="Valid"/>
    <s v="Match"/>
    <n v="2000"/>
    <n v="100"/>
    <n v="1900"/>
    <n v="1093.1300000000001"/>
    <n v="806.87"/>
    <b v="0"/>
    <x v="0"/>
    <x v="3"/>
    <s v="Ananya"/>
    <x v="1"/>
    <n v="4"/>
    <s v="Jul"/>
    <x v="2"/>
  </r>
  <r>
    <s v="ZAR-10580"/>
    <d v="2025-10-14T00:00:00"/>
    <x v="3"/>
    <d v="1899-12-30T11:57:00"/>
    <x v="3"/>
    <x v="0"/>
    <x v="6"/>
    <x v="2"/>
    <x v="5"/>
    <x v="0"/>
    <n v="2"/>
    <n v="8150"/>
    <x v="1"/>
    <n v="10"/>
    <s v="Valid"/>
    <s v="Match"/>
    <n v="16300"/>
    <n v="1630"/>
    <n v="14670"/>
    <n v="11673.23"/>
    <n v="2996.77"/>
    <b v="0"/>
    <x v="0"/>
    <x v="0"/>
    <s v="Neha"/>
    <x v="5"/>
    <n v="3"/>
    <s v="Oct"/>
    <x v="6"/>
  </r>
  <r>
    <s v="ZAR-10949"/>
    <d v="2025-05-19T00:00:00"/>
    <x v="0"/>
    <d v="1899-12-30T05:07:00"/>
    <x v="6"/>
    <x v="2"/>
    <x v="11"/>
    <x v="5"/>
    <x v="7"/>
    <x v="0"/>
    <n v="1"/>
    <n v="11550"/>
    <x v="3"/>
    <n v="30"/>
    <s v="Valid"/>
    <s v="Match"/>
    <n v="11550"/>
    <n v="3465"/>
    <n v="8085"/>
    <n v="8024.64"/>
    <n v="60.36"/>
    <b v="0"/>
    <x v="0"/>
    <x v="4"/>
    <s v="Meera"/>
    <x v="2"/>
    <n v="3.5"/>
    <s v="May"/>
    <x v="2"/>
  </r>
  <r>
    <s v="ZAR-10943"/>
    <d v="2025-09-16T00:00:00"/>
    <x v="3"/>
    <d v="1899-12-30T08:33:00"/>
    <x v="5"/>
    <x v="0"/>
    <x v="1"/>
    <x v="2"/>
    <x v="4"/>
    <x v="4"/>
    <n v="1"/>
    <n v="1500"/>
    <x v="3"/>
    <n v="25"/>
    <s v="Valid"/>
    <s v="Match"/>
    <n v="1500"/>
    <n v="375"/>
    <n v="1125"/>
    <n v="1063.07"/>
    <n v="61.93"/>
    <b v="0"/>
    <x v="0"/>
    <x v="3"/>
    <s v="Neha"/>
    <x v="3"/>
    <n v="2.5"/>
    <s v="Sep"/>
    <x v="6"/>
  </r>
  <r>
    <s v="ZAR-10907"/>
    <d v="2025-11-07T00:00:00"/>
    <x v="1"/>
    <d v="1899-12-30T02:16:00"/>
    <x v="2"/>
    <x v="0"/>
    <x v="0"/>
    <x v="5"/>
    <x v="5"/>
    <x v="3"/>
    <n v="1"/>
    <n v="8500"/>
    <x v="1"/>
    <n v="10"/>
    <s v="Valid"/>
    <s v="Match"/>
    <n v="8500"/>
    <n v="850"/>
    <n v="7650"/>
    <n v="4693.66"/>
    <n v="2956.34"/>
    <b v="0"/>
    <x v="0"/>
    <x v="1"/>
    <s v="Meera"/>
    <x v="3"/>
    <n v="3"/>
    <s v="Nov"/>
    <x v="3"/>
  </r>
  <r>
    <s v="ZAR-10301"/>
    <d v="2025-05-03T00:00:00"/>
    <x v="3"/>
    <d v="1899-12-30T10:46:00"/>
    <x v="2"/>
    <x v="0"/>
    <x v="6"/>
    <x v="2"/>
    <x v="5"/>
    <x v="1"/>
    <n v="2"/>
    <n v="31100"/>
    <x v="1"/>
    <n v="10"/>
    <s v="Valid"/>
    <s v="Match"/>
    <n v="62200"/>
    <n v="6220"/>
    <n v="55980"/>
    <n v="42963.01"/>
    <n v="13016.99"/>
    <b v="0"/>
    <x v="0"/>
    <x v="3"/>
    <s v="Rohit"/>
    <x v="5"/>
    <n v="3.5"/>
    <s v="May"/>
    <x v="5"/>
  </r>
  <r>
    <s v="ZAR-10062"/>
    <d v="2025-05-27T00:00:00"/>
    <x v="0"/>
    <d v="1899-12-30T07:38:00"/>
    <x v="6"/>
    <x v="1"/>
    <x v="3"/>
    <x v="0"/>
    <x v="8"/>
    <x v="0"/>
    <n v="2"/>
    <n v="41600"/>
    <x v="3"/>
    <n v="30"/>
    <s v="Valid"/>
    <s v="Match"/>
    <n v="83200"/>
    <n v="24960"/>
    <n v="58240"/>
    <n v="59813.66"/>
    <n v="-1573.66"/>
    <b v="1"/>
    <x v="3"/>
    <x v="2"/>
    <s v="Karan"/>
    <x v="4"/>
    <n v="5"/>
    <s v="May"/>
    <x v="6"/>
  </r>
  <r>
    <s v="ZAR-10329"/>
    <d v="2025-06-21T00:00:00"/>
    <x v="2"/>
    <d v="1899-12-30T18:55:00"/>
    <x v="1"/>
    <x v="0"/>
    <x v="6"/>
    <x v="4"/>
    <x v="3"/>
    <x v="4"/>
    <n v="1"/>
    <n v="14350"/>
    <x v="3"/>
    <n v="30"/>
    <s v="Valid"/>
    <s v="Match"/>
    <n v="14350"/>
    <n v="4305"/>
    <n v="10045"/>
    <n v="8001.48"/>
    <n v="2043.52"/>
    <b v="0"/>
    <x v="0"/>
    <x v="0"/>
    <s v="Priya"/>
    <x v="3"/>
    <n v="3.5"/>
    <s v="Jun"/>
    <x v="5"/>
  </r>
  <r>
    <s v="ZAR-10529"/>
    <d v="2025-02-10T00:00:00"/>
    <x v="3"/>
    <d v="1899-12-30T11:25:00"/>
    <x v="5"/>
    <x v="0"/>
    <x v="10"/>
    <x v="0"/>
    <x v="5"/>
    <x v="0"/>
    <n v="1"/>
    <n v="6800"/>
    <x v="3"/>
    <n v="30"/>
    <s v="Valid"/>
    <s v="Match"/>
    <n v="6800"/>
    <n v="2040"/>
    <n v="4760"/>
    <n v="4704.8100000000004"/>
    <n v="55.19"/>
    <b v="0"/>
    <x v="0"/>
    <x v="0"/>
    <s v="Ananya"/>
    <x v="0"/>
    <n v="4.5"/>
    <s v="Feb"/>
    <x v="2"/>
  </r>
  <r>
    <s v="ZAR-10601"/>
    <d v="2025-01-15T00:00:00"/>
    <x v="0"/>
    <d v="1899-12-30T07:18:00"/>
    <x v="0"/>
    <x v="0"/>
    <x v="4"/>
    <x v="4"/>
    <x v="1"/>
    <x v="0"/>
    <n v="1"/>
    <n v="10950"/>
    <x v="3"/>
    <n v="30"/>
    <s v="Valid"/>
    <s v="Match"/>
    <n v="10950"/>
    <n v="3285"/>
    <n v="7665"/>
    <n v="7733.48"/>
    <n v="-68.48"/>
    <b v="0"/>
    <x v="0"/>
    <x v="1"/>
    <s v="Priya"/>
    <x v="2"/>
    <n v="3"/>
    <s v="Jan"/>
    <x v="1"/>
  </r>
  <r>
    <s v="ZAR-10543"/>
    <d v="2025-04-19T00:00:00"/>
    <x v="0"/>
    <d v="1899-12-30T05:48:00"/>
    <x v="1"/>
    <x v="0"/>
    <x v="10"/>
    <x v="0"/>
    <x v="2"/>
    <x v="1"/>
    <n v="1"/>
    <n v="6750"/>
    <x v="0"/>
    <n v="20"/>
    <s v="Valid"/>
    <s v="Match"/>
    <n v="6750"/>
    <n v="1350"/>
    <n v="5400"/>
    <n v="3867.74"/>
    <n v="1532.26"/>
    <b v="0"/>
    <x v="0"/>
    <x v="4"/>
    <s v="Sanjay"/>
    <x v="3"/>
    <n v="3"/>
    <s v="Apr"/>
    <x v="5"/>
  </r>
  <r>
    <s v="ZAR-10651"/>
    <d v="2025-03-05T00:00:00"/>
    <x v="1"/>
    <d v="1899-12-30T01:31:00"/>
    <x v="7"/>
    <x v="0"/>
    <x v="0"/>
    <x v="6"/>
    <x v="6"/>
    <x v="0"/>
    <n v="1"/>
    <n v="1900"/>
    <x v="1"/>
    <n v="10"/>
    <s v="Valid"/>
    <s v="Match"/>
    <n v="1900"/>
    <n v="190"/>
    <n v="1710"/>
    <n v="1333.05"/>
    <n v="376.95"/>
    <b v="0"/>
    <x v="0"/>
    <x v="1"/>
    <s v="Priya"/>
    <x v="3"/>
    <n v="3"/>
    <s v="Mar"/>
    <x v="1"/>
  </r>
  <r>
    <s v="ZAR-10919"/>
    <d v="2025-04-02T00:00:00"/>
    <x v="2"/>
    <d v="1899-12-30T17:07:00"/>
    <x v="6"/>
    <x v="1"/>
    <x v="5"/>
    <x v="0"/>
    <x v="5"/>
    <x v="0"/>
    <n v="1"/>
    <n v="5400"/>
    <x v="3"/>
    <n v="30"/>
    <s v="Valid"/>
    <s v="Match"/>
    <n v="5400"/>
    <n v="1620"/>
    <n v="3780"/>
    <n v="2928.59"/>
    <n v="851.41"/>
    <b v="0"/>
    <x v="0"/>
    <x v="1"/>
    <s v="Meera"/>
    <x v="2"/>
    <n v="3.5"/>
    <s v="Apr"/>
    <x v="1"/>
  </r>
  <r>
    <s v="ZAR-10598"/>
    <d v="2025-06-22T00:00:00"/>
    <x v="5"/>
    <d v="1899-12-30T14:50:00"/>
    <x v="1"/>
    <x v="0"/>
    <x v="6"/>
    <x v="4"/>
    <x v="3"/>
    <x v="1"/>
    <n v="2"/>
    <n v="26650"/>
    <x v="1"/>
    <n v="10"/>
    <s v="Valid"/>
    <s v="Match"/>
    <n v="53300"/>
    <n v="5330"/>
    <n v="47970"/>
    <n v="33229.379999999997"/>
    <n v="14740.62"/>
    <b v="0"/>
    <x v="0"/>
    <x v="3"/>
    <s v="Meera"/>
    <x v="6"/>
    <n v="3"/>
    <s v="Jun"/>
    <x v="0"/>
  </r>
  <r>
    <s v="ZAR-10544"/>
    <d v="2025-03-11T00:00:00"/>
    <x v="2"/>
    <d v="1899-12-30T17:40:00"/>
    <x v="1"/>
    <x v="0"/>
    <x v="0"/>
    <x v="5"/>
    <x v="0"/>
    <x v="0"/>
    <n v="4"/>
    <n v="6600"/>
    <x v="3"/>
    <n v="25"/>
    <s v="Valid"/>
    <s v="Match"/>
    <n v="26400"/>
    <n v="6600"/>
    <n v="19800"/>
    <n v="14442.95"/>
    <n v="5357.05"/>
    <b v="0"/>
    <x v="0"/>
    <x v="4"/>
    <s v="Sanjay"/>
    <x v="4"/>
    <n v="3.5"/>
    <s v="Mar"/>
    <x v="6"/>
  </r>
  <r>
    <s v="ZAR-10964"/>
    <d v="2025-01-02T00:00:00"/>
    <x v="5"/>
    <d v="1899-12-30T13:29:00"/>
    <x v="0"/>
    <x v="2"/>
    <x v="17"/>
    <x v="2"/>
    <x v="3"/>
    <x v="0"/>
    <n v="4"/>
    <n v="2050"/>
    <x v="0"/>
    <n v="15"/>
    <s v="Valid"/>
    <s v="Match"/>
    <n v="8200"/>
    <n v="1230"/>
    <n v="6970"/>
    <n v="4352.28"/>
    <n v="2617.7199999999998"/>
    <b v="0"/>
    <x v="0"/>
    <x v="3"/>
    <s v="Priya"/>
    <x v="6"/>
    <n v="5"/>
    <s v="Jan"/>
    <x v="4"/>
  </r>
  <r>
    <s v="ZAR-10307"/>
    <d v="2025-10-09T00:00:00"/>
    <x v="3"/>
    <d v="1899-12-30T08:23:00"/>
    <x v="5"/>
    <x v="0"/>
    <x v="12"/>
    <x v="6"/>
    <x v="2"/>
    <x v="0"/>
    <n v="2"/>
    <n v="10100"/>
    <x v="1"/>
    <n v="5"/>
    <s v="Valid"/>
    <s v="Match"/>
    <n v="20200"/>
    <n v="1010"/>
    <n v="19190"/>
    <n v="12170.78"/>
    <n v="7019.22"/>
    <b v="0"/>
    <x v="0"/>
    <x v="3"/>
    <s v="Ananya"/>
    <x v="5"/>
    <n v="3"/>
    <s v="Oct"/>
    <x v="4"/>
  </r>
  <r>
    <s v="ZAR-10320"/>
    <d v="2025-02-14T00:00:00"/>
    <x v="5"/>
    <d v="1899-12-30T12:33:00"/>
    <x v="1"/>
    <x v="2"/>
    <x v="14"/>
    <x v="1"/>
    <x v="5"/>
    <x v="1"/>
    <n v="1"/>
    <n v="1500"/>
    <x v="0"/>
    <n v="15"/>
    <s v="Valid"/>
    <s v="Match"/>
    <n v="1500"/>
    <n v="225"/>
    <n v="1275"/>
    <n v="996.79"/>
    <n v="278.20999999999998"/>
    <b v="0"/>
    <x v="0"/>
    <x v="3"/>
    <s v="Rohit"/>
    <x v="1"/>
    <n v="4"/>
    <s v="Feb"/>
    <x v="3"/>
  </r>
  <r>
    <s v="ZAR-10483"/>
    <d v="2025-02-15T00:00:00"/>
    <x v="5"/>
    <d v="1899-12-30T12:44:00"/>
    <x v="2"/>
    <x v="0"/>
    <x v="0"/>
    <x v="1"/>
    <x v="0"/>
    <x v="4"/>
    <n v="2"/>
    <n v="2150"/>
    <x v="0"/>
    <n v="20"/>
    <s v="Valid"/>
    <s v="Match"/>
    <n v="4300"/>
    <n v="860"/>
    <n v="3440"/>
    <n v="2302.16"/>
    <n v="1137.8399999999999"/>
    <b v="0"/>
    <x v="0"/>
    <x v="3"/>
    <s v="Neha"/>
    <x v="3"/>
    <n v="4"/>
    <s v="Feb"/>
    <x v="5"/>
  </r>
  <r>
    <s v="ZAR-10495"/>
    <d v="2025-08-04T00:00:00"/>
    <x v="5"/>
    <d v="1899-12-30T15:46:00"/>
    <x v="4"/>
    <x v="0"/>
    <x v="1"/>
    <x v="0"/>
    <x v="6"/>
    <x v="0"/>
    <n v="1"/>
    <n v="4150"/>
    <x v="0"/>
    <n v="20"/>
    <s v="Valid"/>
    <s v="Match"/>
    <n v="4150"/>
    <n v="830"/>
    <n v="3320"/>
    <n v="2391.9899999999998"/>
    <n v="928.01"/>
    <b v="0"/>
    <x v="0"/>
    <x v="4"/>
    <s v="Neha"/>
    <x v="1"/>
    <n v="3"/>
    <s v="Aug"/>
    <x v="2"/>
  </r>
  <r>
    <s v="ZAR-10267"/>
    <d v="2025-11-05T00:00:00"/>
    <x v="2"/>
    <d v="1899-12-30T17:52:00"/>
    <x v="2"/>
    <x v="0"/>
    <x v="2"/>
    <x v="3"/>
    <x v="3"/>
    <x v="4"/>
    <n v="1"/>
    <n v="111900"/>
    <x v="0"/>
    <n v="15"/>
    <s v="Valid"/>
    <s v="Match"/>
    <n v="111900"/>
    <n v="16785"/>
    <n v="95115"/>
    <n v="74420.929999999993"/>
    <n v="20694.07"/>
    <b v="0"/>
    <x v="0"/>
    <x v="4"/>
    <s v="Meera"/>
    <x v="2"/>
    <n v="4.5"/>
    <s v="Nov"/>
    <x v="1"/>
  </r>
  <r>
    <s v="ZAR-10112"/>
    <d v="2025-01-26T00:00:00"/>
    <x v="3"/>
    <d v="1899-12-30T09:31:00"/>
    <x v="4"/>
    <x v="2"/>
    <x v="15"/>
    <x v="4"/>
    <x v="3"/>
    <x v="4"/>
    <n v="1"/>
    <n v="3700"/>
    <x v="0"/>
    <n v="20"/>
    <s v="Valid"/>
    <s v="Match"/>
    <n v="3700"/>
    <n v="740"/>
    <n v="2960"/>
    <n v="2211.2600000000002"/>
    <n v="748.74"/>
    <b v="0"/>
    <x v="0"/>
    <x v="2"/>
    <s v="Sanjay"/>
    <x v="6"/>
    <n v="4"/>
    <s v="Jan"/>
    <x v="0"/>
  </r>
  <r>
    <s v="ZAR-10470"/>
    <d v="2025-02-20T00:00:00"/>
    <x v="0"/>
    <d v="1899-12-30T04:45:00"/>
    <x v="5"/>
    <x v="0"/>
    <x v="12"/>
    <x v="2"/>
    <x v="6"/>
    <x v="4"/>
    <n v="1"/>
    <m/>
    <x v="3"/>
    <n v="30"/>
    <s v="Valid"/>
    <s v="Match"/>
    <n v="8950"/>
    <n v="2685"/>
    <n v="6265"/>
    <n v="5365.34"/>
    <n v="899.66"/>
    <b v="0"/>
    <x v="0"/>
    <x v="1"/>
    <s v="Unknown"/>
    <x v="2"/>
    <n v="4"/>
    <s v="Feb"/>
    <x v="4"/>
  </r>
  <r>
    <s v="ZAR-10739"/>
    <d v="2025-03-19T00:00:00"/>
    <x v="3"/>
    <d v="1899-12-30T09:19:00"/>
    <x v="5"/>
    <x v="0"/>
    <x v="0"/>
    <x v="5"/>
    <x v="0"/>
    <x v="1"/>
    <n v="1"/>
    <n v="4950"/>
    <x v="3"/>
    <n v="25"/>
    <s v="Valid"/>
    <s v="Match"/>
    <n v="4950"/>
    <n v="1237.5"/>
    <n v="3712.5"/>
    <n v="2769.88"/>
    <n v="942.62"/>
    <b v="0"/>
    <x v="0"/>
    <x v="0"/>
    <s v="Meera"/>
    <x v="0"/>
    <n v="4"/>
    <s v="Mar"/>
    <x v="1"/>
  </r>
  <r>
    <s v="ZAR-10527"/>
    <d v="2025-07-15T00:00:00"/>
    <x v="2"/>
    <d v="1899-12-30T16:20:00"/>
    <x v="0"/>
    <x v="0"/>
    <x v="1"/>
    <x v="1"/>
    <x v="5"/>
    <x v="0"/>
    <n v="2"/>
    <n v="3750"/>
    <x v="1"/>
    <n v="5"/>
    <s v="Valid"/>
    <s v="Match"/>
    <n v="7500"/>
    <n v="375"/>
    <n v="7125"/>
    <n v="4903.3"/>
    <n v="2221.6999999999998"/>
    <b v="0"/>
    <x v="0"/>
    <x v="2"/>
    <s v="Karan"/>
    <x v="6"/>
    <n v="3"/>
    <s v="Jul"/>
    <x v="6"/>
  </r>
  <r>
    <s v="ZAR-10258"/>
    <d v="2025-10-25T00:00:00"/>
    <x v="2"/>
    <d v="1899-12-30T18:25:00"/>
    <x v="6"/>
    <x v="0"/>
    <x v="4"/>
    <x v="2"/>
    <x v="8"/>
    <x v="1"/>
    <n v="3"/>
    <n v="40900"/>
    <x v="3"/>
    <n v="25"/>
    <s v="Valid"/>
    <s v="Match"/>
    <n v="122700"/>
    <n v="30675"/>
    <n v="92025"/>
    <n v="64646.06"/>
    <n v="27378.94"/>
    <b v="0"/>
    <x v="0"/>
    <x v="1"/>
    <s v="Priya"/>
    <x v="1"/>
    <n v="4.5"/>
    <s v="Oct"/>
    <x v="5"/>
  </r>
  <r>
    <s v="ZAR-10262"/>
    <d v="2025-06-26T00:00:00"/>
    <x v="5"/>
    <d v="1899-12-30T15:50:00"/>
    <x v="5"/>
    <x v="0"/>
    <x v="7"/>
    <x v="0"/>
    <x v="3"/>
    <x v="4"/>
    <n v="1"/>
    <n v="4900"/>
    <x v="0"/>
    <n v="15"/>
    <s v="Valid"/>
    <s v="Match"/>
    <n v="4900"/>
    <n v="735"/>
    <n v="4165"/>
    <n v="2928.42"/>
    <n v="1236.58"/>
    <b v="0"/>
    <x v="0"/>
    <x v="1"/>
    <s v="Ananya"/>
    <x v="5"/>
    <n v="4"/>
    <s v="Jun"/>
    <x v="4"/>
  </r>
  <r>
    <s v="ZAR-10546"/>
    <d v="2025-10-30T00:00:00"/>
    <x v="2"/>
    <d v="1899-12-30T17:12:00"/>
    <x v="6"/>
    <x v="0"/>
    <x v="12"/>
    <x v="0"/>
    <x v="0"/>
    <x v="0"/>
    <n v="2"/>
    <n v="14450"/>
    <x v="2"/>
    <n v="0"/>
    <s v="Valid"/>
    <s v="Match"/>
    <n v="28900"/>
    <n v="0"/>
    <n v="28900"/>
    <n v="17004.060000000001"/>
    <n v="11895.94"/>
    <b v="0"/>
    <x v="0"/>
    <x v="3"/>
    <s v="Karan"/>
    <x v="5"/>
    <n v="5"/>
    <s v="Oct"/>
    <x v="4"/>
  </r>
  <r>
    <s v="ZAR-10407"/>
    <d v="2025-02-27T00:00:00"/>
    <x v="1"/>
    <d v="1899-12-30T02:01:00"/>
    <x v="6"/>
    <x v="0"/>
    <x v="1"/>
    <x v="2"/>
    <x v="3"/>
    <x v="5"/>
    <n v="1"/>
    <n v="1200"/>
    <x v="3"/>
    <n v="25"/>
    <s v="Valid"/>
    <s v="Match"/>
    <n v="1200"/>
    <n v="300"/>
    <n v="900"/>
    <n v="825.44"/>
    <n v="74.56"/>
    <b v="0"/>
    <x v="0"/>
    <x v="2"/>
    <s v="Priya"/>
    <x v="2"/>
    <n v="2.5"/>
    <s v="Feb"/>
    <x v="4"/>
  </r>
  <r>
    <s v="ZAR-10430"/>
    <d v="2025-12-16T00:00:00"/>
    <x v="0"/>
    <d v="1899-12-30T07:17:00"/>
    <x v="6"/>
    <x v="0"/>
    <x v="12"/>
    <x v="6"/>
    <x v="2"/>
    <x v="3"/>
    <n v="1"/>
    <n v="11250"/>
    <x v="0"/>
    <n v="20"/>
    <s v="Valid"/>
    <s v="Match"/>
    <n v="11250"/>
    <n v="2250"/>
    <n v="9000"/>
    <n v="6898.86"/>
    <n v="2101.14"/>
    <b v="0"/>
    <x v="0"/>
    <x v="2"/>
    <s v="Karan"/>
    <x v="5"/>
    <n v="4"/>
    <s v="Dec"/>
    <x v="6"/>
  </r>
  <r>
    <s v="ZAR-10630"/>
    <d v="2025-11-27T00:00:00"/>
    <x v="2"/>
    <d v="1899-12-30T16:22:00"/>
    <x v="5"/>
    <x v="2"/>
    <x v="15"/>
    <x v="0"/>
    <x v="8"/>
    <x v="0"/>
    <n v="1"/>
    <n v="2850"/>
    <x v="0"/>
    <n v="20"/>
    <s v="Valid"/>
    <s v="Match"/>
    <n v="2850"/>
    <n v="570"/>
    <n v="2280"/>
    <n v="2000.33"/>
    <n v="279.67"/>
    <b v="0"/>
    <x v="0"/>
    <x v="4"/>
    <s v="Rohit"/>
    <x v="2"/>
    <n v="4"/>
    <s v="Nov"/>
    <x v="4"/>
  </r>
  <r>
    <s v="ZAR-10503"/>
    <d v="2025-11-27T00:00:00"/>
    <x v="2"/>
    <d v="1899-12-30T16:23:00"/>
    <x v="5"/>
    <x v="1"/>
    <x v="18"/>
    <x v="2"/>
    <x v="1"/>
    <x v="0"/>
    <n v="1"/>
    <n v="2750"/>
    <x v="0"/>
    <n v="15"/>
    <s v="Valid"/>
    <s v="Match"/>
    <n v="2750"/>
    <n v="412.5"/>
    <n v="2337.5"/>
    <n v="1884.54"/>
    <n v="452.96"/>
    <b v="0"/>
    <x v="0"/>
    <x v="0"/>
    <s v="Sanjay"/>
    <x v="3"/>
    <n v="4.5"/>
    <s v="Nov"/>
    <x v="4"/>
  </r>
  <r>
    <s v="ZAR-10434"/>
    <d v="2025-04-13T00:00:00"/>
    <x v="4"/>
    <d v="1899-12-30T20:19:00"/>
    <x v="3"/>
    <x v="1"/>
    <x v="5"/>
    <x v="0"/>
    <x v="5"/>
    <x v="1"/>
    <n v="2"/>
    <n v="5600"/>
    <x v="1"/>
    <n v="5"/>
    <s v="Valid"/>
    <s v="Match"/>
    <n v="11200"/>
    <n v="560"/>
    <n v="10640"/>
    <n v="5831.58"/>
    <n v="4808.42"/>
    <b v="0"/>
    <x v="0"/>
    <x v="3"/>
    <s v="Karan"/>
    <x v="1"/>
    <n v="4.5"/>
    <s v="Apr"/>
    <x v="0"/>
  </r>
  <r>
    <s v="ZAR-10734"/>
    <d v="2025-03-25T00:00:00"/>
    <x v="2"/>
    <d v="1899-12-30T16:10:00"/>
    <x v="3"/>
    <x v="0"/>
    <x v="7"/>
    <x v="0"/>
    <x v="4"/>
    <x v="4"/>
    <n v="4"/>
    <n v="4000"/>
    <x v="0"/>
    <n v="15"/>
    <s v="Valid"/>
    <s v="Match"/>
    <n v="16000"/>
    <n v="2400"/>
    <n v="13600"/>
    <n v="10407.629999999999"/>
    <n v="3192.37"/>
    <b v="0"/>
    <x v="0"/>
    <x v="1"/>
    <s v="Karan"/>
    <x v="3"/>
    <n v="3.5"/>
    <s v="Mar"/>
    <x v="6"/>
  </r>
  <r>
    <s v="ZAR-10139"/>
    <d v="2025-08-29T00:00:00"/>
    <x v="3"/>
    <d v="1899-12-30T10:58:00"/>
    <x v="0"/>
    <x v="0"/>
    <x v="0"/>
    <x v="0"/>
    <x v="4"/>
    <x v="0"/>
    <n v="3"/>
    <n v="4400"/>
    <x v="0"/>
    <n v="15"/>
    <s v="Valid"/>
    <s v="Match"/>
    <n v="13200"/>
    <n v="1980"/>
    <n v="11220"/>
    <n v="7150.36"/>
    <n v="4069.64"/>
    <b v="0"/>
    <x v="0"/>
    <x v="2"/>
    <s v="Priya"/>
    <x v="5"/>
    <n v="3.5"/>
    <s v="Aug"/>
    <x v="3"/>
  </r>
  <r>
    <s v="ZAR-10359"/>
    <d v="2025-03-31T00:00:00"/>
    <x v="2"/>
    <d v="1899-12-30T18:47:00"/>
    <x v="0"/>
    <x v="0"/>
    <x v="0"/>
    <x v="1"/>
    <x v="3"/>
    <x v="1"/>
    <n v="1"/>
    <n v="3800"/>
    <x v="3"/>
    <n v="25"/>
    <s v="Valid"/>
    <s v="Match"/>
    <n v="3800"/>
    <n v="950"/>
    <n v="2850"/>
    <n v="2069.2600000000002"/>
    <n v="780.74"/>
    <b v="0"/>
    <x v="0"/>
    <x v="0"/>
    <s v="Rohit"/>
    <x v="5"/>
    <n v="4"/>
    <s v="Mar"/>
    <x v="2"/>
  </r>
  <r>
    <s v="ZAR-10932"/>
    <d v="2025-04-23T00:00:00"/>
    <x v="0"/>
    <d v="1899-12-30T07:29:00"/>
    <x v="0"/>
    <x v="1"/>
    <x v="16"/>
    <x v="3"/>
    <x v="1"/>
    <x v="3"/>
    <n v="1"/>
    <n v="2400"/>
    <x v="1"/>
    <n v="5"/>
    <s v="Valid"/>
    <s v="Match"/>
    <n v="2400"/>
    <n v="120"/>
    <n v="2280"/>
    <n v="1693.89"/>
    <n v="586.11"/>
    <b v="0"/>
    <x v="0"/>
    <x v="0"/>
    <s v="Neha"/>
    <x v="3"/>
    <n v="4"/>
    <s v="Apr"/>
    <x v="1"/>
  </r>
  <r>
    <s v="ZAR-10223"/>
    <d v="2025-03-27T00:00:00"/>
    <x v="1"/>
    <d v="1899-12-30T02:52:00"/>
    <x v="2"/>
    <x v="0"/>
    <x v="12"/>
    <x v="7"/>
    <x v="2"/>
    <x v="0"/>
    <n v="1"/>
    <n v="6400"/>
    <x v="0"/>
    <n v="20"/>
    <s v="Valid"/>
    <s v="Match"/>
    <n v="6400"/>
    <n v="1280"/>
    <n v="5120"/>
    <n v="4156.8500000000004"/>
    <n v="963.15"/>
    <b v="0"/>
    <x v="0"/>
    <x v="0"/>
    <s v="Karan"/>
    <x v="6"/>
    <n v="4.5"/>
    <s v="Mar"/>
    <x v="4"/>
  </r>
  <r>
    <s v="ZAR-10756"/>
    <d v="2025-08-25T00:00:00"/>
    <x v="5"/>
    <d v="1899-12-30T14:15:00"/>
    <x v="1"/>
    <x v="2"/>
    <x v="14"/>
    <x v="5"/>
    <x v="5"/>
    <x v="1"/>
    <n v="1"/>
    <n v="1250"/>
    <x v="2"/>
    <n v="0"/>
    <s v="Valid"/>
    <s v="Match"/>
    <n v="1250"/>
    <n v="0"/>
    <n v="1250"/>
    <n v="706.93"/>
    <n v="543.07000000000005"/>
    <b v="0"/>
    <x v="0"/>
    <x v="3"/>
    <s v="Meera"/>
    <x v="3"/>
    <n v="4"/>
    <s v="Aug"/>
    <x v="2"/>
  </r>
  <r>
    <s v="ZAR-10596"/>
    <d v="2025-08-04T00:00:00"/>
    <x v="0"/>
    <d v="1899-12-30T07:13:00"/>
    <x v="6"/>
    <x v="0"/>
    <x v="6"/>
    <x v="3"/>
    <x v="6"/>
    <x v="0"/>
    <n v="1"/>
    <n v="11600"/>
    <x v="3"/>
    <n v="30"/>
    <s v="Valid"/>
    <s v="Match"/>
    <n v="11600"/>
    <n v="3480"/>
    <n v="8120"/>
    <n v="7439.43"/>
    <n v="680.57"/>
    <b v="0"/>
    <x v="0"/>
    <x v="2"/>
    <s v="Karan"/>
    <x v="1"/>
    <n v="5"/>
    <s v="Aug"/>
    <x v="2"/>
  </r>
  <r>
    <s v="ZAR-10559"/>
    <d v="2025-03-25T00:00:00"/>
    <x v="5"/>
    <d v="1899-12-30T12:29:00"/>
    <x v="2"/>
    <x v="0"/>
    <x v="7"/>
    <x v="1"/>
    <x v="2"/>
    <x v="3"/>
    <n v="1"/>
    <n v="850"/>
    <x v="0"/>
    <n v="15"/>
    <s v="Valid"/>
    <s v="Match"/>
    <n v="850"/>
    <n v="127.5"/>
    <n v="722.5"/>
    <n v="563.51"/>
    <n v="158.99"/>
    <b v="0"/>
    <x v="0"/>
    <x v="2"/>
    <s v="Karan"/>
    <x v="4"/>
    <n v="3.5"/>
    <s v="Mar"/>
    <x v="6"/>
  </r>
  <r>
    <s v="ZAR-10365"/>
    <d v="2025-12-05T00:00:00"/>
    <x v="1"/>
    <d v="1899-12-30T02:40:00"/>
    <x v="5"/>
    <x v="0"/>
    <x v="6"/>
    <x v="7"/>
    <x v="5"/>
    <x v="3"/>
    <n v="2"/>
    <n v="31550"/>
    <x v="1"/>
    <n v="10"/>
    <s v="Valid"/>
    <s v="Match"/>
    <n v="63100"/>
    <n v="6310"/>
    <n v="56790"/>
    <n v="36901.199999999997"/>
    <n v="19888.8"/>
    <b v="0"/>
    <x v="0"/>
    <x v="4"/>
    <s v="Rohit"/>
    <x v="2"/>
    <n v="5"/>
    <s v="Dec"/>
    <x v="3"/>
  </r>
  <r>
    <s v="ZAR-10525"/>
    <d v="2025-05-05T00:00:00"/>
    <x v="2"/>
    <d v="1899-12-30T19:05:00"/>
    <x v="2"/>
    <x v="0"/>
    <x v="2"/>
    <x v="4"/>
    <x v="2"/>
    <x v="0"/>
    <n v="1"/>
    <n v="42900"/>
    <x v="3"/>
    <n v="25"/>
    <s v="Valid"/>
    <s v="Match"/>
    <n v="42900"/>
    <n v="10725"/>
    <n v="32175"/>
    <n v="26352.16"/>
    <n v="5822.84"/>
    <b v="0"/>
    <x v="0"/>
    <x v="1"/>
    <s v="Karan"/>
    <x v="5"/>
    <n v="3.5"/>
    <s v="May"/>
    <x v="2"/>
  </r>
  <r>
    <s v="ZAR-10210"/>
    <d v="2025-06-05T00:00:00"/>
    <x v="3"/>
    <d v="1899-12-30T09:17:00"/>
    <x v="6"/>
    <x v="0"/>
    <x v="10"/>
    <x v="0"/>
    <x v="6"/>
    <x v="0"/>
    <n v="3"/>
    <n v="6500"/>
    <x v="2"/>
    <n v="0"/>
    <s v="Valid"/>
    <s v="Match"/>
    <n v="19500"/>
    <n v="0"/>
    <n v="19500"/>
    <n v="11589.45"/>
    <n v="7910.55"/>
    <b v="0"/>
    <x v="0"/>
    <x v="4"/>
    <s v="Karan"/>
    <x v="1"/>
    <n v="3.5"/>
    <s v="Jun"/>
    <x v="4"/>
  </r>
  <r>
    <s v="ZAR-10859"/>
    <d v="2025-01-22T00:00:00"/>
    <x v="4"/>
    <d v="1899-12-30T22:22:00"/>
    <x v="5"/>
    <x v="1"/>
    <x v="16"/>
    <x v="2"/>
    <x v="7"/>
    <x v="0"/>
    <n v="2"/>
    <n v="4900"/>
    <x v="1"/>
    <n v="5"/>
    <s v="Valid"/>
    <s v="Match"/>
    <n v="9800"/>
    <n v="490"/>
    <n v="9310"/>
    <n v="6362.07"/>
    <n v="2947.93"/>
    <b v="0"/>
    <x v="0"/>
    <x v="0"/>
    <s v="Rohit"/>
    <x v="6"/>
    <n v="4"/>
    <s v="Jan"/>
    <x v="1"/>
  </r>
  <r>
    <s v="ZAR-10336"/>
    <d v="2025-12-20T00:00:00"/>
    <x v="3"/>
    <d v="1899-12-30T09:16:00"/>
    <x v="6"/>
    <x v="0"/>
    <x v="12"/>
    <x v="4"/>
    <x v="4"/>
    <x v="0"/>
    <n v="2"/>
    <n v="9500"/>
    <x v="2"/>
    <n v="0"/>
    <s v="Valid"/>
    <s v="Match"/>
    <n v="19000"/>
    <n v="0"/>
    <n v="19000"/>
    <n v="12557.78"/>
    <n v="6442.22"/>
    <b v="0"/>
    <x v="0"/>
    <x v="2"/>
    <s v="Karan"/>
    <x v="3"/>
    <n v="4"/>
    <s v="Dec"/>
    <x v="5"/>
  </r>
  <r>
    <s v="ZAR-10212"/>
    <d v="2025-04-09T00:00:00"/>
    <x v="0"/>
    <d v="1899-12-30T06:53:00"/>
    <x v="2"/>
    <x v="0"/>
    <x v="6"/>
    <x v="1"/>
    <x v="0"/>
    <x v="0"/>
    <n v="1"/>
    <n v="27700"/>
    <x v="0"/>
    <n v="20"/>
    <s v="Valid"/>
    <s v="Match"/>
    <n v="27700"/>
    <n v="5540"/>
    <n v="22160"/>
    <n v="14580.41"/>
    <n v="7579.59"/>
    <b v="0"/>
    <x v="0"/>
    <x v="4"/>
    <s v="Priya"/>
    <x v="0"/>
    <n v="5"/>
    <s v="Apr"/>
    <x v="1"/>
  </r>
  <r>
    <s v="ZAR-10352"/>
    <d v="2025-10-14T00:00:00"/>
    <x v="3"/>
    <d v="1899-12-30T11:07:00"/>
    <x v="6"/>
    <x v="1"/>
    <x v="16"/>
    <x v="3"/>
    <x v="7"/>
    <x v="0"/>
    <n v="3"/>
    <n v="2150"/>
    <x v="2"/>
    <n v="0"/>
    <s v="Valid"/>
    <s v="Match"/>
    <n v="6450"/>
    <n v="0"/>
    <n v="6450"/>
    <n v="3355.2"/>
    <n v="3094.8"/>
    <b v="0"/>
    <x v="0"/>
    <x v="4"/>
    <s v="Karan"/>
    <x v="1"/>
    <n v="5"/>
    <s v="Oct"/>
    <x v="6"/>
  </r>
  <r>
    <s v="ZAR-10080"/>
    <d v="2025-02-09T00:00:00"/>
    <x v="3"/>
    <d v="1899-12-30T10:36:00"/>
    <x v="5"/>
    <x v="1"/>
    <x v="3"/>
    <x v="5"/>
    <x v="3"/>
    <x v="1"/>
    <n v="2"/>
    <n v="22100"/>
    <x v="0"/>
    <n v="15"/>
    <s v="Valid"/>
    <s v="Match"/>
    <n v="44200"/>
    <n v="6630"/>
    <n v="37570"/>
    <n v="23166.240000000002"/>
    <n v="14403.76"/>
    <b v="0"/>
    <x v="0"/>
    <x v="0"/>
    <s v="Ananya"/>
    <x v="3"/>
    <n v="4"/>
    <s v="Feb"/>
    <x v="0"/>
  </r>
  <r>
    <s v="ZAR-10031"/>
    <d v="2025-09-24T00:00:00"/>
    <x v="5"/>
    <d v="1899-12-30T15:40:00"/>
    <x v="0"/>
    <x v="1"/>
    <x v="9"/>
    <x v="5"/>
    <x v="1"/>
    <x v="5"/>
    <n v="2"/>
    <s v="10300.0"/>
    <x v="3"/>
    <n v="30"/>
    <s v="Valid"/>
    <s v="Match"/>
    <n v="20600"/>
    <n v="6180"/>
    <n v="14420"/>
    <n v="13601.88"/>
    <n v="818.12"/>
    <b v="0"/>
    <x v="0"/>
    <x v="1"/>
    <s v="Rohit"/>
    <x v="6"/>
    <n v="3.5"/>
    <s v="Sep"/>
    <x v="1"/>
  </r>
  <r>
    <s v="ZAR-10282"/>
    <d v="2025-08-10T00:00:00"/>
    <x v="5"/>
    <d v="1899-12-30T12:12:00"/>
    <x v="0"/>
    <x v="0"/>
    <x v="1"/>
    <x v="0"/>
    <x v="5"/>
    <x v="4"/>
    <n v="2"/>
    <n v="3800"/>
    <x v="3"/>
    <n v="30"/>
    <s v="Valid"/>
    <s v="Match"/>
    <n v="7600"/>
    <n v="2280"/>
    <n v="5320"/>
    <n v="4346.2700000000004"/>
    <n v="973.73"/>
    <b v="0"/>
    <x v="0"/>
    <x v="3"/>
    <s v="Neha"/>
    <x v="0"/>
    <n v="4"/>
    <s v="Aug"/>
    <x v="0"/>
  </r>
  <r>
    <s v="ZAR-10509"/>
    <d v="2025-03-07T00:00:00"/>
    <x v="3"/>
    <d v="1899-12-30T09:47:00"/>
    <x v="2"/>
    <x v="0"/>
    <x v="10"/>
    <x v="1"/>
    <x v="0"/>
    <x v="0"/>
    <n v="2"/>
    <n v="3650"/>
    <x v="1"/>
    <n v="10"/>
    <s v="Valid"/>
    <s v="Match"/>
    <n v="7300"/>
    <n v="730"/>
    <n v="6570"/>
    <n v="4019.15"/>
    <n v="2550.85"/>
    <b v="0"/>
    <x v="0"/>
    <x v="0"/>
    <s v="Sanjay"/>
    <x v="4"/>
    <n v="4"/>
    <s v="Mar"/>
    <x v="3"/>
  </r>
  <r>
    <s v="ZAR-10654"/>
    <d v="2025-08-25T00:00:00"/>
    <x v="2"/>
    <d v="1899-12-30T17:11:00"/>
    <x v="5"/>
    <x v="0"/>
    <x v="1"/>
    <x v="2"/>
    <x v="6"/>
    <x v="2"/>
    <n v="1"/>
    <n v="1850"/>
    <x v="0"/>
    <n v="20"/>
    <s v="Valid"/>
    <s v="Match"/>
    <n v="1850"/>
    <n v="370"/>
    <n v="1480"/>
    <n v="1339.34"/>
    <n v="140.66"/>
    <b v="0"/>
    <x v="0"/>
    <x v="4"/>
    <s v="Neha"/>
    <x v="4"/>
    <n v="3.5"/>
    <s v="Aug"/>
    <x v="2"/>
  </r>
  <r>
    <s v="ZAR-10950"/>
    <d v="2025-11-14T00:00:00"/>
    <x v="1"/>
    <d v="1899-12-30T02:04:00"/>
    <x v="0"/>
    <x v="0"/>
    <x v="7"/>
    <x v="1"/>
    <x v="2"/>
    <x v="0"/>
    <n v="2"/>
    <n v="4150"/>
    <x v="1"/>
    <n v="10"/>
    <s v="Valid"/>
    <s v="Match"/>
    <n v="8300"/>
    <n v="830"/>
    <n v="7470"/>
    <n v="5640.43"/>
    <n v="1829.57"/>
    <b v="0"/>
    <x v="0"/>
    <x v="0"/>
    <s v="Meera"/>
    <x v="4"/>
    <n v="4.5"/>
    <s v="Nov"/>
    <x v="3"/>
  </r>
  <r>
    <s v="ZAR-10291"/>
    <d v="2025-07-11T00:00:00"/>
    <x v="0"/>
    <d v="1899-12-30T06:26:00"/>
    <x v="4"/>
    <x v="0"/>
    <x v="7"/>
    <x v="3"/>
    <x v="2"/>
    <x v="0"/>
    <n v="2"/>
    <n v="4100"/>
    <x v="3"/>
    <n v="30"/>
    <s v="Valid"/>
    <s v="Match"/>
    <n v="8200"/>
    <n v="2460"/>
    <n v="5740"/>
    <n v="4277.0200000000004"/>
    <n v="1462.98"/>
    <b v="0"/>
    <x v="0"/>
    <x v="1"/>
    <s v="Priya"/>
    <x v="2"/>
    <n v="5"/>
    <s v="Jul"/>
    <x v="3"/>
  </r>
  <r>
    <s v="ZAR-10167"/>
    <d v="2025-10-21T00:00:00"/>
    <x v="3"/>
    <d v="1899-12-30T08:54:00"/>
    <x v="4"/>
    <x v="0"/>
    <x v="0"/>
    <x v="3"/>
    <x v="6"/>
    <x v="3"/>
    <n v="1"/>
    <n v="6100"/>
    <x v="3"/>
    <n v="25"/>
    <s v="Valid"/>
    <s v="Match"/>
    <n v="6100"/>
    <n v="1525"/>
    <n v="4575"/>
    <n v="3564.72"/>
    <n v="1010.28"/>
    <b v="0"/>
    <x v="0"/>
    <x v="2"/>
    <s v="Priya"/>
    <x v="4"/>
    <n v="3.5"/>
    <s v="Oct"/>
    <x v="6"/>
  </r>
  <r>
    <s v="ZAR-10764"/>
    <d v="2025-04-11T00:00:00"/>
    <x v="3"/>
    <d v="1899-12-30T11:31:00"/>
    <x v="5"/>
    <x v="0"/>
    <x v="6"/>
    <x v="1"/>
    <x v="6"/>
    <x v="1"/>
    <n v="2"/>
    <n v="11050"/>
    <x v="3"/>
    <n v="30"/>
    <s v="Valid"/>
    <s v="Match"/>
    <n v="22100"/>
    <n v="6630"/>
    <n v="15470"/>
    <n v="12073.45"/>
    <n v="3396.55"/>
    <b v="0"/>
    <x v="0"/>
    <x v="1"/>
    <s v="Priya"/>
    <x v="4"/>
    <n v="5"/>
    <s v="Apr"/>
    <x v="3"/>
  </r>
  <r>
    <s v="ZAR-10499"/>
    <d v="2025-04-10T00:00:00"/>
    <x v="4"/>
    <d v="1899-12-30T20:37:00"/>
    <x v="6"/>
    <x v="0"/>
    <x v="2"/>
    <x v="6"/>
    <x v="2"/>
    <x v="0"/>
    <n v="1"/>
    <n v="56800"/>
    <x v="1"/>
    <n v="10"/>
    <s v="Valid"/>
    <s v="Match"/>
    <n v="56800"/>
    <n v="5680"/>
    <n v="51120"/>
    <n v="33167.040000000001"/>
    <n v="17952.96"/>
    <b v="0"/>
    <x v="0"/>
    <x v="1"/>
    <s v="Rohit"/>
    <x v="3"/>
    <n v="3.5"/>
    <s v="Apr"/>
    <x v="4"/>
  </r>
  <r>
    <s v="ZAR-10464"/>
    <d v="2025-03-12T00:00:00"/>
    <x v="5"/>
    <d v="1899-12-30T13:26:00"/>
    <x v="5"/>
    <x v="0"/>
    <x v="1"/>
    <x v="7"/>
    <x v="4"/>
    <x v="4"/>
    <n v="2"/>
    <n v="1300"/>
    <x v="0"/>
    <n v="15"/>
    <s v="Valid"/>
    <s v="Match"/>
    <n v="2600"/>
    <n v="390"/>
    <n v="2210"/>
    <n v="1802.29"/>
    <n v="407.71"/>
    <b v="0"/>
    <x v="0"/>
    <x v="2"/>
    <s v="Sanjay"/>
    <x v="6"/>
    <n v="5"/>
    <s v="Mar"/>
    <x v="1"/>
  </r>
  <r>
    <s v="ZAR-10067"/>
    <d v="2025-04-22T00:00:00"/>
    <x v="5"/>
    <d v="1899-12-30T14:28:00"/>
    <x v="0"/>
    <x v="1"/>
    <x v="13"/>
    <x v="7"/>
    <x v="1"/>
    <x v="4"/>
    <n v="4"/>
    <n v="3900"/>
    <x v="2"/>
    <n v="0"/>
    <s v="Valid"/>
    <s v="Match"/>
    <n v="15600"/>
    <n v="0"/>
    <n v="15600"/>
    <n v="10481.040000000001"/>
    <n v="5118.96"/>
    <b v="0"/>
    <x v="0"/>
    <x v="2"/>
    <s v="Sanjay"/>
    <x v="3"/>
    <n v="4.5"/>
    <s v="Apr"/>
    <x v="6"/>
  </r>
  <r>
    <s v="ZAR-10143"/>
    <d v="2025-09-08T00:00:00"/>
    <x v="1"/>
    <m/>
    <x v="2"/>
    <x v="1"/>
    <x v="13"/>
    <x v="5"/>
    <x v="1"/>
    <x v="0"/>
    <n v="1"/>
    <n v="6900"/>
    <x v="3"/>
    <n v="30"/>
    <s v="Valid"/>
    <s v="Match"/>
    <n v="6900"/>
    <n v="2070"/>
    <n v="4830"/>
    <n v="4647.3500000000004"/>
    <n v="182.65"/>
    <b v="0"/>
    <x v="0"/>
    <x v="4"/>
    <s v="Sanjay"/>
    <x v="1"/>
    <n v="4"/>
    <s v="Aug"/>
    <x v="5"/>
  </r>
  <r>
    <s v="ZAR-10277"/>
    <d v="2025-06-25T00:00:00"/>
    <x v="1"/>
    <d v="1899-12-30T02:35:00"/>
    <x v="0"/>
    <x v="0"/>
    <x v="2"/>
    <x v="1"/>
    <x v="8"/>
    <x v="0"/>
    <n v="1"/>
    <n v="93000"/>
    <x v="3"/>
    <n v="25"/>
    <s v="Valid"/>
    <s v="Match"/>
    <n v="93000"/>
    <n v="23250"/>
    <n v="69750"/>
    <n v="63680.21"/>
    <n v="6069.79"/>
    <b v="0"/>
    <x v="0"/>
    <x v="0"/>
    <s v="Karan"/>
    <x v="6"/>
    <n v="3.5"/>
    <s v="Jun"/>
    <x v="1"/>
  </r>
  <r>
    <s v="ZAR-10835"/>
    <d v="2025-04-13T00:00:00"/>
    <x v="4"/>
    <d v="1899-12-30T20:03:00"/>
    <x v="5"/>
    <x v="2"/>
    <x v="14"/>
    <x v="0"/>
    <x v="3"/>
    <x v="0"/>
    <n v="1"/>
    <n v="3150"/>
    <x v="1"/>
    <n v="5"/>
    <s v="Valid"/>
    <s v="Match"/>
    <n v="3150"/>
    <n v="157.5"/>
    <n v="2992.5"/>
    <n v="1880.63"/>
    <n v="1111.8699999999999"/>
    <b v="0"/>
    <x v="0"/>
    <x v="1"/>
    <s v="Priya"/>
    <x v="4"/>
    <n v="3.5"/>
    <s v="Apr"/>
    <x v="0"/>
  </r>
  <r>
    <s v="ZAR-10584"/>
    <d v="2025-05-16T00:00:00"/>
    <x v="0"/>
    <d v="1899-12-30T04:26:00"/>
    <x v="4"/>
    <x v="0"/>
    <x v="2"/>
    <x v="0"/>
    <x v="1"/>
    <x v="0"/>
    <n v="1"/>
    <n v="87400"/>
    <x v="3"/>
    <n v="25"/>
    <s v="Valid"/>
    <s v="Match"/>
    <n v="87400"/>
    <n v="21850"/>
    <n v="65550"/>
    <n v="62445.29"/>
    <n v="3104.71"/>
    <b v="0"/>
    <x v="0"/>
    <x v="4"/>
    <s v="Ananya"/>
    <x v="5"/>
    <n v="3.5"/>
    <s v="May"/>
    <x v="3"/>
  </r>
  <r>
    <s v="ZAR-10466"/>
    <d v="2025-05-24T00:00:00"/>
    <x v="2"/>
    <d v="1899-12-30T16:39:00"/>
    <x v="0"/>
    <x v="0"/>
    <x v="0"/>
    <x v="2"/>
    <x v="3"/>
    <x v="2"/>
    <n v="1"/>
    <n v="7000"/>
    <x v="1"/>
    <n v="10"/>
    <s v="Valid"/>
    <s v="Match"/>
    <n v="7000"/>
    <n v="700"/>
    <n v="6300"/>
    <n v="3652.17"/>
    <n v="2647.83"/>
    <b v="0"/>
    <x v="0"/>
    <x v="4"/>
    <s v="Meera"/>
    <x v="4"/>
    <n v="4.5"/>
    <s v="May"/>
    <x v="5"/>
  </r>
  <r>
    <s v="ZAR-10670"/>
    <d v="2025-01-17T00:00:00"/>
    <x v="3"/>
    <d v="1899-12-30T10:26:00"/>
    <x v="3"/>
    <x v="0"/>
    <x v="2"/>
    <x v="1"/>
    <x v="1"/>
    <x v="0"/>
    <n v="1"/>
    <n v="76400"/>
    <x v="1"/>
    <n v="10"/>
    <s v="Valid"/>
    <s v="Match"/>
    <n v="76400"/>
    <n v="7640"/>
    <n v="68760"/>
    <n v="50707.519999999997"/>
    <n v="18052.48"/>
    <b v="0"/>
    <x v="0"/>
    <x v="3"/>
    <s v="Meera"/>
    <x v="4"/>
    <n v="3.5"/>
    <s v="Jan"/>
    <x v="3"/>
  </r>
  <r>
    <s v="ZAR-10321"/>
    <d v="2025-10-25T00:00:00"/>
    <x v="2"/>
    <d v="1899-12-30T17:43:00"/>
    <x v="6"/>
    <x v="2"/>
    <x v="15"/>
    <x v="0"/>
    <x v="2"/>
    <x v="0"/>
    <n v="2"/>
    <n v="3200"/>
    <x v="1"/>
    <n v="5"/>
    <s v="Valid"/>
    <s v="Match"/>
    <n v="6400"/>
    <n v="320"/>
    <n v="6080"/>
    <n v="4246.68"/>
    <n v="1833.32"/>
    <b v="0"/>
    <x v="0"/>
    <x v="3"/>
    <s v="Rohit"/>
    <x v="0"/>
    <n v="4"/>
    <s v="Oct"/>
    <x v="5"/>
  </r>
  <r>
    <s v="ZAR-10718"/>
    <d v="2025-04-02T00:00:00"/>
    <x v="3"/>
    <d v="1899-12-30T08:36:00"/>
    <x v="2"/>
    <x v="1"/>
    <x v="5"/>
    <x v="6"/>
    <x v="7"/>
    <x v="0"/>
    <n v="1"/>
    <n v="2000"/>
    <x v="3"/>
    <n v="25"/>
    <s v="Valid"/>
    <s v="Match"/>
    <n v="2000"/>
    <n v="500"/>
    <n v="1500"/>
    <n v="1135.23"/>
    <n v="364.77"/>
    <b v="0"/>
    <x v="0"/>
    <x v="3"/>
    <s v="Karan"/>
    <x v="1"/>
    <n v="4"/>
    <s v="Apr"/>
    <x v="1"/>
  </r>
  <r>
    <s v="ZAR-10308"/>
    <d v="2025-01-12T00:00:00"/>
    <x v="4"/>
    <d v="1899-12-30T22:52:00"/>
    <x v="3"/>
    <x v="0"/>
    <x v="0"/>
    <x v="0"/>
    <x v="4"/>
    <x v="4"/>
    <n v="5"/>
    <n v="1850"/>
    <x v="1"/>
    <n v="5"/>
    <s v="Valid"/>
    <s v="Match"/>
    <n v="9250"/>
    <n v="462.5"/>
    <n v="8787.5"/>
    <n v="6551.39"/>
    <n v="2236.11"/>
    <b v="0"/>
    <x v="0"/>
    <x v="2"/>
    <s v="Unknown"/>
    <x v="1"/>
    <n v="4.5"/>
    <s v="Jan"/>
    <x v="0"/>
  </r>
  <r>
    <s v="ZAR-10309"/>
    <d v="2025-06-03T00:00:00"/>
    <x v="1"/>
    <d v="1899-12-30T02:36:00"/>
    <x v="5"/>
    <x v="0"/>
    <x v="6"/>
    <x v="7"/>
    <x v="6"/>
    <x v="1"/>
    <n v="3"/>
    <n v="10600"/>
    <x v="1"/>
    <n v="5"/>
    <s v="Valid"/>
    <s v="Match"/>
    <n v="31800"/>
    <n v="1590"/>
    <n v="30210"/>
    <n v="18166.03"/>
    <n v="12043.97"/>
    <b v="0"/>
    <x v="0"/>
    <x v="0"/>
    <s v="Rohit"/>
    <x v="1"/>
    <n v="5"/>
    <s v="Jun"/>
    <x v="6"/>
  </r>
  <r>
    <s v="ZAR-10828"/>
    <d v="2025-12-17T00:00:00"/>
    <x v="5"/>
    <d v="1899-12-30T13:47:00"/>
    <x v="4"/>
    <x v="0"/>
    <x v="2"/>
    <x v="4"/>
    <x v="8"/>
    <x v="0"/>
    <n v="3"/>
    <n v="121450"/>
    <x v="1"/>
    <n v="5"/>
    <s v="Valid"/>
    <s v="Match"/>
    <n v="364350"/>
    <n v="18217.5"/>
    <n v="346132.5"/>
    <n v="255491.02"/>
    <n v="90641.48"/>
    <b v="0"/>
    <x v="0"/>
    <x v="1"/>
    <s v="Ananya"/>
    <x v="1"/>
    <n v="5"/>
    <s v="Dec"/>
    <x v="1"/>
  </r>
  <r>
    <s v="ZAR-10335"/>
    <d v="2025-05-29T00:00:00"/>
    <x v="0"/>
    <d v="1899-12-30T06:00:00"/>
    <x v="2"/>
    <x v="0"/>
    <x v="10"/>
    <x v="1"/>
    <x v="6"/>
    <x v="0"/>
    <n v="1"/>
    <n v="3900"/>
    <x v="0"/>
    <n v="20"/>
    <s v="Valid"/>
    <s v="Match"/>
    <n v="3900"/>
    <n v="780"/>
    <n v="3120"/>
    <n v="2227.6799999999998"/>
    <n v="892.32"/>
    <b v="0"/>
    <x v="0"/>
    <x v="3"/>
    <s v="Sanjay"/>
    <x v="1"/>
    <n v="5"/>
    <s v="May"/>
    <x v="4"/>
  </r>
  <r>
    <s v="ZAR-10051"/>
    <d v="2025-07-26T00:00:00"/>
    <x v="2"/>
    <d v="1899-12-30T16:52:00"/>
    <x v="2"/>
    <x v="1"/>
    <x v="13"/>
    <x v="1"/>
    <x v="7"/>
    <x v="1"/>
    <n v="1"/>
    <n v="2000"/>
    <x v="1"/>
    <n v="10"/>
    <s v="Valid"/>
    <s v="Match"/>
    <n v="2000"/>
    <n v="200"/>
    <n v="1800"/>
    <n v="1182.24"/>
    <n v="617.76"/>
    <b v="0"/>
    <x v="0"/>
    <x v="3"/>
    <s v="Priya"/>
    <x v="5"/>
    <n v="3"/>
    <s v="Jul"/>
    <x v="5"/>
  </r>
  <r>
    <s v="ZAR-10733"/>
    <d v="2025-08-31T00:00:00"/>
    <x v="0"/>
    <d v="1899-12-30T07:16:00"/>
    <x v="1"/>
    <x v="0"/>
    <x v="2"/>
    <x v="4"/>
    <x v="3"/>
    <x v="0"/>
    <n v="1"/>
    <n v="64950"/>
    <x v="0"/>
    <n v="15"/>
    <s v="Valid"/>
    <s v="Match"/>
    <n v="64950"/>
    <n v="9742.5"/>
    <n v="55207.5"/>
    <n v="44218.61"/>
    <n v="10988.89"/>
    <b v="0"/>
    <x v="0"/>
    <x v="1"/>
    <s v="Meera"/>
    <x v="5"/>
    <n v="4"/>
    <s v="Aug"/>
    <x v="0"/>
  </r>
  <r>
    <s v="ZAR-10004"/>
    <d v="2025-07-13T00:00:00"/>
    <x v="1"/>
    <d v="1899-12-30T02:35:00"/>
    <x v="3"/>
    <x v="1"/>
    <x v="13"/>
    <x v="1"/>
    <x v="1"/>
    <x v="4"/>
    <n v="1"/>
    <n v="3200"/>
    <x v="0"/>
    <n v="15"/>
    <s v="Valid"/>
    <s v="Match"/>
    <n v="3200"/>
    <n v="480"/>
    <n v="2720"/>
    <n v="2041.5"/>
    <n v="678.5"/>
    <b v="0"/>
    <x v="0"/>
    <x v="2"/>
    <s v="Ananya"/>
    <x v="4"/>
    <n v="4.5"/>
    <s v="Jul"/>
    <x v="0"/>
  </r>
  <r>
    <s v="ZAR-10788"/>
    <d v="2025-02-26T00:00:00"/>
    <x v="0"/>
    <d v="1899-12-30T05:01:00"/>
    <x v="5"/>
    <x v="0"/>
    <x v="6"/>
    <x v="7"/>
    <x v="0"/>
    <x v="0"/>
    <n v="2"/>
    <n v="26450"/>
    <x v="1"/>
    <n v="5"/>
    <s v="Valid"/>
    <s v="Match"/>
    <n v="52900"/>
    <n v="2645"/>
    <n v="50255"/>
    <n v="31756.66"/>
    <n v="18498.34"/>
    <b v="0"/>
    <x v="0"/>
    <x v="2"/>
    <s v="Meera"/>
    <x v="2"/>
    <n v="4"/>
    <s v="Feb"/>
    <x v="1"/>
  </r>
  <r>
    <s v="ZAR-10354"/>
    <d v="2025-11-25T00:00:00"/>
    <x v="5"/>
    <d v="1899-12-30T13:55:00"/>
    <x v="5"/>
    <x v="0"/>
    <x v="10"/>
    <x v="0"/>
    <x v="5"/>
    <x v="4"/>
    <n v="4"/>
    <n v="4900"/>
    <x v="1"/>
    <n v="5"/>
    <s v="Valid"/>
    <s v="Match"/>
    <n v="19600"/>
    <n v="980"/>
    <n v="18620"/>
    <n v="10557.07"/>
    <n v="8062.93"/>
    <b v="0"/>
    <x v="0"/>
    <x v="0"/>
    <s v="Neha"/>
    <x v="1"/>
    <n v="4.5"/>
    <s v="Nov"/>
    <x v="6"/>
  </r>
  <r>
    <s v="ZAR-10912"/>
    <d v="2025-01-02T00:00:00"/>
    <x v="0"/>
    <d v="1899-12-30T07:42:00"/>
    <x v="3"/>
    <x v="0"/>
    <x v="10"/>
    <x v="1"/>
    <x v="5"/>
    <x v="0"/>
    <n v="3"/>
    <n v="4600"/>
    <x v="1"/>
    <n v="5"/>
    <s v="Valid"/>
    <s v="Match"/>
    <n v="13800"/>
    <n v="690"/>
    <n v="13110"/>
    <n v="8024.47"/>
    <n v="5085.53"/>
    <b v="0"/>
    <x v="0"/>
    <x v="1"/>
    <s v="Ananya"/>
    <x v="2"/>
    <n v="4"/>
    <s v="Jan"/>
    <x v="4"/>
  </r>
  <r>
    <s v="ZAR-10540"/>
    <d v="2025-03-13T00:00:00"/>
    <x v="1"/>
    <d v="1899-12-30T00:38:00"/>
    <x v="2"/>
    <x v="1"/>
    <x v="3"/>
    <x v="2"/>
    <x v="2"/>
    <x v="4"/>
    <n v="2"/>
    <n v="24350"/>
    <x v="3"/>
    <n v="25"/>
    <s v="Valid"/>
    <s v="Match"/>
    <n v="48700"/>
    <n v="12175"/>
    <n v="36525"/>
    <n v="34274.699999999997"/>
    <n v="2250.3000000000002"/>
    <b v="0"/>
    <x v="0"/>
    <x v="3"/>
    <s v="Sanjay"/>
    <x v="4"/>
    <n v="4"/>
    <s v="Mar"/>
    <x v="4"/>
  </r>
  <r>
    <s v="ZAR-10348"/>
    <d v="2025-07-16T00:00:00"/>
    <x v="1"/>
    <d v="1899-12-30T02:21:00"/>
    <x v="0"/>
    <x v="0"/>
    <x v="7"/>
    <x v="7"/>
    <x v="5"/>
    <x v="4"/>
    <n v="1"/>
    <n v="1550"/>
    <x v="1"/>
    <n v="5"/>
    <s v="Valid"/>
    <s v="Match"/>
    <n v="1550"/>
    <n v="77.5"/>
    <n v="1472.5"/>
    <n v="1138.0999999999999"/>
    <n v="334.4"/>
    <b v="0"/>
    <x v="0"/>
    <x v="3"/>
    <s v="Karan"/>
    <x v="6"/>
    <n v="4.5"/>
    <s v="Jul"/>
    <x v="1"/>
  </r>
  <r>
    <s v="ZAR-10895"/>
    <d v="2025-03-01T00:00:00"/>
    <x v="1"/>
    <d v="1899-12-30T03:10:00"/>
    <x v="0"/>
    <x v="0"/>
    <x v="10"/>
    <x v="7"/>
    <x v="4"/>
    <x v="0"/>
    <s v="1"/>
    <n v="2300"/>
    <x v="3"/>
    <n v="25"/>
    <s v="Valid"/>
    <s v="Match"/>
    <n v="2300"/>
    <n v="575"/>
    <n v="1725"/>
    <n v="1675.71"/>
    <n v="49.29"/>
    <b v="0"/>
    <x v="0"/>
    <x v="0"/>
    <s v="Ananya"/>
    <x v="4"/>
    <n v="4"/>
    <s v="Mar"/>
    <x v="5"/>
  </r>
  <r>
    <s v="ZAR-10485"/>
    <d v="2025-11-29T00:00:00"/>
    <x v="4"/>
    <d v="1899-12-30T20:04:00"/>
    <x v="4"/>
    <x v="0"/>
    <x v="2"/>
    <x v="5"/>
    <x v="3"/>
    <x v="0"/>
    <n v="1"/>
    <n v="90000"/>
    <x v="0"/>
    <n v="15"/>
    <s v="Valid"/>
    <s v="Match"/>
    <n v="90000"/>
    <n v="13500"/>
    <n v="76500"/>
    <n v="57455"/>
    <n v="19045"/>
    <b v="0"/>
    <x v="0"/>
    <x v="4"/>
    <s v="Meera"/>
    <x v="1"/>
    <n v="5"/>
    <s v="Nov"/>
    <x v="5"/>
  </r>
  <r>
    <s v="ZAR-10662"/>
    <d v="2025-12-28T00:00:00"/>
    <x v="2"/>
    <d v="1899-12-30T16:24:00"/>
    <x v="4"/>
    <x v="0"/>
    <x v="2"/>
    <x v="7"/>
    <x v="8"/>
    <x v="0"/>
    <n v="2"/>
    <n v="123050"/>
    <x v="1"/>
    <n v="10"/>
    <s v="Valid"/>
    <s v="Match"/>
    <n v="246100"/>
    <n v="24610"/>
    <n v="221490"/>
    <n v="146858.57"/>
    <n v="74631.429999999993"/>
    <b v="0"/>
    <x v="0"/>
    <x v="0"/>
    <s v="Karan"/>
    <x v="0"/>
    <n v="5"/>
    <s v="Dec"/>
    <x v="0"/>
  </r>
  <r>
    <s v="ZAR-10035"/>
    <d v="2025-02-11T00:00:00"/>
    <x v="5"/>
    <d v="1899-12-30T15:01:00"/>
    <x v="1"/>
    <x v="0"/>
    <x v="7"/>
    <x v="5"/>
    <x v="0"/>
    <x v="0"/>
    <s v="4"/>
    <n v="1750"/>
    <x v="0"/>
    <n v="15"/>
    <s v="Valid"/>
    <s v="Match"/>
    <n v="7000"/>
    <n v="1050"/>
    <n v="5950"/>
    <n v="4028.5"/>
    <n v="1921.5"/>
    <b v="0"/>
    <x v="0"/>
    <x v="2"/>
    <s v="Meera"/>
    <x v="2"/>
    <n v="3.5"/>
    <s v="Feb"/>
    <x v="6"/>
  </r>
  <r>
    <s v="ZAR-10033"/>
    <d v="2025-10-07T00:00:00"/>
    <x v="2"/>
    <d v="1899-12-30T19:57:00"/>
    <x v="0"/>
    <x v="0"/>
    <x v="12"/>
    <x v="3"/>
    <x v="5"/>
    <x v="0"/>
    <n v="1"/>
    <n v="6250"/>
    <x v="3"/>
    <n v="30"/>
    <s v="Valid"/>
    <s v="Match"/>
    <n v="6250"/>
    <n v="1875"/>
    <n v="4375"/>
    <n v="3826.15"/>
    <n v="548.85"/>
    <b v="0"/>
    <x v="0"/>
    <x v="1"/>
    <s v="Meera"/>
    <x v="1"/>
    <n v="3"/>
    <s v="Oct"/>
    <x v="6"/>
  </r>
  <r>
    <s v="ZAR-10233"/>
    <d v="2025-08-29T00:00:00"/>
    <x v="5"/>
    <d v="1899-12-30T15:55:00"/>
    <x v="0"/>
    <x v="2"/>
    <x v="15"/>
    <x v="6"/>
    <x v="2"/>
    <x v="0"/>
    <n v="2"/>
    <n v="2050"/>
    <x v="1"/>
    <n v="5"/>
    <s v="Valid"/>
    <s v="Match"/>
    <n v="4100"/>
    <n v="205"/>
    <n v="3895"/>
    <n v="2588.02"/>
    <n v="1306.98"/>
    <b v="0"/>
    <x v="0"/>
    <x v="2"/>
    <s v="Neha"/>
    <x v="6"/>
    <n v="4"/>
    <s v="Aug"/>
    <x v="3"/>
  </r>
  <r>
    <s v="ZAR-10754"/>
    <d v="2025-03-08T00:00:00"/>
    <x v="1"/>
    <m/>
    <x v="0"/>
    <x v="1"/>
    <x v="18"/>
    <x v="5"/>
    <x v="5"/>
    <x v="1"/>
    <n v="3"/>
    <n v="1350"/>
    <x v="0"/>
    <n v="15"/>
    <s v="Valid"/>
    <s v="Match"/>
    <n v="4050"/>
    <n v="607.5"/>
    <n v="3442.5"/>
    <n v="2622.92"/>
    <n v="819.58"/>
    <b v="0"/>
    <x v="0"/>
    <x v="3"/>
    <s v="Neha"/>
    <x v="4"/>
    <n v="4.5"/>
    <s v="Aug"/>
    <x v="0"/>
  </r>
  <r>
    <s v="ZAR-10194"/>
    <d v="2025-03-30T00:00:00"/>
    <x v="0"/>
    <d v="1899-12-30T05:15:00"/>
    <x v="4"/>
    <x v="0"/>
    <x v="2"/>
    <x v="4"/>
    <x v="8"/>
    <x v="0"/>
    <n v="2"/>
    <n v="99750"/>
    <x v="0"/>
    <n v="15"/>
    <s v="Valid"/>
    <s v="Match"/>
    <n v="199500"/>
    <n v="29925"/>
    <n v="169575"/>
    <n v="119312.38"/>
    <n v="50262.62"/>
    <b v="0"/>
    <x v="0"/>
    <x v="4"/>
    <s v="Neha"/>
    <x v="5"/>
    <n v="4.5"/>
    <s v="Mar"/>
    <x v="0"/>
  </r>
  <r>
    <s v="ZAR-10515"/>
    <d v="2025-11-10T00:00:00"/>
    <x v="0"/>
    <d v="1899-12-30T05:26:00"/>
    <x v="0"/>
    <x v="2"/>
    <x v="8"/>
    <x v="0"/>
    <x v="7"/>
    <x v="0"/>
    <n v="3"/>
    <n v="2500"/>
    <x v="3"/>
    <n v="30"/>
    <s v="Valid"/>
    <s v="Match"/>
    <n v="7500"/>
    <n v="2250"/>
    <n v="5250"/>
    <n v="4390.79"/>
    <n v="859.21"/>
    <b v="0"/>
    <x v="0"/>
    <x v="3"/>
    <s v="Ananya"/>
    <x v="0"/>
    <n v="4"/>
    <s v="Nov"/>
    <x v="2"/>
  </r>
  <r>
    <s v="ZAR-10005"/>
    <d v="2025-05-23T00:00:00"/>
    <x v="5"/>
    <d v="1899-12-30T14:40:00"/>
    <x v="6"/>
    <x v="0"/>
    <x v="0"/>
    <x v="0"/>
    <x v="3"/>
    <x v="0"/>
    <n v="3"/>
    <n v="8900"/>
    <x v="3"/>
    <n v="30"/>
    <s v="Valid"/>
    <s v="Match"/>
    <n v="26700"/>
    <n v="8010"/>
    <n v="18690"/>
    <n v="14477.28"/>
    <n v="4212.72"/>
    <b v="0"/>
    <x v="0"/>
    <x v="3"/>
    <s v="Karan"/>
    <x v="6"/>
    <n v="2.5"/>
    <s v="May"/>
    <x v="3"/>
  </r>
  <r>
    <s v="ZAR-10206"/>
    <d v="2025-01-18T00:00:00"/>
    <x v="2"/>
    <d v="1899-12-30T16:36:00"/>
    <x v="4"/>
    <x v="1"/>
    <x v="9"/>
    <x v="2"/>
    <x v="5"/>
    <x v="4"/>
    <n v="1"/>
    <n v="12000"/>
    <x v="1"/>
    <n v="10"/>
    <s v="Valid"/>
    <s v="Match"/>
    <n v="12000"/>
    <n v="1200"/>
    <n v="10800"/>
    <n v="6448.44"/>
    <n v="4351.5600000000004"/>
    <b v="0"/>
    <x v="0"/>
    <x v="1"/>
    <s v="Rohit"/>
    <x v="6"/>
    <n v="3"/>
    <s v="Jan"/>
    <x v="5"/>
  </r>
  <r>
    <s v="ZAR-10435"/>
    <d v="2025-12-18T00:00:00"/>
    <x v="2"/>
    <d v="1899-12-30T18:52:00"/>
    <x v="3"/>
    <x v="1"/>
    <x v="16"/>
    <x v="0"/>
    <x v="7"/>
    <x v="2"/>
    <n v="3"/>
    <n v="4350"/>
    <x v="1"/>
    <n v="5"/>
    <s v="Valid"/>
    <s v="Match"/>
    <n v="13050"/>
    <n v="652.5"/>
    <n v="12397.5"/>
    <n v="7534.41"/>
    <n v="4863.09"/>
    <b v="0"/>
    <x v="0"/>
    <x v="0"/>
    <s v="Sanjay"/>
    <x v="5"/>
    <n v="4"/>
    <s v="Dec"/>
    <x v="4"/>
  </r>
  <r>
    <s v="ZAR-10810"/>
    <d v="2025-06-08T00:00:00"/>
    <x v="2"/>
    <d v="1899-12-30T16:44:00"/>
    <x v="1"/>
    <x v="2"/>
    <x v="17"/>
    <x v="5"/>
    <x v="5"/>
    <x v="1"/>
    <s v="1"/>
    <n v="3400"/>
    <x v="2"/>
    <n v="0"/>
    <s v="Valid"/>
    <s v="Match"/>
    <n v="3400"/>
    <n v="0"/>
    <n v="3400"/>
    <n v="1909.96"/>
    <n v="1490.04"/>
    <b v="0"/>
    <x v="0"/>
    <x v="1"/>
    <s v="Ananya"/>
    <x v="2"/>
    <n v="4"/>
    <s v="Jun"/>
    <x v="0"/>
  </r>
  <r>
    <s v="ZAR-10988"/>
    <d v="2025-12-11T00:00:00"/>
    <x v="1"/>
    <d v="1899-12-30T02:09:00"/>
    <x v="1"/>
    <x v="0"/>
    <x v="1"/>
    <x v="6"/>
    <x v="2"/>
    <x v="5"/>
    <n v="1"/>
    <n v="2700"/>
    <x v="1"/>
    <n v="10"/>
    <s v="Valid"/>
    <s v="Match"/>
    <n v="2700"/>
    <n v="270"/>
    <n v="2430"/>
    <n v="1547.88"/>
    <n v="882.12"/>
    <b v="0"/>
    <x v="0"/>
    <x v="0"/>
    <s v="Priya"/>
    <x v="6"/>
    <n v="3.5"/>
    <s v="Dec"/>
    <x v="4"/>
  </r>
  <r>
    <s v="ZAR-10111"/>
    <d v="2025-06-17T00:00:00"/>
    <x v="2"/>
    <d v="1899-12-30T18:46:00"/>
    <x v="3"/>
    <x v="0"/>
    <x v="7"/>
    <x v="6"/>
    <x v="4"/>
    <x v="0"/>
    <n v="1"/>
    <n v="4400"/>
    <x v="3"/>
    <n v="30"/>
    <s v="Valid"/>
    <s v="Match"/>
    <n v="4400"/>
    <n v="1320"/>
    <n v="3080"/>
    <n v="3161.44"/>
    <n v="-81.44"/>
    <b v="0"/>
    <x v="0"/>
    <x v="0"/>
    <s v="Ananya"/>
    <x v="2"/>
    <n v="4"/>
    <s v="Jun"/>
    <x v="6"/>
  </r>
  <r>
    <s v="ZAR-10944"/>
    <d v="2025-02-02T00:00:00"/>
    <x v="5"/>
    <d v="1899-12-30T15:53:00"/>
    <x v="5"/>
    <x v="0"/>
    <x v="10"/>
    <x v="1"/>
    <x v="4"/>
    <x v="3"/>
    <n v="1"/>
    <n v="1150"/>
    <x v="0"/>
    <n v="15"/>
    <s v="Valid"/>
    <s v="Match"/>
    <n v="1150"/>
    <n v="172.5"/>
    <n v="977.5"/>
    <n v="747.1"/>
    <n v="230.4"/>
    <b v="0"/>
    <x v="0"/>
    <x v="4"/>
    <s v="Meera"/>
    <x v="5"/>
    <n v="4.5"/>
    <s v="Feb"/>
    <x v="0"/>
  </r>
  <r>
    <s v="ZAR-10079"/>
    <d v="2025-05-29T00:00:00"/>
    <x v="3"/>
    <d v="1899-12-30T10:07:00"/>
    <x v="2"/>
    <x v="0"/>
    <x v="1"/>
    <x v="1"/>
    <x v="3"/>
    <x v="0"/>
    <n v="1"/>
    <n v="1850"/>
    <x v="1"/>
    <n v="5"/>
    <s v="Valid"/>
    <s v="Match"/>
    <n v="1850"/>
    <n v="92.5"/>
    <n v="1757.5"/>
    <n v="1273.01"/>
    <n v="484.49"/>
    <b v="0"/>
    <x v="0"/>
    <x v="3"/>
    <s v="Neha"/>
    <x v="4"/>
    <n v="4"/>
    <s v="May"/>
    <x v="4"/>
  </r>
  <r>
    <s v="ZAR-10086"/>
    <d v="2025-10-13T00:00:00"/>
    <x v="4"/>
    <d v="1899-12-30T21:24:00"/>
    <x v="3"/>
    <x v="1"/>
    <x v="3"/>
    <x v="5"/>
    <x v="2"/>
    <x v="5"/>
    <n v="2"/>
    <n v="37000"/>
    <x v="2"/>
    <n v="0"/>
    <s v="Valid"/>
    <s v="Match"/>
    <n v="74000"/>
    <n v="0"/>
    <n v="74000"/>
    <n v="43847.37"/>
    <n v="30152.63"/>
    <b v="0"/>
    <x v="0"/>
    <x v="3"/>
    <s v="Karan"/>
    <x v="6"/>
    <n v="4"/>
    <s v="Oct"/>
    <x v="2"/>
  </r>
  <r>
    <s v="ZAR-10590"/>
    <d v="2025-05-27T00:00:00"/>
    <x v="0"/>
    <d v="1899-12-30T07:58:00"/>
    <x v="1"/>
    <x v="0"/>
    <x v="1"/>
    <x v="0"/>
    <x v="6"/>
    <x v="0"/>
    <n v="1"/>
    <n v="800"/>
    <x v="1"/>
    <n v="5"/>
    <s v="Valid"/>
    <s v="Match"/>
    <n v="800"/>
    <n v="40"/>
    <n v="760"/>
    <n v="478.18"/>
    <n v="281.82"/>
    <b v="0"/>
    <x v="0"/>
    <x v="2"/>
    <s v="Rohit"/>
    <x v="2"/>
    <n v="4"/>
    <s v="May"/>
    <x v="6"/>
  </r>
  <r>
    <s v="ZAR-10084"/>
    <d v="2025-02-16T00:00:00"/>
    <x v="2"/>
    <d v="1899-12-30T19:38:00"/>
    <x v="4"/>
    <x v="0"/>
    <x v="12"/>
    <x v="1"/>
    <x v="2"/>
    <x v="0"/>
    <n v="1"/>
    <n v="12900"/>
    <x v="3"/>
    <n v="30"/>
    <s v="Valid"/>
    <s v="Match"/>
    <n v="12900"/>
    <n v="3870"/>
    <n v="9030"/>
    <n v="9481.77"/>
    <n v="-451.77"/>
    <b v="1"/>
    <x v="4"/>
    <x v="4"/>
    <s v="Neha"/>
    <x v="1"/>
    <n v="3"/>
    <s v="Feb"/>
    <x v="0"/>
  </r>
  <r>
    <s v="ZAR-10256"/>
    <d v="2025-08-08T00:00:00"/>
    <x v="0"/>
    <d v="1899-12-30T05:00:00"/>
    <x v="3"/>
    <x v="1"/>
    <x v="18"/>
    <x v="7"/>
    <x v="7"/>
    <x v="0"/>
    <n v="2"/>
    <n v="2650"/>
    <x v="1"/>
    <n v="10"/>
    <s v="Valid"/>
    <s v="Match"/>
    <n v="5300"/>
    <n v="530"/>
    <n v="4770"/>
    <n v="3697.78"/>
    <n v="1072.22"/>
    <b v="0"/>
    <x v="0"/>
    <x v="1"/>
    <s v="Karan"/>
    <x v="4"/>
    <n v="4"/>
    <s v="Aug"/>
    <x v="3"/>
  </r>
  <r>
    <s v="ZAR-10926"/>
    <d v="2025-09-17T00:00:00"/>
    <x v="0"/>
    <d v="1899-12-30T05:00:00"/>
    <x v="2"/>
    <x v="0"/>
    <x v="2"/>
    <x v="4"/>
    <x v="8"/>
    <x v="0"/>
    <n v="1"/>
    <n v="117950"/>
    <x v="1"/>
    <n v="10"/>
    <s v="Valid"/>
    <s v="Match"/>
    <n v="117950"/>
    <n v="11795"/>
    <n v="106155"/>
    <n v="66354.59"/>
    <n v="39800.410000000003"/>
    <b v="0"/>
    <x v="0"/>
    <x v="3"/>
    <s v="Rohit"/>
    <x v="4"/>
    <s v="Not Rated"/>
    <s v="Sep"/>
    <x v="1"/>
  </r>
  <r>
    <s v="ZAR-10410"/>
    <d v="2025-09-21T00:00:00"/>
    <x v="0"/>
    <d v="1899-12-30T07:26:00"/>
    <x v="2"/>
    <x v="0"/>
    <x v="4"/>
    <x v="0"/>
    <x v="3"/>
    <x v="2"/>
    <n v="1"/>
    <n v="13850"/>
    <x v="0"/>
    <n v="15"/>
    <s v="Valid"/>
    <s v="Match"/>
    <n v="13850"/>
    <n v="2077.5"/>
    <n v="11772.5"/>
    <n v="8494.2099999999991"/>
    <n v="3278.29"/>
    <b v="0"/>
    <x v="0"/>
    <x v="0"/>
    <s v="Meera"/>
    <x v="3"/>
    <n v="3"/>
    <s v="Sep"/>
    <x v="0"/>
  </r>
  <r>
    <s v="ZAR-10655"/>
    <d v="2025-10-14T00:00:00"/>
    <x v="1"/>
    <d v="1899-12-30T00:49:00"/>
    <x v="5"/>
    <x v="1"/>
    <x v="9"/>
    <x v="7"/>
    <x v="1"/>
    <x v="0"/>
    <n v="1"/>
    <n v="8950"/>
    <x v="0"/>
    <n v="15"/>
    <s v="Valid"/>
    <s v="Match"/>
    <n v="8950"/>
    <n v="1342.5"/>
    <n v="7607.5"/>
    <n v="5562.27"/>
    <n v="2045.23"/>
    <b v="0"/>
    <x v="0"/>
    <x v="1"/>
    <s v="Neha"/>
    <x v="5"/>
    <n v="3.5"/>
    <s v="Oct"/>
    <x v="6"/>
  </r>
  <r>
    <s v="ZAR-10523"/>
    <d v="2025-07-30T00:00:00"/>
    <x v="3"/>
    <d v="1899-12-30T09:49:00"/>
    <x v="4"/>
    <x v="0"/>
    <x v="0"/>
    <x v="0"/>
    <x v="2"/>
    <x v="0"/>
    <n v="1"/>
    <n v="6500"/>
    <x v="2"/>
    <n v="0"/>
    <s v="Valid"/>
    <s v="Match"/>
    <n v="6500"/>
    <n v="0"/>
    <n v="6500"/>
    <n v="4646.21"/>
    <n v="1853.79"/>
    <b v="0"/>
    <x v="0"/>
    <x v="4"/>
    <s v="Ananya"/>
    <x v="0"/>
    <n v="4.5"/>
    <s v="Jul"/>
    <x v="1"/>
  </r>
  <r>
    <s v="ZAR-10922"/>
    <d v="2025-10-23T00:00:00"/>
    <x v="4"/>
    <d v="1899-12-30T22:53:00"/>
    <x v="1"/>
    <x v="0"/>
    <x v="10"/>
    <x v="2"/>
    <x v="5"/>
    <x v="0"/>
    <n v="4"/>
    <n v="6750"/>
    <x v="1"/>
    <n v="10"/>
    <s v="Valid"/>
    <s v="Match"/>
    <n v="27000"/>
    <n v="2700"/>
    <n v="24300"/>
    <n v="18711.13"/>
    <n v="5588.87"/>
    <b v="0"/>
    <x v="0"/>
    <x v="1"/>
    <s v="Meera"/>
    <x v="2"/>
    <n v="3.5"/>
    <s v="Oct"/>
    <x v="4"/>
  </r>
  <r>
    <s v="ZAR-10438"/>
    <d v="2025-03-16T00:00:00"/>
    <x v="1"/>
    <d v="1899-12-30T00:18:00"/>
    <x v="3"/>
    <x v="0"/>
    <x v="0"/>
    <x v="2"/>
    <x v="3"/>
    <x v="0"/>
    <n v="1"/>
    <n v="7050"/>
    <x v="1"/>
    <n v="5"/>
    <s v="Valid"/>
    <s v="Match"/>
    <n v="7050"/>
    <n v="352.5"/>
    <n v="6697.5"/>
    <n v="4299.62"/>
    <n v="2397.88"/>
    <b v="0"/>
    <x v="0"/>
    <x v="2"/>
    <s v="Ananya"/>
    <x v="1"/>
    <n v="4"/>
    <s v="Mar"/>
    <x v="0"/>
  </r>
  <r>
    <s v="ZAR-10007"/>
    <d v="2025-03-13T00:00:00"/>
    <x v="0"/>
    <d v="1899-12-30T07:47:00"/>
    <x v="4"/>
    <x v="0"/>
    <x v="10"/>
    <x v="3"/>
    <x v="5"/>
    <x v="0"/>
    <n v="3"/>
    <n v="3300"/>
    <x v="0"/>
    <n v="15"/>
    <s v="Valid"/>
    <s v="Match"/>
    <n v="9900"/>
    <n v="1485"/>
    <n v="8415"/>
    <n v="5459.17"/>
    <n v="2955.83"/>
    <b v="0"/>
    <x v="0"/>
    <x v="4"/>
    <s v="Rohit"/>
    <x v="6"/>
    <n v="4.5"/>
    <s v="Mar"/>
    <x v="4"/>
  </r>
  <r>
    <s v="ZAR-10406"/>
    <d v="2025-11-02T00:00:00"/>
    <x v="2"/>
    <d v="1899-12-30T16:48:00"/>
    <x v="3"/>
    <x v="2"/>
    <x v="8"/>
    <x v="0"/>
    <x v="3"/>
    <x v="0"/>
    <n v="2"/>
    <n v="2500"/>
    <x v="1"/>
    <n v="5"/>
    <s v="Valid"/>
    <s v="Match"/>
    <n v="5000"/>
    <n v="250"/>
    <n v="4750"/>
    <n v="3498.74"/>
    <n v="1251.26"/>
    <b v="0"/>
    <x v="0"/>
    <x v="1"/>
    <s v="Karan"/>
    <x v="6"/>
    <n v="3.5"/>
    <s v="Nov"/>
    <x v="0"/>
  </r>
  <r>
    <s v="ZAR-10469"/>
    <d v="2025-11-18T00:00:00"/>
    <x v="4"/>
    <d v="1899-12-30T21:34:00"/>
    <x v="6"/>
    <x v="0"/>
    <x v="12"/>
    <x v="0"/>
    <x v="0"/>
    <x v="1"/>
    <n v="2"/>
    <n v="14800"/>
    <x v="0"/>
    <n v="20"/>
    <s v="Valid"/>
    <s v="Match"/>
    <n v="29600"/>
    <n v="5920"/>
    <n v="23680"/>
    <n v="19075.169999999998"/>
    <n v="4604.83"/>
    <b v="0"/>
    <x v="0"/>
    <x v="0"/>
    <s v="Neha"/>
    <x v="4"/>
    <n v="5"/>
    <s v="Nov"/>
    <x v="6"/>
  </r>
  <r>
    <s v="ZAR-10099"/>
    <d v="2025-08-06T00:00:00"/>
    <x v="1"/>
    <d v="1899-12-30T02:27:00"/>
    <x v="4"/>
    <x v="0"/>
    <x v="10"/>
    <x v="5"/>
    <x v="0"/>
    <x v="3"/>
    <n v="2"/>
    <n v="3150"/>
    <x v="1"/>
    <n v="10"/>
    <s v="Valid"/>
    <s v="Match"/>
    <n v="6300"/>
    <n v="630"/>
    <n v="5670"/>
    <n v="4386.3900000000003"/>
    <n v="1283.6099999999999"/>
    <b v="0"/>
    <x v="0"/>
    <x v="2"/>
    <s v="Priya"/>
    <x v="4"/>
    <n v="4"/>
    <s v="Aug"/>
    <x v="1"/>
  </r>
  <r>
    <s v="ZAR-10561"/>
    <d v="2025-05-20T00:00:00"/>
    <x v="0"/>
    <d v="1899-12-30T04:55:00"/>
    <x v="6"/>
    <x v="0"/>
    <x v="7"/>
    <x v="3"/>
    <x v="5"/>
    <x v="0"/>
    <n v="2"/>
    <n v="800"/>
    <x v="1"/>
    <n v="10"/>
    <s v="Valid"/>
    <s v="Match"/>
    <n v="1600"/>
    <n v="160"/>
    <n v="1440"/>
    <n v="1152.05"/>
    <n v="287.95"/>
    <b v="0"/>
    <x v="0"/>
    <x v="2"/>
    <s v="Meera"/>
    <x v="2"/>
    <n v="3.5"/>
    <s v="May"/>
    <x v="6"/>
  </r>
  <r>
    <s v="ZAR-10361"/>
    <d v="2025-08-26T00:00:00"/>
    <x v="5"/>
    <d v="1899-12-30T12:30:00"/>
    <x v="3"/>
    <x v="1"/>
    <x v="3"/>
    <x v="3"/>
    <x v="2"/>
    <x v="0"/>
    <n v="2"/>
    <n v="31400"/>
    <x v="2"/>
    <n v="0"/>
    <s v="Valid"/>
    <s v="Match"/>
    <n v="62800"/>
    <n v="0"/>
    <n v="62800"/>
    <n v="33381.660000000003"/>
    <n v="29418.34"/>
    <b v="0"/>
    <x v="0"/>
    <x v="0"/>
    <s v="Priya"/>
    <x v="6"/>
    <n v="4"/>
    <s v="Aug"/>
    <x v="6"/>
  </r>
  <r>
    <s v="ZAR-10876"/>
    <d v="2025-04-16T00:00:00"/>
    <x v="0"/>
    <d v="1899-12-30T06:48:00"/>
    <x v="4"/>
    <x v="0"/>
    <x v="7"/>
    <x v="1"/>
    <x v="2"/>
    <x v="2"/>
    <n v="1"/>
    <n v="1400"/>
    <x v="0"/>
    <n v="15"/>
    <s v="Valid"/>
    <s v="Match"/>
    <n v="1400"/>
    <n v="210"/>
    <n v="1190"/>
    <n v="975.83"/>
    <n v="214.17"/>
    <b v="0"/>
    <x v="0"/>
    <x v="3"/>
    <s v="Meera"/>
    <x v="3"/>
    <n v="5"/>
    <s v="Apr"/>
    <x v="1"/>
  </r>
  <r>
    <s v="ZAR-10268"/>
    <d v="2025-06-29T00:00:00"/>
    <x v="2"/>
    <d v="1899-12-30T18:51:00"/>
    <x v="1"/>
    <x v="1"/>
    <x v="9"/>
    <x v="1"/>
    <x v="3"/>
    <x v="4"/>
    <n v="2"/>
    <n v="7200"/>
    <x v="3"/>
    <n v="30"/>
    <s v="Valid"/>
    <s v="Match"/>
    <n v="14400"/>
    <n v="4320"/>
    <n v="10080"/>
    <n v="9923.15"/>
    <n v="156.85"/>
    <b v="0"/>
    <x v="0"/>
    <x v="2"/>
    <s v="Priya"/>
    <x v="5"/>
    <n v="4"/>
    <s v="Jun"/>
    <x v="0"/>
  </r>
  <r>
    <s v="ZAR-10679"/>
    <d v="2025-06-22T00:00:00"/>
    <x v="3"/>
    <d v="1899-12-30T08:51:00"/>
    <x v="6"/>
    <x v="0"/>
    <x v="0"/>
    <x v="3"/>
    <x v="0"/>
    <x v="1"/>
    <n v="2"/>
    <n v="2050"/>
    <x v="2"/>
    <n v="0"/>
    <s v="Valid"/>
    <s v="Match"/>
    <n v="4100"/>
    <n v="0"/>
    <n v="4100"/>
    <n v="2952.87"/>
    <n v="1147.1300000000001"/>
    <b v="0"/>
    <x v="0"/>
    <x v="0"/>
    <s v="Meera"/>
    <x v="4"/>
    <n v="5"/>
    <s v="Jun"/>
    <x v="0"/>
  </r>
  <r>
    <s v="ZAR-10384"/>
    <d v="2025-01-07T00:00:00"/>
    <x v="4"/>
    <d v="1899-12-30T22:46:00"/>
    <x v="5"/>
    <x v="1"/>
    <x v="18"/>
    <x v="5"/>
    <x v="1"/>
    <x v="3"/>
    <n v="1"/>
    <n v="3450"/>
    <x v="1"/>
    <n v="5"/>
    <s v="Valid"/>
    <s v="Match"/>
    <n v="3450"/>
    <n v="172.5"/>
    <n v="3277.5"/>
    <n v="1857.07"/>
    <n v="1420.43"/>
    <b v="0"/>
    <x v="0"/>
    <x v="2"/>
    <s v="Sanjay"/>
    <x v="4"/>
    <n v="3.5"/>
    <s v="Jan"/>
    <x v="6"/>
  </r>
  <r>
    <s v="ZAR-10695"/>
    <d v="2025-06-27T00:00:00"/>
    <x v="3"/>
    <d v="1899-12-30T09:10:00"/>
    <x v="2"/>
    <x v="2"/>
    <x v="17"/>
    <x v="6"/>
    <x v="5"/>
    <x v="0"/>
    <n v="1"/>
    <n v="1900"/>
    <x v="0"/>
    <n v="20"/>
    <s v="Valid"/>
    <s v="Match"/>
    <n v="1900"/>
    <n v="380"/>
    <n v="1520"/>
    <n v="1119.4100000000001"/>
    <n v="400.59"/>
    <b v="0"/>
    <x v="0"/>
    <x v="4"/>
    <s v="Neha"/>
    <x v="2"/>
    <n v="3.5"/>
    <s v="Jun"/>
    <x v="3"/>
  </r>
  <r>
    <s v="ZAR-10413"/>
    <d v="2025-08-06T00:00:00"/>
    <x v="5"/>
    <d v="1899-12-30T15:17:00"/>
    <x v="6"/>
    <x v="2"/>
    <x v="14"/>
    <x v="3"/>
    <x v="1"/>
    <x v="2"/>
    <n v="3"/>
    <n v="1400"/>
    <x v="0"/>
    <n v="15"/>
    <s v="Valid"/>
    <s v="Match"/>
    <n v="4200"/>
    <n v="630"/>
    <n v="3570"/>
    <n v="2297.4299999999998"/>
    <n v="1272.57"/>
    <b v="0"/>
    <x v="0"/>
    <x v="4"/>
    <s v="Sanjay"/>
    <x v="0"/>
    <n v="5"/>
    <s v="Aug"/>
    <x v="1"/>
  </r>
  <r>
    <s v="ZAR-10889"/>
    <d v="2025-12-15T00:00:00"/>
    <x v="1"/>
    <d v="1899-12-30T02:04:00"/>
    <x v="3"/>
    <x v="2"/>
    <x v="17"/>
    <x v="3"/>
    <x v="1"/>
    <x v="0"/>
    <n v="1"/>
    <n v="750"/>
    <x v="2"/>
    <n v="0"/>
    <s v="Valid"/>
    <s v="Match"/>
    <n v="750"/>
    <n v="0"/>
    <n v="750"/>
    <n v="424.17"/>
    <n v="325.83"/>
    <b v="0"/>
    <x v="0"/>
    <x v="2"/>
    <s v="Karan"/>
    <x v="5"/>
    <n v="5"/>
    <s v="Dec"/>
    <x v="2"/>
  </r>
  <r>
    <s v="ZAR-10120"/>
    <d v="2025-03-16T00:00:00"/>
    <x v="3"/>
    <d v="1899-12-30T09:02:00"/>
    <x v="3"/>
    <x v="1"/>
    <x v="9"/>
    <x v="6"/>
    <x v="7"/>
    <x v="3"/>
    <n v="1"/>
    <n v="16550"/>
    <x v="1"/>
    <n v="10"/>
    <s v="Valid"/>
    <s v="Match"/>
    <n v="16550"/>
    <n v="1655"/>
    <n v="14895"/>
    <n v="12081.73"/>
    <n v="2813.27"/>
    <b v="0"/>
    <x v="0"/>
    <x v="0"/>
    <s v="Rohit"/>
    <x v="6"/>
    <n v="5"/>
    <s v="Mar"/>
    <x v="0"/>
  </r>
  <r>
    <s v="ZAR-10432"/>
    <d v="2025-11-20T00:00:00"/>
    <x v="3"/>
    <d v="1899-12-30T10:56:00"/>
    <x v="6"/>
    <x v="0"/>
    <x v="1"/>
    <x v="5"/>
    <x v="6"/>
    <x v="2"/>
    <n v="3"/>
    <n v="1850"/>
    <x v="1"/>
    <n v="5"/>
    <s v="Valid"/>
    <s v="Match"/>
    <n v="5550"/>
    <n v="277.5"/>
    <n v="5272.5"/>
    <n v="4004.3"/>
    <n v="1268.2"/>
    <b v="0"/>
    <x v="0"/>
    <x v="0"/>
    <s v="Sanjay"/>
    <x v="4"/>
    <n v="4"/>
    <s v="Nov"/>
    <x v="4"/>
  </r>
  <r>
    <s v="ZAR-10252"/>
    <d v="2025-12-05T00:00:00"/>
    <x v="1"/>
    <d v="1899-12-30T00:30:00"/>
    <x v="0"/>
    <x v="0"/>
    <x v="0"/>
    <x v="6"/>
    <x v="5"/>
    <x v="5"/>
    <n v="1"/>
    <n v="6150"/>
    <x v="0"/>
    <n v="15"/>
    <s v="Valid"/>
    <s v="Match"/>
    <n v="6150"/>
    <n v="922.5"/>
    <n v="5227.5"/>
    <n v="3714.05"/>
    <n v="1513.45"/>
    <b v="0"/>
    <x v="0"/>
    <x v="1"/>
    <s v="Priya"/>
    <x v="4"/>
    <n v="4.5"/>
    <s v="Dec"/>
    <x v="3"/>
  </r>
  <r>
    <s v="ZAR-10344"/>
    <d v="2025-08-07T00:00:00"/>
    <x v="5"/>
    <d v="1899-12-30T12:11:00"/>
    <x v="1"/>
    <x v="0"/>
    <x v="10"/>
    <x v="2"/>
    <x v="2"/>
    <x v="1"/>
    <n v="1"/>
    <n v="6400"/>
    <x v="0"/>
    <n v="15"/>
    <s v="Valid"/>
    <s v="Match"/>
    <n v="6400"/>
    <n v="960"/>
    <n v="5440"/>
    <n v="3403.75"/>
    <n v="2036.25"/>
    <b v="0"/>
    <x v="0"/>
    <x v="3"/>
    <s v="Priya"/>
    <x v="3"/>
    <n v="5"/>
    <s v="Aug"/>
    <x v="4"/>
  </r>
  <r>
    <s v="ZAR-10011"/>
    <d v="2025-03-06T00:00:00"/>
    <x v="0"/>
    <d v="1899-12-30T04:42:00"/>
    <x v="5"/>
    <x v="2"/>
    <x v="11"/>
    <x v="1"/>
    <x v="7"/>
    <x v="3"/>
    <n v="2"/>
    <n v="9450"/>
    <x v="3"/>
    <n v="30"/>
    <s v="Valid"/>
    <s v="Match"/>
    <n v="18900"/>
    <n v="5670"/>
    <n v="13230"/>
    <n v="12042.99"/>
    <n v="1187.01"/>
    <b v="0"/>
    <x v="0"/>
    <x v="4"/>
    <s v="Sanjay"/>
    <x v="4"/>
    <s v="Not Rated"/>
    <s v="Mar"/>
    <x v="4"/>
  </r>
  <r>
    <s v="ZAR-10198"/>
    <d v="2025-07-20T00:00:00"/>
    <x v="2"/>
    <d v="1899-12-30T18:02:00"/>
    <x v="0"/>
    <x v="1"/>
    <x v="5"/>
    <x v="2"/>
    <x v="5"/>
    <x v="1"/>
    <n v="1"/>
    <n v="2650"/>
    <x v="3"/>
    <n v="25"/>
    <s v="Valid"/>
    <s v="Match"/>
    <n v="2650"/>
    <n v="662.5"/>
    <n v="1987.5"/>
    <n v="1931.09"/>
    <n v="56.41"/>
    <b v="0"/>
    <x v="0"/>
    <x v="1"/>
    <s v="Priya"/>
    <x v="4"/>
    <n v="5"/>
    <s v="Jul"/>
    <x v="0"/>
  </r>
  <r>
    <s v="ZAR-10987"/>
    <d v="2025-01-03T00:00:00"/>
    <x v="3"/>
    <d v="1899-12-30T08:40:00"/>
    <x v="1"/>
    <x v="2"/>
    <x v="8"/>
    <x v="2"/>
    <x v="5"/>
    <x v="0"/>
    <n v="1"/>
    <n v="2150"/>
    <x v="4"/>
    <s v="20"/>
    <s v="Invalid Discount"/>
    <s v="Match"/>
    <n v="2150"/>
    <n v="430"/>
    <n v="1720"/>
    <n v="1550.91"/>
    <n v="169.09"/>
    <b v="0"/>
    <x v="0"/>
    <x v="0"/>
    <s v="Rohit"/>
    <x v="5"/>
    <n v="4.5"/>
    <s v="Jan"/>
    <x v="3"/>
  </r>
  <r>
    <s v="ZAR-10083"/>
    <d v="2025-08-29T00:00:00"/>
    <x v="5"/>
    <d v="1899-12-30T14:40:00"/>
    <x v="3"/>
    <x v="0"/>
    <x v="12"/>
    <x v="5"/>
    <x v="0"/>
    <x v="2"/>
    <n v="2"/>
    <n v="13300"/>
    <x v="1"/>
    <n v="5"/>
    <s v="Valid"/>
    <s v="Match"/>
    <n v="26600"/>
    <n v="1330"/>
    <n v="25270"/>
    <n v="16405.490000000002"/>
    <n v="8864.51"/>
    <b v="0"/>
    <x v="0"/>
    <x v="4"/>
    <s v="Sanjay"/>
    <x v="1"/>
    <n v="4.5"/>
    <s v="Aug"/>
    <x v="3"/>
  </r>
  <r>
    <s v="ZAR-10915"/>
    <d v="2025-12-18T00:00:00"/>
    <x v="2"/>
    <d v="1899-12-30T18:15:00"/>
    <x v="1"/>
    <x v="0"/>
    <x v="0"/>
    <x v="7"/>
    <x v="6"/>
    <x v="1"/>
    <n v="1"/>
    <n v="8250"/>
    <x v="0"/>
    <n v="15"/>
    <s v="Valid"/>
    <s v="Match"/>
    <n v="8250"/>
    <n v="1237.5"/>
    <n v="7012.5"/>
    <n v="6033.59"/>
    <n v="978.91"/>
    <b v="0"/>
    <x v="0"/>
    <x v="4"/>
    <s v="Sanjay"/>
    <x v="2"/>
    <n v="4"/>
    <s v="Dec"/>
    <x v="4"/>
  </r>
  <r>
    <s v="ZAR-10480"/>
    <d v="2025-06-12T00:00:00"/>
    <x v="5"/>
    <d v="1899-12-30T14:35:00"/>
    <x v="5"/>
    <x v="0"/>
    <x v="10"/>
    <x v="4"/>
    <x v="2"/>
    <x v="0"/>
    <n v="1"/>
    <n v="4000"/>
    <x v="2"/>
    <n v="0"/>
    <s v="Valid"/>
    <s v="Match"/>
    <n v="4000"/>
    <n v="0"/>
    <n v="4000"/>
    <n v="2316.9699999999998"/>
    <n v="1683.03"/>
    <b v="0"/>
    <x v="0"/>
    <x v="4"/>
    <s v="Neha"/>
    <x v="5"/>
    <n v="3.5"/>
    <s v="Jun"/>
    <x v="4"/>
  </r>
  <r>
    <s v="ZAR-10698"/>
    <d v="2025-02-08T00:00:00"/>
    <x v="3"/>
    <d v="1899-12-30T10:10:00"/>
    <x v="4"/>
    <x v="2"/>
    <x v="11"/>
    <x v="4"/>
    <x v="3"/>
    <x v="0"/>
    <n v="2"/>
    <n v="11700"/>
    <x v="3"/>
    <n v="25"/>
    <s v="Valid"/>
    <s v="Match"/>
    <n v="23400"/>
    <n v="5850"/>
    <n v="17550"/>
    <n v="16252.01"/>
    <n v="1297.99"/>
    <b v="0"/>
    <x v="0"/>
    <x v="0"/>
    <s v="Ananya"/>
    <x v="4"/>
    <n v="5"/>
    <s v="Feb"/>
    <x v="5"/>
  </r>
  <r>
    <s v="ZAR-10241"/>
    <d v="2025-12-08T00:00:00"/>
    <x v="4"/>
    <d v="1899-12-30T22:26:00"/>
    <x v="1"/>
    <x v="1"/>
    <x v="18"/>
    <x v="4"/>
    <x v="1"/>
    <x v="2"/>
    <n v="1"/>
    <n v="1150"/>
    <x v="0"/>
    <n v="15"/>
    <s v="Valid"/>
    <s v="Match"/>
    <n v="1150"/>
    <n v="172.5"/>
    <n v="977.5"/>
    <n v="745.45"/>
    <n v="232.05"/>
    <b v="0"/>
    <x v="0"/>
    <x v="3"/>
    <s v="Ananya"/>
    <x v="2"/>
    <n v="4"/>
    <s v="Dec"/>
    <x v="2"/>
  </r>
  <r>
    <s v="ZAR-10294"/>
    <d v="2025-06-09T00:00:00"/>
    <x v="5"/>
    <d v="1899-12-30T15:23:00"/>
    <x v="5"/>
    <x v="1"/>
    <x v="5"/>
    <x v="4"/>
    <x v="3"/>
    <x v="7"/>
    <n v="1"/>
    <n v="2100"/>
    <x v="1"/>
    <n v="5"/>
    <s v="Valid"/>
    <s v="Match"/>
    <n v="2100"/>
    <n v="105"/>
    <n v="1995"/>
    <n v="1249.96"/>
    <n v="745.04"/>
    <b v="0"/>
    <x v="0"/>
    <x v="4"/>
    <s v="Meera"/>
    <x v="1"/>
    <n v="3.5"/>
    <s v="Jun"/>
    <x v="2"/>
  </r>
  <r>
    <s v="ZAR-10213"/>
    <d v="2025-04-01T00:00:00"/>
    <x v="5"/>
    <d v="1899-12-30T15:37:00"/>
    <x v="4"/>
    <x v="0"/>
    <x v="4"/>
    <x v="5"/>
    <x v="5"/>
    <x v="5"/>
    <n v="1"/>
    <n v="32900"/>
    <x v="0"/>
    <n v="15"/>
    <s v="Valid"/>
    <s v="Match"/>
    <n v="32900"/>
    <n v="4935"/>
    <n v="27965"/>
    <n v="21407.69"/>
    <n v="6557.31"/>
    <b v="0"/>
    <x v="0"/>
    <x v="4"/>
    <s v="Ananya"/>
    <x v="1"/>
    <n v="5"/>
    <s v="Apr"/>
    <x v="6"/>
  </r>
  <r>
    <s v="ZAR-10724"/>
    <d v="2025-03-20T00:00:00"/>
    <x v="4"/>
    <d v="1899-12-30T22:47:00"/>
    <x v="0"/>
    <x v="2"/>
    <x v="15"/>
    <x v="4"/>
    <x v="3"/>
    <x v="4"/>
    <n v="1"/>
    <n v="5200"/>
    <x v="2"/>
    <n v="0"/>
    <s v="Valid"/>
    <s v="Match"/>
    <n v="5200"/>
    <n v="0"/>
    <n v="5200"/>
    <n v="3405.18"/>
    <n v="1794.82"/>
    <b v="0"/>
    <x v="0"/>
    <x v="0"/>
    <s v="Karan"/>
    <x v="4"/>
    <n v="3"/>
    <s v="Mar"/>
    <x v="4"/>
  </r>
  <r>
    <s v="ZAR-10363"/>
    <d v="2025-05-04T00:00:00"/>
    <x v="4"/>
    <d v="1899-12-30T21:37:00"/>
    <x v="6"/>
    <x v="1"/>
    <x v="16"/>
    <x v="4"/>
    <x v="5"/>
    <x v="0"/>
    <n v="1"/>
    <n v="5550"/>
    <x v="3"/>
    <n v="30"/>
    <s v="Valid"/>
    <s v="Match"/>
    <n v="5550"/>
    <n v="1665"/>
    <n v="3885"/>
    <n v="3710.53"/>
    <n v="174.47"/>
    <b v="0"/>
    <x v="0"/>
    <x v="2"/>
    <s v="Ananya"/>
    <x v="1"/>
    <s v="Not Rated"/>
    <s v="May"/>
    <x v="0"/>
  </r>
  <r>
    <s v="ZAR-10453"/>
    <d v="2025-11-05T00:00:00"/>
    <x v="5"/>
    <d v="1899-12-30T15:19:00"/>
    <x v="4"/>
    <x v="0"/>
    <x v="10"/>
    <x v="3"/>
    <x v="2"/>
    <x v="4"/>
    <n v="1"/>
    <n v="3700"/>
    <x v="3"/>
    <n v="25"/>
    <s v="Valid"/>
    <s v="Match"/>
    <n v="3700"/>
    <n v="925"/>
    <n v="2775"/>
    <n v="2710.16"/>
    <n v="64.84"/>
    <b v="0"/>
    <x v="0"/>
    <x v="4"/>
    <s v="Ananya"/>
    <x v="6"/>
    <n v="5"/>
    <s v="Nov"/>
    <x v="1"/>
  </r>
  <r>
    <s v="ZAR-10229"/>
    <d v="2025-11-15T00:00:00"/>
    <x v="3"/>
    <d v="1899-12-30T08:56:00"/>
    <x v="1"/>
    <x v="0"/>
    <x v="2"/>
    <x v="3"/>
    <x v="2"/>
    <x v="0"/>
    <n v="1"/>
    <n v="19050"/>
    <x v="1"/>
    <n v="10"/>
    <s v="Valid"/>
    <s v="Match"/>
    <n v="19050"/>
    <n v="1905"/>
    <n v="17145"/>
    <n v="13654.97"/>
    <n v="3490.03"/>
    <b v="0"/>
    <x v="0"/>
    <x v="0"/>
    <s v="Sanjay"/>
    <x v="3"/>
    <n v="3"/>
    <s v="Nov"/>
    <x v="5"/>
  </r>
  <r>
    <s v="ZAR-10909"/>
    <d v="2025-05-23T00:00:00"/>
    <x v="1"/>
    <d v="1899-12-30T03:35:00"/>
    <x v="4"/>
    <x v="0"/>
    <x v="12"/>
    <x v="3"/>
    <x v="2"/>
    <x v="0"/>
    <n v="5"/>
    <n v="12000"/>
    <x v="2"/>
    <n v="0"/>
    <s v="Valid"/>
    <s v="Match"/>
    <n v="60000"/>
    <n v="0"/>
    <n v="60000"/>
    <n v="42382.71"/>
    <n v="17617.29"/>
    <b v="0"/>
    <x v="0"/>
    <x v="1"/>
    <s v="Ananya"/>
    <x v="4"/>
    <n v="5"/>
    <s v="May"/>
    <x v="3"/>
  </r>
  <r>
    <s v="ZAR-10364"/>
    <d v="2025-04-09T00:00:00"/>
    <x v="1"/>
    <d v="1899-12-30T01:01:00"/>
    <x v="4"/>
    <x v="0"/>
    <x v="4"/>
    <x v="5"/>
    <x v="2"/>
    <x v="0"/>
    <n v="1"/>
    <n v="33050"/>
    <x v="3"/>
    <n v="25"/>
    <s v="Valid"/>
    <s v="Match"/>
    <n v="33050"/>
    <n v="8262.5"/>
    <n v="24787.5"/>
    <n v="19245.849999999999"/>
    <n v="5541.65"/>
    <b v="0"/>
    <x v="0"/>
    <x v="2"/>
    <s v="Meera"/>
    <x v="5"/>
    <n v="4.5"/>
    <s v="Apr"/>
    <x v="1"/>
  </r>
  <r>
    <s v="ZAR-10804"/>
    <d v="2025-07-02T00:00:00"/>
    <x v="1"/>
    <d v="1899-12-30T02:00:00"/>
    <x v="2"/>
    <x v="1"/>
    <x v="16"/>
    <x v="6"/>
    <x v="7"/>
    <x v="2"/>
    <n v="1"/>
    <n v="5450"/>
    <x v="3"/>
    <n v="25"/>
    <s v="Valid"/>
    <s v="Match"/>
    <n v="5450"/>
    <n v="1362.5"/>
    <n v="4087.5"/>
    <n v="3836.72"/>
    <n v="250.78"/>
    <b v="0"/>
    <x v="0"/>
    <x v="2"/>
    <s v="Meera"/>
    <x v="4"/>
    <n v="3.5"/>
    <s v="Jul"/>
    <x v="1"/>
  </r>
  <r>
    <s v="ZAR-10659"/>
    <d v="2025-04-05T00:00:00"/>
    <x v="0"/>
    <d v="1899-12-30T07:53:00"/>
    <x v="6"/>
    <x v="0"/>
    <x v="10"/>
    <x v="5"/>
    <x v="2"/>
    <x v="0"/>
    <n v="3"/>
    <n v="3300"/>
    <x v="1"/>
    <n v="10"/>
    <s v="Valid"/>
    <s v="Match"/>
    <n v="9900"/>
    <n v="990"/>
    <n v="8910"/>
    <n v="6029.13"/>
    <n v="2880.87"/>
    <b v="0"/>
    <x v="0"/>
    <x v="0"/>
    <s v="Rohit"/>
    <x v="4"/>
    <n v="4"/>
    <s v="Apr"/>
    <x v="5"/>
  </r>
  <r>
    <s v="ZAR-10709"/>
    <d v="2025-07-28T00:00:00"/>
    <x v="2"/>
    <d v="1899-12-30T17:17:00"/>
    <x v="5"/>
    <x v="2"/>
    <x v="15"/>
    <x v="4"/>
    <x v="2"/>
    <x v="0"/>
    <n v="1"/>
    <n v="3800"/>
    <x v="2"/>
    <n v="0"/>
    <s v="Valid"/>
    <s v="Match"/>
    <n v="3800"/>
    <n v="0"/>
    <n v="3800"/>
    <n v="2161.8000000000002"/>
    <n v="1638.2"/>
    <b v="0"/>
    <x v="0"/>
    <x v="0"/>
    <s v="Karan"/>
    <x v="1"/>
    <n v="4"/>
    <s v="Jul"/>
    <x v="2"/>
  </r>
  <r>
    <s v="ZAR-10646"/>
    <d v="2025-08-31T00:00:00"/>
    <x v="2"/>
    <d v="1899-12-30T18:00:00"/>
    <x v="5"/>
    <x v="2"/>
    <x v="11"/>
    <x v="6"/>
    <x v="3"/>
    <x v="4"/>
    <n v="2"/>
    <n v="4100"/>
    <x v="2"/>
    <n v="0"/>
    <s v="Valid"/>
    <s v="Match"/>
    <n v="8200"/>
    <n v="0"/>
    <n v="8200"/>
    <n v="5335.59"/>
    <n v="2864.41"/>
    <b v="0"/>
    <x v="0"/>
    <x v="1"/>
    <s v="Neha"/>
    <x v="5"/>
    <n v="3"/>
    <s v="Aug"/>
    <x v="0"/>
  </r>
  <r>
    <s v="ZAR-10583"/>
    <d v="2025-05-30T00:00:00"/>
    <x v="1"/>
    <d v="1899-12-30T01:40:00"/>
    <x v="0"/>
    <x v="0"/>
    <x v="0"/>
    <x v="4"/>
    <x v="3"/>
    <x v="3"/>
    <n v="1"/>
    <n v="5800"/>
    <x v="2"/>
    <n v="0"/>
    <s v="Valid"/>
    <s v="Match"/>
    <n v="5800"/>
    <n v="0"/>
    <n v="5800"/>
    <n v="3696.83"/>
    <n v="2103.17"/>
    <b v="0"/>
    <x v="0"/>
    <x v="1"/>
    <s v="Meera"/>
    <x v="6"/>
    <n v="4"/>
    <s v="May"/>
    <x v="3"/>
  </r>
  <r>
    <s v="ZAR-10779"/>
    <d v="2025-10-22T00:00:00"/>
    <x v="3"/>
    <d v="1899-12-30T10:40:00"/>
    <x v="2"/>
    <x v="2"/>
    <x v="15"/>
    <x v="0"/>
    <x v="1"/>
    <x v="2"/>
    <n v="1"/>
    <n v="5450"/>
    <x v="0"/>
    <n v="20"/>
    <s v="Valid"/>
    <s v="Match"/>
    <n v="5450"/>
    <n v="1090"/>
    <n v="4360"/>
    <n v="3423.92"/>
    <n v="936.08"/>
    <b v="0"/>
    <x v="0"/>
    <x v="3"/>
    <s v="Meera"/>
    <x v="2"/>
    <n v="4.5"/>
    <s v="Oct"/>
    <x v="1"/>
  </r>
  <r>
    <s v="ZAR-10372"/>
    <d v="2025-08-23T00:00:00"/>
    <x v="4"/>
    <d v="1899-12-30T21:55:00"/>
    <x v="6"/>
    <x v="1"/>
    <x v="3"/>
    <x v="2"/>
    <x v="2"/>
    <x v="0"/>
    <n v="1"/>
    <n v="22400"/>
    <x v="3"/>
    <n v="25"/>
    <s v="Valid"/>
    <s v="Match"/>
    <n v="22400"/>
    <n v="5600"/>
    <n v="16800"/>
    <n v="14936.54"/>
    <n v="1863.46"/>
    <b v="0"/>
    <x v="0"/>
    <x v="2"/>
    <s v="Sanjay"/>
    <x v="5"/>
    <n v="3"/>
    <s v="Aug"/>
    <x v="5"/>
  </r>
  <r>
    <s v="ZAR-10009"/>
    <d v="2025-06-24T00:00:00"/>
    <x v="1"/>
    <d v="1899-12-30T03:18:00"/>
    <x v="5"/>
    <x v="1"/>
    <x v="3"/>
    <x v="0"/>
    <x v="8"/>
    <x v="0"/>
    <n v="1"/>
    <n v="32900"/>
    <x v="1"/>
    <n v="10"/>
    <s v="Valid"/>
    <s v="Match"/>
    <n v="32900"/>
    <n v="3290"/>
    <n v="29610"/>
    <n v="22671.119999999999"/>
    <n v="6938.88"/>
    <b v="0"/>
    <x v="0"/>
    <x v="3"/>
    <s v="Ananya"/>
    <x v="4"/>
    <n v="4.5"/>
    <s v="Jun"/>
    <x v="6"/>
  </r>
  <r>
    <s v="ZAR-10157"/>
    <d v="2025-12-20T00:00:00"/>
    <x v="2"/>
    <d v="1899-12-30T16:09:00"/>
    <x v="3"/>
    <x v="0"/>
    <x v="1"/>
    <x v="5"/>
    <x v="0"/>
    <x v="3"/>
    <n v="1"/>
    <n v="2400"/>
    <x v="3"/>
    <n v="30"/>
    <s v="Valid"/>
    <s v="Match"/>
    <n v="2400"/>
    <n v="720"/>
    <n v="1680"/>
    <n v="1606.81"/>
    <n v="73.19"/>
    <b v="0"/>
    <x v="0"/>
    <x v="2"/>
    <s v="Meera"/>
    <x v="4"/>
    <n v="4"/>
    <s v="Dec"/>
    <x v="5"/>
  </r>
  <r>
    <s v="ZAR-10545"/>
    <d v="2025-08-12T00:00:00"/>
    <x v="0"/>
    <d v="1899-12-30T07:14:00"/>
    <x v="3"/>
    <x v="1"/>
    <x v="18"/>
    <x v="1"/>
    <x v="3"/>
    <x v="0"/>
    <n v="2"/>
    <n v="2000"/>
    <x v="0"/>
    <n v="20"/>
    <s v="Valid"/>
    <s v="Match"/>
    <n v="4000"/>
    <n v="800"/>
    <n v="3200"/>
    <n v="2930.3"/>
    <n v="269.7"/>
    <b v="0"/>
    <x v="0"/>
    <x v="2"/>
    <s v="Neha"/>
    <x v="3"/>
    <n v="4"/>
    <s v="Aug"/>
    <x v="6"/>
  </r>
  <r>
    <s v="ZAR-10444"/>
    <d v="2025-10-16T00:00:00"/>
    <x v="4"/>
    <d v="1899-12-30T21:37:00"/>
    <x v="0"/>
    <x v="0"/>
    <x v="0"/>
    <x v="0"/>
    <x v="4"/>
    <x v="1"/>
    <n v="1"/>
    <n v="3100"/>
    <x v="0"/>
    <n v="20"/>
    <s v="Valid"/>
    <s v="Match"/>
    <n v="3100"/>
    <n v="620"/>
    <n v="2480"/>
    <n v="2172.9899999999998"/>
    <n v="307.01"/>
    <b v="0"/>
    <x v="0"/>
    <x v="0"/>
    <s v="Ananya"/>
    <x v="6"/>
    <n v="4.5"/>
    <s v="Oct"/>
    <x v="4"/>
  </r>
  <r>
    <s v="ZAR-10824"/>
    <d v="2025-11-05T00:00:00"/>
    <x v="0"/>
    <d v="1899-12-30T04:39:00"/>
    <x v="3"/>
    <x v="0"/>
    <x v="6"/>
    <x v="2"/>
    <x v="4"/>
    <x v="3"/>
    <n v="1"/>
    <n v="21400"/>
    <x v="2"/>
    <n v="0"/>
    <s v="Valid"/>
    <s v="Match"/>
    <n v="21400"/>
    <n v="0"/>
    <n v="21400"/>
    <n v="13470.94"/>
    <n v="7929.06"/>
    <b v="0"/>
    <x v="0"/>
    <x v="2"/>
    <s v="Karan"/>
    <x v="5"/>
    <n v="4"/>
    <s v="Nov"/>
    <x v="1"/>
  </r>
  <r>
    <s v="ZAR-10400"/>
    <d v="2025-01-22T00:00:00"/>
    <x v="3"/>
    <d v="1899-12-30T09:53:00"/>
    <x v="4"/>
    <x v="1"/>
    <x v="5"/>
    <x v="4"/>
    <x v="7"/>
    <x v="0"/>
    <n v="3"/>
    <n v="2800"/>
    <x v="1"/>
    <n v="10"/>
    <s v="Valid"/>
    <s v="Match"/>
    <n v="8400"/>
    <n v="840"/>
    <n v="7560"/>
    <n v="5391.55"/>
    <n v="2168.4499999999998"/>
    <b v="0"/>
    <x v="0"/>
    <x v="2"/>
    <s v="Rohit"/>
    <x v="3"/>
    <n v="3.5"/>
    <s v="Jan"/>
    <x v="1"/>
  </r>
  <r>
    <s v="ZAR-10785"/>
    <d v="2025-07-04T00:00:00"/>
    <x v="5"/>
    <d v="1899-12-30T15:16:00"/>
    <x v="4"/>
    <x v="0"/>
    <x v="12"/>
    <x v="3"/>
    <x v="6"/>
    <x v="0"/>
    <n v="1"/>
    <n v="7700"/>
    <x v="2"/>
    <n v="0"/>
    <s v="Valid"/>
    <s v="Match"/>
    <n v="7700"/>
    <n v="0"/>
    <n v="7700"/>
    <n v="5358.85"/>
    <n v="2341.15"/>
    <b v="0"/>
    <x v="0"/>
    <x v="0"/>
    <s v="Meera"/>
    <x v="2"/>
    <n v="4"/>
    <s v="Jul"/>
    <x v="3"/>
  </r>
  <r>
    <s v="ZAR-10570"/>
    <d v="2025-09-07T00:00:00"/>
    <x v="1"/>
    <d v="1899-12-30T00:09:00"/>
    <x v="6"/>
    <x v="0"/>
    <x v="4"/>
    <x v="6"/>
    <x v="3"/>
    <x v="7"/>
    <n v="3"/>
    <n v="27100"/>
    <x v="0"/>
    <n v="15"/>
    <s v="Valid"/>
    <s v="Match"/>
    <n v="81300"/>
    <n v="12195"/>
    <n v="69105"/>
    <n v="44491.05"/>
    <n v="24613.95"/>
    <b v="0"/>
    <x v="0"/>
    <x v="4"/>
    <s v="Sanjay"/>
    <x v="6"/>
    <n v="4"/>
    <s v="Sep"/>
    <x v="0"/>
  </r>
  <r>
    <s v="ZAR-10593"/>
    <d v="2025-05-23T00:00:00"/>
    <x v="0"/>
    <d v="1899-12-30T04:05:00"/>
    <x v="3"/>
    <x v="0"/>
    <x v="10"/>
    <x v="7"/>
    <x v="5"/>
    <x v="3"/>
    <n v="1"/>
    <n v="5850"/>
    <x v="0"/>
    <n v="15"/>
    <s v="Valid"/>
    <s v="Match"/>
    <n v="5850"/>
    <n v="877.5"/>
    <n v="4972.5"/>
    <n v="4276.99"/>
    <n v="695.51"/>
    <b v="0"/>
    <x v="0"/>
    <x v="0"/>
    <s v="Sanjay"/>
    <x v="1"/>
    <n v="4"/>
    <s v="May"/>
    <x v="3"/>
  </r>
  <r>
    <s v="ZAR-10582"/>
    <d v="2025-10-20T00:00:00"/>
    <x v="0"/>
    <d v="1899-12-30T06:37:00"/>
    <x v="1"/>
    <x v="0"/>
    <x v="7"/>
    <x v="6"/>
    <x v="4"/>
    <x v="0"/>
    <n v="1"/>
    <n v="2300"/>
    <x v="1"/>
    <n v="5"/>
    <s v="Valid"/>
    <s v="Match"/>
    <n v="2300"/>
    <n v="115"/>
    <n v="2185"/>
    <n v="1197.82"/>
    <n v="987.18"/>
    <b v="0"/>
    <x v="0"/>
    <x v="4"/>
    <s v="Meera"/>
    <x v="6"/>
    <n v="4"/>
    <s v="Oct"/>
    <x v="2"/>
  </r>
  <r>
    <s v="ZAR-10942"/>
    <d v="2025-04-03T00:00:00"/>
    <x v="5"/>
    <d v="1899-12-30T13:02:00"/>
    <x v="6"/>
    <x v="0"/>
    <x v="6"/>
    <x v="7"/>
    <x v="0"/>
    <x v="0"/>
    <n v="2"/>
    <n v="9750"/>
    <x v="1"/>
    <n v="10"/>
    <s v="Valid"/>
    <s v="Match"/>
    <n v="19500"/>
    <n v="1950"/>
    <n v="17550"/>
    <n v="14032.35"/>
    <n v="3517.65"/>
    <b v="0"/>
    <x v="0"/>
    <x v="4"/>
    <s v="Ananya"/>
    <x v="2"/>
    <n v="4.5"/>
    <s v="Apr"/>
    <x v="4"/>
  </r>
  <r>
    <s v="ZAR-10697"/>
    <d v="2025-06-01T00:00:00"/>
    <x v="1"/>
    <d v="1899-12-30T03:45:00"/>
    <x v="1"/>
    <x v="2"/>
    <x v="15"/>
    <x v="6"/>
    <x v="3"/>
    <x v="4"/>
    <n v="1"/>
    <n v="3600"/>
    <x v="1"/>
    <n v="5"/>
    <s v="Valid"/>
    <s v="Match"/>
    <n v="3600"/>
    <n v="180"/>
    <n v="3420"/>
    <n v="2530.1799999999998"/>
    <n v="889.82"/>
    <b v="0"/>
    <x v="0"/>
    <x v="2"/>
    <s v="Meera"/>
    <x v="6"/>
    <n v="4"/>
    <s v="Jun"/>
    <x v="0"/>
  </r>
  <r>
    <s v="ZAR-10870"/>
    <d v="2025-04-02T00:00:00"/>
    <x v="3"/>
    <d v="1899-12-30T10:39:00"/>
    <x v="6"/>
    <x v="1"/>
    <x v="9"/>
    <x v="4"/>
    <x v="1"/>
    <x v="2"/>
    <n v="2"/>
    <n v="11700"/>
    <x v="3"/>
    <n v="25"/>
    <s v="Valid"/>
    <s v="Match"/>
    <n v="23400"/>
    <n v="5850"/>
    <n v="17550"/>
    <n v="13835.36"/>
    <n v="3714.64"/>
    <b v="0"/>
    <x v="0"/>
    <x v="3"/>
    <s v="Ananya"/>
    <x v="4"/>
    <n v="4.5"/>
    <s v="Apr"/>
    <x v="1"/>
  </r>
  <r>
    <s v="ZAR-10534"/>
    <d v="2025-04-07T00:00:00"/>
    <x v="5"/>
    <d v="1899-12-30T13:10:00"/>
    <x v="6"/>
    <x v="1"/>
    <x v="9"/>
    <x v="6"/>
    <x v="7"/>
    <x v="0"/>
    <n v="2"/>
    <n v="9550"/>
    <x v="2"/>
    <n v="0"/>
    <s v="Valid"/>
    <s v="Match"/>
    <n v="19100"/>
    <n v="0"/>
    <n v="19100"/>
    <n v="12110.89"/>
    <n v="6989.11"/>
    <b v="0"/>
    <x v="0"/>
    <x v="0"/>
    <s v="Meera"/>
    <x v="4"/>
    <n v="4.5"/>
    <s v="Apr"/>
    <x v="2"/>
  </r>
  <r>
    <s v="ZAR-10587"/>
    <d v="2025-06-02T00:00:00"/>
    <x v="1"/>
    <m/>
    <x v="5"/>
    <x v="0"/>
    <x v="6"/>
    <x v="0"/>
    <x v="6"/>
    <x v="4"/>
    <n v="2"/>
    <n v="28950"/>
    <x v="1"/>
    <n v="5"/>
    <s v="Valid"/>
    <s v="Match"/>
    <n v="57900"/>
    <n v="2895"/>
    <n v="55005"/>
    <n v="30992.71"/>
    <n v="24012.29"/>
    <b v="0"/>
    <x v="0"/>
    <x v="2"/>
    <s v="Neha"/>
    <x v="2"/>
    <n v="5"/>
    <s v="Feb"/>
    <x v="4"/>
  </r>
  <r>
    <s v="ZAR-10714"/>
    <d v="2025-06-01T00:00:00"/>
    <x v="1"/>
    <d v="1899-12-30T03:27:00"/>
    <x v="3"/>
    <x v="1"/>
    <x v="9"/>
    <x v="7"/>
    <x v="1"/>
    <x v="2"/>
    <n v="3"/>
    <n v="5950"/>
    <x v="0"/>
    <n v="15"/>
    <s v="Valid"/>
    <s v="Match"/>
    <n v="17850"/>
    <n v="2677.5"/>
    <n v="15172.5"/>
    <n v="10850.47"/>
    <n v="4322.03"/>
    <b v="0"/>
    <x v="0"/>
    <x v="3"/>
    <s v="Priya"/>
    <x v="5"/>
    <n v="4.5"/>
    <s v="Jun"/>
    <x v="0"/>
  </r>
  <r>
    <s v="ZAR-10452"/>
    <d v="2025-04-19T00:00:00"/>
    <x v="0"/>
    <d v="1899-12-30T05:05:00"/>
    <x v="1"/>
    <x v="0"/>
    <x v="10"/>
    <x v="4"/>
    <x v="2"/>
    <x v="3"/>
    <n v="1"/>
    <n v="4700"/>
    <x v="3"/>
    <n v="30"/>
    <s v="Valid"/>
    <s v="Match"/>
    <n v="4700"/>
    <n v="1410"/>
    <n v="3290"/>
    <n v="3281.55"/>
    <n v="8.4499999999999993"/>
    <b v="0"/>
    <x v="0"/>
    <x v="2"/>
    <s v="Sanjay"/>
    <x v="2"/>
    <n v="3"/>
    <s v="Apr"/>
    <x v="5"/>
  </r>
  <r>
    <s v="ZAR-10782"/>
    <d v="2025-03-20T00:00:00"/>
    <x v="0"/>
    <d v="1899-12-30T06:49:00"/>
    <x v="0"/>
    <x v="1"/>
    <x v="13"/>
    <x v="4"/>
    <x v="3"/>
    <x v="0"/>
    <n v="3"/>
    <n v="6600"/>
    <x v="3"/>
    <n v="25"/>
    <s v="Valid"/>
    <s v="Match"/>
    <n v="19800"/>
    <n v="4950"/>
    <n v="14850"/>
    <n v="14073.71"/>
    <n v="776.29"/>
    <b v="0"/>
    <x v="0"/>
    <x v="1"/>
    <s v="Neha"/>
    <x v="3"/>
    <n v="4.5"/>
    <s v="Mar"/>
    <x v="4"/>
  </r>
  <r>
    <s v="ZAR-10230"/>
    <d v="2025-03-27T00:00:00"/>
    <x v="1"/>
    <d v="1899-12-30T03:08:00"/>
    <x v="1"/>
    <x v="1"/>
    <x v="18"/>
    <x v="2"/>
    <x v="5"/>
    <x v="2"/>
    <n v="2"/>
    <n v="3500"/>
    <x v="3"/>
    <n v="25"/>
    <s v="Valid"/>
    <s v="Match"/>
    <n v="7000"/>
    <n v="1750"/>
    <n v="5250"/>
    <n v="5004.63"/>
    <n v="245.37"/>
    <b v="0"/>
    <x v="0"/>
    <x v="3"/>
    <s v="Karan"/>
    <x v="1"/>
    <n v="3"/>
    <s v="Mar"/>
    <x v="4"/>
  </r>
  <r>
    <s v="ZAR-10592"/>
    <d v="2025-05-16T00:00:00"/>
    <x v="4"/>
    <d v="1899-12-30T22:51:00"/>
    <x v="2"/>
    <x v="0"/>
    <x v="0"/>
    <x v="0"/>
    <x v="3"/>
    <x v="2"/>
    <n v="1"/>
    <n v="4300"/>
    <x v="0"/>
    <n v="15"/>
    <s v="Valid"/>
    <s v="Match"/>
    <n v="4300"/>
    <n v="645"/>
    <n v="3655"/>
    <n v="2862"/>
    <n v="793"/>
    <b v="0"/>
    <x v="0"/>
    <x v="4"/>
    <s v="Rohit"/>
    <x v="1"/>
    <n v="5"/>
    <s v="May"/>
    <x v="3"/>
  </r>
  <r>
    <s v="ZAR-10825"/>
    <d v="2025-07-26T00:00:00"/>
    <x v="1"/>
    <d v="1899-12-30T01:22:00"/>
    <x v="2"/>
    <x v="0"/>
    <x v="1"/>
    <x v="5"/>
    <x v="2"/>
    <x v="4"/>
    <n v="1"/>
    <n v="2100"/>
    <x v="3"/>
    <n v="30"/>
    <s v="Valid"/>
    <s v="Match"/>
    <n v="2100"/>
    <n v="630"/>
    <n v="1470"/>
    <n v="1318.73"/>
    <n v="151.27000000000001"/>
    <b v="0"/>
    <x v="0"/>
    <x v="3"/>
    <s v="Ananya"/>
    <x v="4"/>
    <n v="5"/>
    <s v="Jul"/>
    <x v="5"/>
  </r>
  <r>
    <s v="ZAR-10214"/>
    <d v="2025-11-30T00:00:00"/>
    <x v="5"/>
    <d v="1899-12-30T13:32:00"/>
    <x v="2"/>
    <x v="0"/>
    <x v="1"/>
    <x v="0"/>
    <x v="2"/>
    <x v="4"/>
    <n v="2"/>
    <n v="3950"/>
    <x v="3"/>
    <n v="25"/>
    <s v="Valid"/>
    <s v="Match"/>
    <n v="7900"/>
    <n v="1975"/>
    <n v="5925"/>
    <n v="4467.3"/>
    <n v="1457.7"/>
    <b v="0"/>
    <x v="0"/>
    <x v="1"/>
    <s v="Neha"/>
    <x v="2"/>
    <n v="3"/>
    <s v="Nov"/>
    <x v="0"/>
  </r>
  <r>
    <s v="ZAR-10081"/>
    <d v="2025-02-24T00:00:00"/>
    <x v="0"/>
    <d v="1899-12-30T07:27:00"/>
    <x v="4"/>
    <x v="0"/>
    <x v="10"/>
    <x v="7"/>
    <x v="0"/>
    <x v="0"/>
    <n v="3"/>
    <n v="6000"/>
    <x v="2"/>
    <n v="0"/>
    <s v="Valid"/>
    <s v="Match"/>
    <n v="18000"/>
    <n v="0"/>
    <n v="18000"/>
    <n v="11089.38"/>
    <n v="6910.62"/>
    <b v="0"/>
    <x v="0"/>
    <x v="1"/>
    <s v="Priya"/>
    <x v="6"/>
    <n v="5"/>
    <s v="Feb"/>
    <x v="2"/>
  </r>
  <r>
    <s v="ZAR-10150"/>
    <d v="2025-06-16T00:00:00"/>
    <x v="5"/>
    <d v="1899-12-30T12:00:00"/>
    <x v="3"/>
    <x v="0"/>
    <x v="4"/>
    <x v="0"/>
    <x v="2"/>
    <x v="0"/>
    <n v="1"/>
    <n v="8000"/>
    <x v="2"/>
    <n v="0"/>
    <s v="Valid"/>
    <s v="Match"/>
    <n v="8000"/>
    <n v="0"/>
    <n v="8000"/>
    <n v="5210.59"/>
    <n v="2789.41"/>
    <b v="0"/>
    <x v="0"/>
    <x v="0"/>
    <s v="Rohit"/>
    <x v="6"/>
    <n v="4.5"/>
    <s v="Jun"/>
    <x v="2"/>
  </r>
  <r>
    <s v="ZAR-10304"/>
    <d v="2025-05-17T00:00:00"/>
    <x v="2"/>
    <d v="1899-12-30T16:02:00"/>
    <x v="1"/>
    <x v="1"/>
    <x v="9"/>
    <x v="5"/>
    <x v="5"/>
    <x v="0"/>
    <n v="2"/>
    <n v="15500"/>
    <x v="2"/>
    <n v="0"/>
    <s v="Valid"/>
    <s v="Match"/>
    <n v="31000"/>
    <n v="0"/>
    <n v="31000"/>
    <n v="21737.25"/>
    <n v="9262.75"/>
    <b v="0"/>
    <x v="0"/>
    <x v="2"/>
    <s v="Karan"/>
    <x v="6"/>
    <n v="4.5"/>
    <s v="May"/>
    <x v="5"/>
  </r>
  <r>
    <s v="ZAR-10867"/>
    <d v="2025-11-02T00:00:00"/>
    <x v="2"/>
    <d v="1899-12-30T19:07:00"/>
    <x v="3"/>
    <x v="2"/>
    <x v="15"/>
    <x v="6"/>
    <x v="2"/>
    <x v="2"/>
    <n v="1"/>
    <n v="5500"/>
    <x v="3"/>
    <n v="30"/>
    <s v="Valid"/>
    <s v="Match"/>
    <n v="5500"/>
    <n v="1650"/>
    <n v="3850"/>
    <n v="3641.47"/>
    <n v="208.53"/>
    <b v="0"/>
    <x v="0"/>
    <x v="1"/>
    <s v="Meera"/>
    <x v="1"/>
    <n v="4.5"/>
    <s v="Nov"/>
    <x v="0"/>
  </r>
  <r>
    <s v="ZAR-10330"/>
    <d v="2025-01-02T00:00:00"/>
    <x v="2"/>
    <d v="1899-12-30T19:48:00"/>
    <x v="3"/>
    <x v="1"/>
    <x v="9"/>
    <x v="4"/>
    <x v="7"/>
    <x v="0"/>
    <n v="1"/>
    <n v="8050"/>
    <x v="1"/>
    <n v="5"/>
    <s v="Valid"/>
    <s v="Match"/>
    <n v="8050"/>
    <n v="402.5"/>
    <n v="7647.5"/>
    <n v="5886.93"/>
    <n v="1760.57"/>
    <b v="0"/>
    <x v="0"/>
    <x v="3"/>
    <s v="Sanjay"/>
    <x v="6"/>
    <n v="4.5"/>
    <s v="Jan"/>
    <x v="4"/>
  </r>
  <r>
    <s v="ZAR-10931"/>
    <d v="2025-05-06T00:00:00"/>
    <x v="0"/>
    <d v="1899-12-30T07:52:00"/>
    <x v="2"/>
    <x v="1"/>
    <x v="18"/>
    <x v="3"/>
    <x v="1"/>
    <x v="0"/>
    <n v="2"/>
    <n v="2700"/>
    <x v="3"/>
    <n v="30"/>
    <s v="Valid"/>
    <s v="Match"/>
    <n v="5400"/>
    <n v="1620"/>
    <n v="3780"/>
    <n v="3513.49"/>
    <n v="266.51"/>
    <b v="0"/>
    <x v="0"/>
    <x v="2"/>
    <s v="Neha"/>
    <x v="3"/>
    <n v="4"/>
    <s v="May"/>
    <x v="6"/>
  </r>
  <r>
    <s v="ZAR-10346"/>
    <d v="2025-11-12T00:00:00"/>
    <x v="3"/>
    <d v="1899-12-30T08:58:00"/>
    <x v="3"/>
    <x v="1"/>
    <x v="9"/>
    <x v="2"/>
    <x v="1"/>
    <x v="0"/>
    <n v="4"/>
    <n v="10600"/>
    <x v="1"/>
    <n v="5"/>
    <s v="Valid"/>
    <s v="Match"/>
    <n v="42400"/>
    <n v="2120"/>
    <n v="40280"/>
    <n v="30080.31"/>
    <n v="10199.69"/>
    <b v="0"/>
    <x v="0"/>
    <x v="0"/>
    <s v="Ananya"/>
    <x v="2"/>
    <n v="4"/>
    <s v="Nov"/>
    <x v="1"/>
  </r>
  <r>
    <s v="ZAR-10547"/>
    <d v="2025-06-01T00:00:00"/>
    <x v="0"/>
    <d v="1899-12-30T07:31:00"/>
    <x v="1"/>
    <x v="0"/>
    <x v="4"/>
    <x v="4"/>
    <x v="2"/>
    <x v="0"/>
    <n v="1"/>
    <n v="22000"/>
    <x v="0"/>
    <n v="15"/>
    <s v="Valid"/>
    <s v="Match"/>
    <n v="22000"/>
    <n v="3300"/>
    <n v="18700"/>
    <n v="12969.08"/>
    <n v="5730.92"/>
    <b v="0"/>
    <x v="0"/>
    <x v="3"/>
    <s v="Priya"/>
    <x v="3"/>
    <n v="5"/>
    <s v="Jun"/>
    <x v="0"/>
  </r>
  <r>
    <s v="ZAR-10508"/>
    <d v="2025-08-31T00:00:00"/>
    <x v="0"/>
    <d v="1899-12-30T07:33:00"/>
    <x v="4"/>
    <x v="2"/>
    <x v="17"/>
    <x v="7"/>
    <x v="7"/>
    <x v="2"/>
    <n v="1"/>
    <n v="3100"/>
    <x v="3"/>
    <n v="25"/>
    <s v="Valid"/>
    <s v="Match"/>
    <n v="3100"/>
    <n v="775"/>
    <n v="2325"/>
    <n v="2122.91"/>
    <n v="202.09"/>
    <b v="0"/>
    <x v="0"/>
    <x v="1"/>
    <s v="Sanjay"/>
    <x v="4"/>
    <n v="4"/>
    <s v="Aug"/>
    <x v="0"/>
  </r>
  <r>
    <s v="ZAR-10135"/>
    <d v="2025-06-26T00:00:00"/>
    <x v="4"/>
    <d v="1899-12-30T20:42:00"/>
    <x v="5"/>
    <x v="0"/>
    <x v="6"/>
    <x v="0"/>
    <x v="5"/>
    <x v="2"/>
    <n v="1"/>
    <n v="22600"/>
    <x v="0"/>
    <n v="15"/>
    <s v="Valid"/>
    <s v="Match"/>
    <n v="22600"/>
    <n v="3390"/>
    <n v="19210"/>
    <n v="11985.11"/>
    <n v="7224.89"/>
    <b v="0"/>
    <x v="0"/>
    <x v="4"/>
    <s v="Sanjay"/>
    <x v="6"/>
    <n v="4"/>
    <s v="Jun"/>
    <x v="4"/>
  </r>
  <r>
    <s v="ZAR-10554"/>
    <d v="2025-10-28T00:00:00"/>
    <x v="2"/>
    <d v="1899-12-30T18:36:00"/>
    <x v="5"/>
    <x v="0"/>
    <x v="4"/>
    <x v="2"/>
    <x v="2"/>
    <x v="0"/>
    <n v="2"/>
    <n v="25600"/>
    <x v="5"/>
    <n v="-5"/>
    <s v="Invalid Discount"/>
    <s v="Mismatch"/>
    <n v="51200"/>
    <n v="10240"/>
    <n v="40960"/>
    <n v="29157.67"/>
    <n v="11802.33"/>
    <b v="0"/>
    <x v="0"/>
    <x v="0"/>
    <s v="Priya"/>
    <x v="5"/>
    <n v="4"/>
    <s v="Oct"/>
    <x v="6"/>
  </r>
  <r>
    <s v="ZAR-10313"/>
    <d v="2025-04-12T00:00:00"/>
    <x v="5"/>
    <d v="1899-12-30T15:25:00"/>
    <x v="1"/>
    <x v="0"/>
    <x v="7"/>
    <x v="1"/>
    <x v="2"/>
    <x v="1"/>
    <n v="1"/>
    <n v="4000"/>
    <x v="1"/>
    <n v="5"/>
    <s v="Valid"/>
    <s v="Match"/>
    <n v="4000"/>
    <n v="200"/>
    <n v="3800"/>
    <n v="2503.21"/>
    <n v="1296.79"/>
    <b v="0"/>
    <x v="0"/>
    <x v="1"/>
    <s v="Ananya"/>
    <x v="3"/>
    <n v="4.5"/>
    <s v="Apr"/>
    <x v="5"/>
  </r>
  <r>
    <s v="ZAR-10792"/>
    <d v="2025-12-09T00:00:00"/>
    <x v="2"/>
    <d v="1899-12-30T18:33:00"/>
    <x v="4"/>
    <x v="0"/>
    <x v="6"/>
    <x v="0"/>
    <x v="3"/>
    <x v="1"/>
    <n v="1"/>
    <n v="26050"/>
    <x v="3"/>
    <n v="25"/>
    <s v="Valid"/>
    <s v="Match"/>
    <n v="26050"/>
    <n v="6512.5"/>
    <n v="19537.5"/>
    <n v="19127.75"/>
    <n v="409.75"/>
    <b v="0"/>
    <x v="0"/>
    <x v="3"/>
    <s v="Karan"/>
    <x v="2"/>
    <n v="4"/>
    <s v="Dec"/>
    <x v="6"/>
  </r>
  <r>
    <s v="ZAR-10569"/>
    <d v="2025-08-24T00:00:00"/>
    <x v="3"/>
    <d v="1899-12-30T10:19:00"/>
    <x v="3"/>
    <x v="0"/>
    <x v="2"/>
    <x v="7"/>
    <x v="2"/>
    <x v="0"/>
    <n v="1"/>
    <n v="118100"/>
    <x v="1"/>
    <n v="10"/>
    <s v="Valid"/>
    <s v="Match"/>
    <n v="118100"/>
    <n v="11810"/>
    <n v="106290"/>
    <n v="61565.06"/>
    <n v="44724.94"/>
    <b v="0"/>
    <x v="0"/>
    <x v="2"/>
    <s v="Ananya"/>
    <x v="1"/>
    <n v="4"/>
    <s v="Aug"/>
    <x v="0"/>
  </r>
  <r>
    <s v="ZAR-10002"/>
    <d v="2025-12-13T00:00:00"/>
    <x v="2"/>
    <d v="1899-12-30T17:05:00"/>
    <x v="4"/>
    <x v="1"/>
    <x v="3"/>
    <x v="4"/>
    <x v="2"/>
    <x v="0"/>
    <n v="1"/>
    <n v="35200"/>
    <x v="1"/>
    <n v="5"/>
    <s v="Valid"/>
    <s v="Match"/>
    <n v="35200"/>
    <n v="1760"/>
    <n v="33440"/>
    <n v="24007.23"/>
    <n v="9432.77"/>
    <b v="0"/>
    <x v="0"/>
    <x v="3"/>
    <s v="Rohit"/>
    <x v="4"/>
    <n v="3.5"/>
    <s v="Dec"/>
    <x v="5"/>
  </r>
  <r>
    <s v="ZAR-10318"/>
    <d v="2025-06-11T00:00:00"/>
    <x v="5"/>
    <d v="1899-12-30T15:55:00"/>
    <x v="4"/>
    <x v="2"/>
    <x v="8"/>
    <x v="4"/>
    <x v="7"/>
    <x v="0"/>
    <n v="1"/>
    <n v="2100"/>
    <x v="3"/>
    <n v="25"/>
    <s v="Valid"/>
    <s v="Match"/>
    <n v="2100"/>
    <n v="525"/>
    <n v="1575"/>
    <n v="1138.02"/>
    <n v="436.98"/>
    <b v="0"/>
    <x v="0"/>
    <x v="2"/>
    <s v="Rohit"/>
    <x v="5"/>
    <n v="4.5"/>
    <s v="Jun"/>
    <x v="1"/>
  </r>
  <r>
    <s v="ZAR-10713"/>
    <d v="2025-01-07T00:00:00"/>
    <x v="0"/>
    <d v="1899-12-30T05:33:00"/>
    <x v="1"/>
    <x v="0"/>
    <x v="4"/>
    <x v="3"/>
    <x v="1"/>
    <x v="0"/>
    <n v="1"/>
    <n v="42000"/>
    <x v="2"/>
    <n v="0"/>
    <s v="Valid"/>
    <s v="Match"/>
    <n v="42000"/>
    <n v="0"/>
    <n v="42000"/>
    <n v="25311.34"/>
    <n v="16688.66"/>
    <b v="0"/>
    <x v="0"/>
    <x v="0"/>
    <s v="Rohit"/>
    <x v="4"/>
    <n v="3"/>
    <s v="Jan"/>
    <x v="6"/>
  </r>
  <r>
    <s v="ZAR-10551"/>
    <d v="2025-01-05T00:00:00"/>
    <x v="3"/>
    <d v="1899-12-30T11:46:00"/>
    <x v="6"/>
    <x v="0"/>
    <x v="6"/>
    <x v="3"/>
    <x v="3"/>
    <x v="1"/>
    <n v="2"/>
    <n v="8750"/>
    <x v="1"/>
    <n v="5"/>
    <s v="Valid"/>
    <s v="Match"/>
    <n v="17500"/>
    <n v="875"/>
    <n v="16625"/>
    <n v="11930.98"/>
    <n v="4694.0200000000004"/>
    <b v="0"/>
    <x v="0"/>
    <x v="1"/>
    <s v="Ananya"/>
    <x v="0"/>
    <n v="4"/>
    <s v="Jan"/>
    <x v="0"/>
  </r>
  <r>
    <s v="ZAR-10619"/>
    <d v="2025-08-26T00:00:00"/>
    <x v="5"/>
    <d v="1899-12-30T13:58:00"/>
    <x v="6"/>
    <x v="0"/>
    <x v="4"/>
    <x v="7"/>
    <x v="3"/>
    <x v="1"/>
    <n v="1"/>
    <n v="14450"/>
    <x v="2"/>
    <n v="0"/>
    <s v="Valid"/>
    <s v="Match"/>
    <n v="14450"/>
    <n v="0"/>
    <n v="14450"/>
    <n v="8628.6"/>
    <n v="5821.4"/>
    <b v="0"/>
    <x v="0"/>
    <x v="1"/>
    <s v="Neha"/>
    <x v="3"/>
    <n v="3"/>
    <s v="Aug"/>
    <x v="6"/>
  </r>
  <r>
    <s v="ZAR-10536"/>
    <d v="2025-04-06T00:00:00"/>
    <x v="4"/>
    <d v="1899-12-30T22:08:00"/>
    <x v="0"/>
    <x v="0"/>
    <x v="7"/>
    <x v="1"/>
    <x v="6"/>
    <x v="0"/>
    <n v="2"/>
    <n v="3450"/>
    <x v="1"/>
    <n v="5"/>
    <s v="Valid"/>
    <s v="Match"/>
    <n v="6900"/>
    <n v="345"/>
    <n v="6555"/>
    <n v="3855.78"/>
    <n v="2699.22"/>
    <b v="0"/>
    <x v="0"/>
    <x v="1"/>
    <s v="Rohit"/>
    <x v="2"/>
    <n v="4"/>
    <s v="Apr"/>
    <x v="0"/>
  </r>
  <r>
    <s v="ZAR-10481"/>
    <d v="2025-07-28T00:00:00"/>
    <x v="5"/>
    <d v="1899-12-30T14:05:00"/>
    <x v="6"/>
    <x v="1"/>
    <x v="5"/>
    <x v="0"/>
    <x v="5"/>
    <x v="1"/>
    <n v="2"/>
    <n v="6450"/>
    <x v="1"/>
    <n v="5"/>
    <s v="Valid"/>
    <s v="Match"/>
    <n v="12900"/>
    <n v="645"/>
    <n v="12255"/>
    <n v="7572.49"/>
    <n v="4682.51"/>
    <b v="0"/>
    <x v="0"/>
    <x v="1"/>
    <s v="Neha"/>
    <x v="1"/>
    <n v="4"/>
    <s v="Jul"/>
    <x v="2"/>
  </r>
  <r>
    <s v="ZAR-10780"/>
    <d v="2025-12-17T00:00:00"/>
    <x v="5"/>
    <d v="1899-12-30T13:52:00"/>
    <x v="3"/>
    <x v="0"/>
    <x v="10"/>
    <x v="5"/>
    <x v="2"/>
    <x v="5"/>
    <n v="5"/>
    <n v="4600"/>
    <x v="3"/>
    <n v="30"/>
    <s v="Valid"/>
    <s v="Match"/>
    <n v="23000"/>
    <n v="6900"/>
    <n v="16100"/>
    <n v="12329.8"/>
    <n v="3770.2"/>
    <b v="0"/>
    <x v="0"/>
    <x v="1"/>
    <s v="Karan"/>
    <x v="5"/>
    <n v="3.5"/>
    <s v="Dec"/>
    <x v="1"/>
  </r>
  <r>
    <s v="ZAR-10174"/>
    <d v="2025-02-21T00:00:00"/>
    <x v="0"/>
    <d v="1899-12-30T04:48:00"/>
    <x v="2"/>
    <x v="0"/>
    <x v="7"/>
    <x v="0"/>
    <x v="5"/>
    <x v="6"/>
    <n v="1"/>
    <n v="3250"/>
    <x v="1"/>
    <n v="5"/>
    <s v="Valid"/>
    <s v="Match"/>
    <n v="3250"/>
    <n v="162.5"/>
    <n v="3087.5"/>
    <n v="1751.98"/>
    <n v="1335.52"/>
    <b v="0"/>
    <x v="0"/>
    <x v="1"/>
    <s v="Priya"/>
    <x v="4"/>
    <s v="Not Rated"/>
    <s v="Feb"/>
    <x v="3"/>
  </r>
  <r>
    <s v="ZAR-10127"/>
    <d v="2025-06-01T00:00:00"/>
    <x v="3"/>
    <d v="1899-12-30T11:39:00"/>
    <x v="0"/>
    <x v="1"/>
    <x v="18"/>
    <x v="7"/>
    <x v="5"/>
    <x v="0"/>
    <n v="2"/>
    <n v="3250"/>
    <x v="3"/>
    <n v="25"/>
    <s v="Valid"/>
    <s v="Match"/>
    <n v="6500"/>
    <n v="1625"/>
    <n v="4875"/>
    <n v="4690.07"/>
    <n v="184.93"/>
    <b v="0"/>
    <x v="0"/>
    <x v="0"/>
    <s v="Karan"/>
    <x v="5"/>
    <n v="4"/>
    <s v="Jun"/>
    <x v="0"/>
  </r>
  <r>
    <s v="ZAR-10426"/>
    <d v="2025-06-08T00:00:00"/>
    <x v="5"/>
    <d v="1899-12-30T14:31:00"/>
    <x v="4"/>
    <x v="0"/>
    <x v="7"/>
    <x v="0"/>
    <x v="6"/>
    <x v="3"/>
    <n v="1"/>
    <n v="1550"/>
    <x v="2"/>
    <n v="0"/>
    <s v="Valid"/>
    <s v="Match"/>
    <n v="1550"/>
    <n v="0"/>
    <n v="1550"/>
    <n v="889.75"/>
    <n v="660.25"/>
    <b v="0"/>
    <x v="0"/>
    <x v="4"/>
    <s v="Rohit"/>
    <x v="2"/>
    <n v="3.5"/>
    <s v="Jun"/>
    <x v="0"/>
  </r>
  <r>
    <s v="ZAR-10424"/>
    <d v="2025-08-28T00:00:00"/>
    <x v="3"/>
    <d v="1899-12-30T08:59:00"/>
    <x v="1"/>
    <x v="0"/>
    <x v="6"/>
    <x v="4"/>
    <x v="5"/>
    <x v="0"/>
    <n v="1"/>
    <n v="20950"/>
    <x v="3"/>
    <n v="30"/>
    <s v="Valid"/>
    <s v="Match"/>
    <n v="20950"/>
    <n v="6285"/>
    <n v="14665"/>
    <n v="14314.84"/>
    <n v="350.16"/>
    <b v="0"/>
    <x v="0"/>
    <x v="3"/>
    <s v="Rohit"/>
    <x v="3"/>
    <n v="4.5"/>
    <s v="Aug"/>
    <x v="4"/>
  </r>
  <r>
    <s v="ZAR-10556"/>
    <d v="2025-10-22T00:00:00"/>
    <x v="0"/>
    <d v="1899-12-30T06:41:00"/>
    <x v="0"/>
    <x v="1"/>
    <x v="3"/>
    <x v="5"/>
    <x v="1"/>
    <x v="0"/>
    <n v="2"/>
    <n v="28100"/>
    <x v="2"/>
    <n v="0"/>
    <s v="Valid"/>
    <s v="Match"/>
    <n v="56200"/>
    <n v="0"/>
    <n v="56200"/>
    <n v="29707.97"/>
    <n v="26492.03"/>
    <b v="0"/>
    <x v="0"/>
    <x v="3"/>
    <s v="Priya"/>
    <x v="3"/>
    <n v="3"/>
    <s v="Oct"/>
    <x v="1"/>
  </r>
  <r>
    <s v="ZAR-10911"/>
    <d v="2025-11-12T00:00:00"/>
    <x v="1"/>
    <d v="1899-12-30T00:10:00"/>
    <x v="2"/>
    <x v="0"/>
    <x v="1"/>
    <x v="5"/>
    <x v="0"/>
    <x v="6"/>
    <n v="4"/>
    <n v="1350"/>
    <x v="0"/>
    <n v="15"/>
    <s v="Valid"/>
    <s v="Match"/>
    <n v="5400"/>
    <n v="810"/>
    <n v="4590"/>
    <n v="3049.33"/>
    <n v="1540.67"/>
    <b v="0"/>
    <x v="0"/>
    <x v="2"/>
    <s v="Rohit"/>
    <x v="1"/>
    <n v="4"/>
    <s v="Nov"/>
    <x v="1"/>
  </r>
  <r>
    <s v="ZAR-10092"/>
    <d v="2025-02-11T00:00:00"/>
    <x v="3"/>
    <d v="1899-12-30T11:14:00"/>
    <x v="2"/>
    <x v="2"/>
    <x v="11"/>
    <x v="0"/>
    <x v="1"/>
    <x v="0"/>
    <n v="1"/>
    <n v="6450"/>
    <x v="1"/>
    <n v="10"/>
    <s v="Valid"/>
    <s v="Match"/>
    <n v="6450"/>
    <n v="645"/>
    <n v="5805"/>
    <n v="3688.57"/>
    <n v="2116.4299999999998"/>
    <b v="0"/>
    <x v="0"/>
    <x v="2"/>
    <s v="Priya"/>
    <x v="1"/>
    <n v="3.5"/>
    <s v="Feb"/>
    <x v="6"/>
  </r>
  <r>
    <s v="ZAR-10947"/>
    <d v="2025-06-18T00:00:00"/>
    <x v="0"/>
    <d v="1899-12-30T05:34:00"/>
    <x v="1"/>
    <x v="1"/>
    <x v="16"/>
    <x v="1"/>
    <x v="3"/>
    <x v="0"/>
    <n v="3"/>
    <n v="6250"/>
    <x v="0"/>
    <n v="15"/>
    <s v="Valid"/>
    <s v="Match"/>
    <n v="18750"/>
    <n v="2812.5"/>
    <n v="15937.5"/>
    <n v="12063.11"/>
    <n v="3874.39"/>
    <b v="0"/>
    <x v="0"/>
    <x v="0"/>
    <s v="Ananya"/>
    <x v="2"/>
    <n v="4"/>
    <s v="Jun"/>
    <x v="1"/>
  </r>
  <r>
    <s v="ZAR-10183"/>
    <d v="2025-05-25T00:00:00"/>
    <x v="3"/>
    <d v="1899-12-30T09:20:00"/>
    <x v="2"/>
    <x v="0"/>
    <x v="2"/>
    <x v="6"/>
    <x v="2"/>
    <x v="1"/>
    <n v="3"/>
    <n v="37200"/>
    <x v="1"/>
    <n v="5"/>
    <s v="Valid"/>
    <s v="Match"/>
    <n v="111600"/>
    <n v="5580"/>
    <n v="106020"/>
    <n v="79563.89"/>
    <n v="26456.11"/>
    <b v="0"/>
    <x v="0"/>
    <x v="3"/>
    <s v="Rohit"/>
    <x v="1"/>
    <n v="4"/>
    <s v="May"/>
    <x v="0"/>
  </r>
  <r>
    <s v="ZAR-10276"/>
    <d v="2025-10-28T00:00:00"/>
    <x v="1"/>
    <d v="1899-12-30T00:30:00"/>
    <x v="2"/>
    <x v="0"/>
    <x v="1"/>
    <x v="1"/>
    <x v="3"/>
    <x v="0"/>
    <n v="4"/>
    <n v="3600"/>
    <x v="0"/>
    <n v="15"/>
    <s v="Valid"/>
    <s v="Match"/>
    <n v="14400"/>
    <n v="2160"/>
    <n v="12240"/>
    <n v="9647.2900000000009"/>
    <n v="2592.71"/>
    <b v="0"/>
    <x v="0"/>
    <x v="4"/>
    <s v="Sanjay"/>
    <x v="3"/>
    <n v="5"/>
    <s v="Oct"/>
    <x v="6"/>
  </r>
  <r>
    <s v="ZAR-10903"/>
    <d v="2025-08-29T00:00:00"/>
    <x v="2"/>
    <d v="1899-12-30T16:31:00"/>
    <x v="5"/>
    <x v="1"/>
    <x v="16"/>
    <x v="7"/>
    <x v="5"/>
    <x v="2"/>
    <n v="1"/>
    <n v="3550"/>
    <x v="1"/>
    <n v="10"/>
    <s v="Valid"/>
    <s v="Match"/>
    <n v="3550"/>
    <n v="355"/>
    <n v="3195"/>
    <n v="2563.9899999999998"/>
    <n v="631.01"/>
    <b v="0"/>
    <x v="0"/>
    <x v="2"/>
    <s v="Karan"/>
    <x v="1"/>
    <n v="4"/>
    <s v="Aug"/>
    <x v="3"/>
  </r>
  <r>
    <s v="ZAR-10071"/>
    <d v="2025-08-23T00:00:00"/>
    <x v="4"/>
    <d v="1899-12-30T20:01:00"/>
    <x v="2"/>
    <x v="2"/>
    <x v="11"/>
    <x v="5"/>
    <x v="7"/>
    <x v="3"/>
    <n v="3"/>
    <n v="9400"/>
    <x v="3"/>
    <n v="25"/>
    <s v="Valid"/>
    <s v="Match"/>
    <n v="28200"/>
    <n v="7050"/>
    <n v="21150"/>
    <n v="17899.080000000002"/>
    <n v="3250.92"/>
    <b v="0"/>
    <x v="0"/>
    <x v="2"/>
    <s v="Priya"/>
    <x v="5"/>
    <n v="4"/>
    <s v="Aug"/>
    <x v="5"/>
  </r>
  <r>
    <s v="ZAR-10293"/>
    <d v="2025-06-14T00:00:00"/>
    <x v="1"/>
    <d v="1899-12-30T00:09:00"/>
    <x v="2"/>
    <x v="0"/>
    <x v="10"/>
    <x v="6"/>
    <x v="6"/>
    <x v="3"/>
    <n v="1"/>
    <n v="4650"/>
    <x v="0"/>
    <n v="20"/>
    <s v="Valid"/>
    <s v="Match"/>
    <n v="4650"/>
    <n v="930"/>
    <n v="3720"/>
    <n v="2921.31"/>
    <n v="798.69"/>
    <b v="0"/>
    <x v="0"/>
    <x v="1"/>
    <s v="Karan"/>
    <x v="1"/>
    <n v="4"/>
    <s v="Jun"/>
    <x v="5"/>
  </r>
  <r>
    <s v="ZAR-10133"/>
    <d v="2025-01-09T00:00:00"/>
    <x v="0"/>
    <d v="1899-12-30T07:13:00"/>
    <x v="2"/>
    <x v="0"/>
    <x v="4"/>
    <x v="4"/>
    <x v="1"/>
    <x v="0"/>
    <n v="2"/>
    <n v="8200"/>
    <x v="0"/>
    <n v="20"/>
    <s v="Valid"/>
    <s v="Match"/>
    <n v="16400"/>
    <n v="3280"/>
    <n v="13120"/>
    <n v="11291.92"/>
    <n v="1828.08"/>
    <b v="0"/>
    <x v="0"/>
    <x v="0"/>
    <s v="Sanjay"/>
    <x v="6"/>
    <n v="3.5"/>
    <s v="Jan"/>
    <x v="4"/>
  </r>
  <r>
    <s v="ZAR-10302"/>
    <d v="2025-01-23T00:00:00"/>
    <x v="0"/>
    <d v="1899-12-30T04:11:00"/>
    <x v="6"/>
    <x v="0"/>
    <x v="7"/>
    <x v="4"/>
    <x v="3"/>
    <x v="0"/>
    <n v="1"/>
    <n v="3400"/>
    <x v="0"/>
    <n v="20"/>
    <s v="Valid"/>
    <s v="Match"/>
    <n v="3400"/>
    <n v="680"/>
    <n v="2720"/>
    <n v="2260.85"/>
    <n v="459.15"/>
    <b v="0"/>
    <x v="0"/>
    <x v="3"/>
    <s v="Karan"/>
    <x v="1"/>
    <n v="3"/>
    <s v="Jan"/>
    <x v="4"/>
  </r>
  <r>
    <s v="ZAR-10585"/>
    <d v="2025-05-12T00:00:00"/>
    <x v="4"/>
    <d v="1899-12-30T20:40:00"/>
    <x v="4"/>
    <x v="1"/>
    <x v="13"/>
    <x v="6"/>
    <x v="5"/>
    <x v="1"/>
    <n v="2"/>
    <n v="2350"/>
    <x v="0"/>
    <n v="15"/>
    <s v="Valid"/>
    <s v="Match"/>
    <n v="4700"/>
    <n v="705"/>
    <n v="3995"/>
    <n v="3421.81"/>
    <n v="573.19000000000005"/>
    <b v="0"/>
    <x v="0"/>
    <x v="1"/>
    <s v="Neha"/>
    <x v="4"/>
    <n v="4"/>
    <s v="May"/>
    <x v="2"/>
  </r>
  <r>
    <s v="ZAR-10328"/>
    <d v="2025-12-31T00:00:00"/>
    <x v="0"/>
    <d v="1899-12-30T05:45:00"/>
    <x v="1"/>
    <x v="0"/>
    <x v="1"/>
    <x v="7"/>
    <x v="5"/>
    <x v="0"/>
    <n v="1"/>
    <n v="4050"/>
    <x v="1"/>
    <n v="10"/>
    <s v="Valid"/>
    <s v="Match"/>
    <n v="4050"/>
    <n v="405"/>
    <n v="3645"/>
    <n v="2722.32"/>
    <n v="922.68"/>
    <b v="0"/>
    <x v="0"/>
    <x v="2"/>
    <s v="Neha"/>
    <x v="4"/>
    <n v="5"/>
    <s v="Dec"/>
    <x v="1"/>
  </r>
  <r>
    <s v="ZAR-10146"/>
    <d v="2025-12-31T00:00:00"/>
    <x v="5"/>
    <d v="1899-12-30T12:59:00"/>
    <x v="2"/>
    <x v="0"/>
    <x v="12"/>
    <x v="7"/>
    <x v="4"/>
    <x v="0"/>
    <n v="1"/>
    <n v="2700"/>
    <x v="1"/>
    <n v="5"/>
    <s v="Valid"/>
    <s v="Match"/>
    <n v="2700"/>
    <n v="135"/>
    <n v="2565"/>
    <n v="1850.84"/>
    <n v="714.16"/>
    <b v="0"/>
    <x v="0"/>
    <x v="0"/>
    <s v="Meera"/>
    <x v="4"/>
    <n v="4"/>
    <s v="Dec"/>
    <x v="1"/>
  </r>
  <r>
    <s v="ZAR-10427"/>
    <d v="2025-09-06T00:00:00"/>
    <x v="1"/>
    <d v="1899-12-30T00:03:00"/>
    <x v="6"/>
    <x v="0"/>
    <x v="0"/>
    <x v="3"/>
    <x v="0"/>
    <x v="4"/>
    <n v="1"/>
    <n v="6550"/>
    <x v="3"/>
    <n v="30"/>
    <s v="Valid"/>
    <s v="Match"/>
    <n v="6550"/>
    <n v="1965"/>
    <n v="4585"/>
    <n v="3466.86"/>
    <n v="1118.1400000000001"/>
    <b v="0"/>
    <x v="0"/>
    <x v="4"/>
    <s v="Karan"/>
    <x v="4"/>
    <n v="3"/>
    <s v="Sep"/>
    <x v="5"/>
  </r>
  <r>
    <s v="ZAR-10586"/>
    <d v="2025-03-17T00:00:00"/>
    <x v="5"/>
    <d v="1899-12-30T15:05:00"/>
    <x v="5"/>
    <x v="1"/>
    <x v="9"/>
    <x v="0"/>
    <x v="5"/>
    <x v="0"/>
    <n v="1"/>
    <n v="6200"/>
    <x v="3"/>
    <n v="25"/>
    <s v="Valid"/>
    <s v="Match"/>
    <n v="6200"/>
    <n v="1550"/>
    <n v="4650"/>
    <n v="3815.84"/>
    <n v="834.16"/>
    <b v="0"/>
    <x v="0"/>
    <x v="4"/>
    <s v="Ananya"/>
    <x v="3"/>
    <n v="3.5"/>
    <s v="Mar"/>
    <x v="2"/>
  </r>
  <r>
    <s v="ZAR-10137"/>
    <d v="2025-02-07T00:00:00"/>
    <x v="0"/>
    <d v="1899-12-30T06:51:00"/>
    <x v="6"/>
    <x v="0"/>
    <x v="1"/>
    <x v="1"/>
    <x v="3"/>
    <x v="1"/>
    <n v="1"/>
    <n v="900"/>
    <x v="0"/>
    <n v="20"/>
    <s v="Valid"/>
    <s v="Match"/>
    <n v="900"/>
    <n v="180"/>
    <n v="720"/>
    <n v="587.38"/>
    <n v="132.62"/>
    <b v="0"/>
    <x v="0"/>
    <x v="4"/>
    <s v="Priya"/>
    <x v="2"/>
    <n v="4"/>
    <s v="Feb"/>
    <x v="3"/>
  </r>
  <r>
    <s v="ZAR-10668"/>
    <d v="2025-08-13T00:00:00"/>
    <x v="5"/>
    <d v="1899-12-30T13:40:00"/>
    <x v="5"/>
    <x v="0"/>
    <x v="12"/>
    <x v="6"/>
    <x v="5"/>
    <x v="4"/>
    <n v="2"/>
    <n v="10250"/>
    <x v="1"/>
    <n v="5"/>
    <s v="Valid"/>
    <s v="Match"/>
    <n v="20500"/>
    <n v="1025"/>
    <n v="19475"/>
    <n v="14275.2"/>
    <n v="5199.8"/>
    <b v="0"/>
    <x v="0"/>
    <x v="2"/>
    <s v="Ananya"/>
    <x v="1"/>
    <n v="4.5"/>
    <s v="Aug"/>
    <x v="1"/>
  </r>
  <r>
    <s v="ZAR-10166"/>
    <d v="2025-04-18T00:00:00"/>
    <x v="2"/>
    <d v="1899-12-30T18:44:00"/>
    <x v="3"/>
    <x v="2"/>
    <x v="11"/>
    <x v="1"/>
    <x v="7"/>
    <x v="4"/>
    <n v="5"/>
    <n v="6650"/>
    <x v="3"/>
    <n v="30"/>
    <s v="Valid"/>
    <s v="Match"/>
    <n v="33250"/>
    <n v="9975"/>
    <n v="23275"/>
    <n v="23228.97"/>
    <n v="46.03"/>
    <b v="0"/>
    <x v="0"/>
    <x v="1"/>
    <s v="Meera"/>
    <x v="2"/>
    <n v="3.5"/>
    <s v="Apr"/>
    <x v="3"/>
  </r>
  <r>
    <s v="ZAR-10030"/>
    <d v="2025-03-10T00:00:00"/>
    <x v="5"/>
    <d v="1899-12-30T14:42:00"/>
    <x v="4"/>
    <x v="0"/>
    <x v="10"/>
    <x v="3"/>
    <x v="5"/>
    <x v="3"/>
    <n v="1"/>
    <n v="1200"/>
    <x v="3"/>
    <n v="30"/>
    <s v="Valid"/>
    <s v="Match"/>
    <n v="1200"/>
    <n v="360"/>
    <n v="840"/>
    <n v="656.04"/>
    <n v="183.96"/>
    <b v="0"/>
    <x v="0"/>
    <x v="3"/>
    <s v="Sanjay"/>
    <x v="6"/>
    <n v="4.5"/>
    <s v="Mar"/>
    <x v="2"/>
  </r>
  <r>
    <s v="ZAR-10938"/>
    <d v="2025-12-01T00:00:00"/>
    <x v="4"/>
    <d v="1899-12-30T22:52:00"/>
    <x v="5"/>
    <x v="1"/>
    <x v="18"/>
    <x v="7"/>
    <x v="1"/>
    <x v="0"/>
    <n v="1"/>
    <n v="2300"/>
    <x v="0"/>
    <n v="20"/>
    <s v="Valid"/>
    <s v="Match"/>
    <n v="2300"/>
    <n v="460"/>
    <n v="1840"/>
    <n v="1351.04"/>
    <n v="488.96"/>
    <b v="0"/>
    <x v="0"/>
    <x v="1"/>
    <s v="Rohit"/>
    <x v="1"/>
    <n v="5"/>
    <s v="Dec"/>
    <x v="2"/>
  </r>
  <r>
    <s v="ZAR-10195"/>
    <d v="2025-03-31T00:00:00"/>
    <x v="5"/>
    <d v="1899-12-30T15:02:00"/>
    <x v="2"/>
    <x v="0"/>
    <x v="1"/>
    <x v="2"/>
    <x v="6"/>
    <x v="0"/>
    <n v="2"/>
    <n v="3900"/>
    <x v="0"/>
    <n v="15"/>
    <s v="Valid"/>
    <s v="Match"/>
    <n v="7800"/>
    <n v="1170"/>
    <n v="6630"/>
    <n v="4986.29"/>
    <n v="1643.71"/>
    <b v="0"/>
    <x v="0"/>
    <x v="2"/>
    <s v="Priya"/>
    <x v="5"/>
    <n v="4.5"/>
    <s v="Mar"/>
    <x v="2"/>
  </r>
  <r>
    <s v="ZAR-10999"/>
    <d v="2025-07-22T00:00:00"/>
    <x v="5"/>
    <d v="1899-12-30T13:27:00"/>
    <x v="6"/>
    <x v="0"/>
    <x v="2"/>
    <x v="0"/>
    <x v="1"/>
    <x v="2"/>
    <n v="2"/>
    <n v="106750"/>
    <x v="1"/>
    <n v="10"/>
    <s v="Valid"/>
    <s v="Match"/>
    <n v="213500"/>
    <n v="21350"/>
    <n v="192150"/>
    <n v="134146.88"/>
    <n v="58003.12"/>
    <b v="0"/>
    <x v="0"/>
    <x v="0"/>
    <s v="Meera"/>
    <x v="2"/>
    <n v="3"/>
    <s v="Jul"/>
    <x v="6"/>
  </r>
  <r>
    <s v="ZAR-10752"/>
    <d v="2025-07-25T00:00:00"/>
    <x v="2"/>
    <d v="1899-12-30T17:26:00"/>
    <x v="7"/>
    <x v="0"/>
    <x v="4"/>
    <x v="7"/>
    <x v="5"/>
    <x v="2"/>
    <n v="1"/>
    <n v="28700"/>
    <x v="1"/>
    <n v="5"/>
    <s v="Valid"/>
    <s v="Match"/>
    <n v="28700"/>
    <n v="1435"/>
    <n v="27265"/>
    <n v="19766.05"/>
    <n v="7498.95"/>
    <b v="0"/>
    <x v="0"/>
    <x v="2"/>
    <s v="Karan"/>
    <x v="4"/>
    <n v="4"/>
    <s v="Jul"/>
    <x v="3"/>
  </r>
  <r>
    <s v="ZAR-10171"/>
    <d v="2025-05-21T00:00:00"/>
    <x v="1"/>
    <d v="1899-12-30T02:41:00"/>
    <x v="3"/>
    <x v="0"/>
    <x v="2"/>
    <x v="6"/>
    <x v="2"/>
    <x v="0"/>
    <n v="2"/>
    <n v="124150"/>
    <x v="3"/>
    <n v="25"/>
    <s v="Valid"/>
    <s v="Match"/>
    <n v="248300"/>
    <n v="62075"/>
    <n v="186225"/>
    <n v="145605.71"/>
    <n v="40619.29"/>
    <b v="0"/>
    <x v="0"/>
    <x v="1"/>
    <s v="Sanjay"/>
    <x v="4"/>
    <n v="3"/>
    <s v="May"/>
    <x v="1"/>
  </r>
  <r>
    <s v="ZAR-10492"/>
    <d v="2025-11-14T00:00:00"/>
    <x v="5"/>
    <d v="1899-12-30T14:48:00"/>
    <x v="2"/>
    <x v="1"/>
    <x v="16"/>
    <x v="4"/>
    <x v="3"/>
    <x v="1"/>
    <n v="1"/>
    <n v="4750"/>
    <x v="2"/>
    <n v="0"/>
    <s v="Valid"/>
    <s v="Match"/>
    <n v="4750"/>
    <n v="0"/>
    <n v="4750"/>
    <n v="3280.66"/>
    <n v="1469.34"/>
    <b v="0"/>
    <x v="0"/>
    <x v="0"/>
    <s v="Priya"/>
    <x v="4"/>
    <n v="3"/>
    <s v="Nov"/>
    <x v="3"/>
  </r>
  <r>
    <s v="ZAR-10142"/>
    <d v="2025-11-23T00:00:00"/>
    <x v="4"/>
    <d v="1899-12-30T21:59:00"/>
    <x v="4"/>
    <x v="0"/>
    <x v="6"/>
    <x v="3"/>
    <x v="6"/>
    <x v="4"/>
    <n v="1"/>
    <n v="2100"/>
    <x v="1"/>
    <n v="10"/>
    <s v="Valid"/>
    <s v="Match"/>
    <n v="2100"/>
    <n v="210"/>
    <n v="1890"/>
    <n v="1119.93"/>
    <n v="770.07"/>
    <b v="0"/>
    <x v="0"/>
    <x v="2"/>
    <s v="Ananya"/>
    <x v="5"/>
    <n v="3"/>
    <s v="Nov"/>
    <x v="0"/>
  </r>
  <r>
    <s v="ZAR-10175"/>
    <d v="2025-06-04T00:00:00"/>
    <x v="0"/>
    <d v="1899-12-30T06:33:00"/>
    <x v="4"/>
    <x v="0"/>
    <x v="0"/>
    <x v="2"/>
    <x v="0"/>
    <x v="0"/>
    <n v="2"/>
    <n v="7400"/>
    <x v="3"/>
    <n v="30"/>
    <s v="Valid"/>
    <s v="Match"/>
    <n v="14800"/>
    <n v="4440"/>
    <n v="10360"/>
    <n v="10454.06"/>
    <n v="-94.06"/>
    <b v="0"/>
    <x v="0"/>
    <x v="0"/>
    <s v="Ananya"/>
    <x v="6"/>
    <n v="3"/>
    <s v="Jun"/>
    <x v="1"/>
  </r>
  <r>
    <s v="ZAR-10008"/>
    <d v="2025-12-15T00:00:00"/>
    <x v="5"/>
    <d v="1899-12-30T13:38:00"/>
    <x v="2"/>
    <x v="0"/>
    <x v="4"/>
    <x v="6"/>
    <x v="3"/>
    <x v="0"/>
    <n v="3"/>
    <n v="35700"/>
    <x v="1"/>
    <n v="5"/>
    <s v="Valid"/>
    <s v="Match"/>
    <n v="107100"/>
    <n v="5355"/>
    <n v="101745"/>
    <n v="70475.88"/>
    <n v="31269.119999999999"/>
    <b v="0"/>
    <x v="0"/>
    <x v="3"/>
    <s v="Meera"/>
    <x v="2"/>
    <n v="4.5"/>
    <s v="Dec"/>
    <x v="2"/>
  </r>
  <r>
    <s v="ZAR-10852"/>
    <d v="2025-02-13T00:00:00"/>
    <x v="4"/>
    <d v="1899-12-30T21:58:00"/>
    <x v="3"/>
    <x v="0"/>
    <x v="10"/>
    <x v="5"/>
    <x v="6"/>
    <x v="4"/>
    <n v="1"/>
    <n v="2600"/>
    <x v="0"/>
    <n v="15"/>
    <s v="Valid"/>
    <s v="Match"/>
    <n v="2600"/>
    <n v="390"/>
    <n v="2210"/>
    <n v="1877.54"/>
    <n v="332.46"/>
    <b v="0"/>
    <x v="0"/>
    <x v="1"/>
    <s v="Ananya"/>
    <x v="6"/>
    <n v="3.5"/>
    <s v="Feb"/>
    <x v="4"/>
  </r>
  <r>
    <s v="ZAR-10637"/>
    <d v="2025-03-03T00:00:00"/>
    <x v="0"/>
    <d v="1899-12-30T04:20:00"/>
    <x v="6"/>
    <x v="1"/>
    <x v="9"/>
    <x v="2"/>
    <x v="7"/>
    <x v="0"/>
    <n v="1"/>
    <n v="7800"/>
    <x v="1"/>
    <n v="5"/>
    <s v="Valid"/>
    <s v="Match"/>
    <n v="7800"/>
    <n v="390"/>
    <n v="7410"/>
    <n v="5057.21"/>
    <n v="2352.79"/>
    <b v="0"/>
    <x v="0"/>
    <x v="2"/>
    <s v="Neha"/>
    <x v="5"/>
    <n v="5"/>
    <s v="Mar"/>
    <x v="2"/>
  </r>
  <r>
    <s v="ZAR-10075"/>
    <d v="2025-10-12T00:00:00"/>
    <x v="3"/>
    <d v="1899-12-30T11:07:00"/>
    <x v="6"/>
    <x v="0"/>
    <x v="1"/>
    <x v="4"/>
    <x v="5"/>
    <x v="0"/>
    <n v="1"/>
    <n v="1300"/>
    <x v="3"/>
    <n v="30"/>
    <s v="Valid"/>
    <s v="Match"/>
    <n v="1300"/>
    <n v="390"/>
    <n v="910"/>
    <n v="706.95"/>
    <n v="203.05"/>
    <b v="0"/>
    <x v="0"/>
    <x v="3"/>
    <s v="Karan"/>
    <x v="4"/>
    <n v="4.5"/>
    <s v="Oct"/>
    <x v="0"/>
  </r>
  <r>
    <s v="ZAR-10689"/>
    <d v="2025-07-05T00:00:00"/>
    <x v="4"/>
    <d v="1899-12-30T20:30:00"/>
    <x v="4"/>
    <x v="2"/>
    <x v="8"/>
    <x v="0"/>
    <x v="5"/>
    <x v="0"/>
    <n v="1"/>
    <n v="2600"/>
    <x v="0"/>
    <n v="20"/>
    <s v="Valid"/>
    <s v="Match"/>
    <n v="2600"/>
    <n v="520"/>
    <n v="2080"/>
    <n v="1395.73"/>
    <n v="684.27"/>
    <b v="0"/>
    <x v="0"/>
    <x v="3"/>
    <s v="Rohit"/>
    <x v="1"/>
    <n v="4.5"/>
    <s v="Jul"/>
    <x v="5"/>
  </r>
  <r>
    <s v="ZAR-10985"/>
    <d v="2025-07-09T00:00:00"/>
    <x v="4"/>
    <d v="1899-12-30T21:03:00"/>
    <x v="3"/>
    <x v="0"/>
    <x v="7"/>
    <x v="4"/>
    <x v="4"/>
    <x v="0"/>
    <n v="1"/>
    <n v="1150"/>
    <x v="1"/>
    <n v="5"/>
    <s v="Valid"/>
    <s v="Match"/>
    <n v="1150"/>
    <n v="57.5"/>
    <n v="1092.5"/>
    <n v="848.64"/>
    <n v="243.86"/>
    <b v="0"/>
    <x v="0"/>
    <x v="3"/>
    <s v="Unknown"/>
    <x v="2"/>
    <s v="Not Rated"/>
    <s v="Jul"/>
    <x v="1"/>
  </r>
  <r>
    <s v="ZAR-10240"/>
    <d v="2025-04-18T00:00:00"/>
    <x v="2"/>
    <d v="1899-12-30T19:45:00"/>
    <x v="3"/>
    <x v="0"/>
    <x v="12"/>
    <x v="0"/>
    <x v="3"/>
    <x v="1"/>
    <n v="3"/>
    <n v="11400"/>
    <x v="3"/>
    <n v="25"/>
    <s v="Valid"/>
    <s v="Match"/>
    <n v="34200"/>
    <n v="8550"/>
    <n v="25650"/>
    <n v="19419.29"/>
    <n v="6230.71"/>
    <b v="0"/>
    <x v="0"/>
    <x v="3"/>
    <s v="Neha"/>
    <x v="4"/>
    <n v="5"/>
    <s v="Apr"/>
    <x v="3"/>
  </r>
  <r>
    <s v="ZAR-10147"/>
    <d v="2025-04-29T00:00:00"/>
    <x v="1"/>
    <d v="1899-12-30T02:21:00"/>
    <x v="4"/>
    <x v="0"/>
    <x v="4"/>
    <x v="4"/>
    <x v="3"/>
    <x v="2"/>
    <n v="4"/>
    <n v="26050"/>
    <x v="2"/>
    <n v="0"/>
    <s v="Valid"/>
    <s v="Match"/>
    <n v="104200"/>
    <n v="0"/>
    <n v="104200"/>
    <n v="56423.35"/>
    <n v="47776.65"/>
    <b v="0"/>
    <x v="0"/>
    <x v="4"/>
    <s v="Meera"/>
    <x v="1"/>
    <n v="4"/>
    <s v="Apr"/>
    <x v="6"/>
  </r>
  <r>
    <s v="ZAR-10800"/>
    <d v="2025-04-10T00:00:00"/>
    <x v="0"/>
    <d v="1899-12-30T07:53:00"/>
    <x v="3"/>
    <x v="1"/>
    <x v="5"/>
    <x v="3"/>
    <x v="1"/>
    <x v="0"/>
    <n v="1"/>
    <n v="4050"/>
    <x v="0"/>
    <n v="15"/>
    <s v="Valid"/>
    <s v="Match"/>
    <n v="4050"/>
    <n v="607.5"/>
    <n v="3442.5"/>
    <n v="2454.38"/>
    <n v="988.12"/>
    <b v="0"/>
    <x v="0"/>
    <x v="2"/>
    <s v="Karan"/>
    <x v="4"/>
    <n v="3.5"/>
    <s v="Apr"/>
    <x v="4"/>
  </r>
  <r>
    <s v="ZAR-10236"/>
    <d v="2025-01-02T00:00:00"/>
    <x v="3"/>
    <d v="1899-12-30T10:22:00"/>
    <x v="6"/>
    <x v="0"/>
    <x v="12"/>
    <x v="5"/>
    <x v="4"/>
    <x v="1"/>
    <n v="1"/>
    <n v="11450"/>
    <x v="3"/>
    <n v="30"/>
    <s v="Valid"/>
    <s v="Match"/>
    <n v="11450"/>
    <n v="3435"/>
    <n v="8015"/>
    <n v="7613.79"/>
    <n v="401.21"/>
    <b v="0"/>
    <x v="0"/>
    <x v="2"/>
    <s v="Rohit"/>
    <x v="1"/>
    <n v="4.5"/>
    <s v="Jan"/>
    <x v="4"/>
  </r>
  <r>
    <s v="ZAR-10222"/>
    <d v="2025-10-01T00:00:00"/>
    <x v="0"/>
    <d v="1899-12-30T06:46:00"/>
    <x v="3"/>
    <x v="0"/>
    <x v="7"/>
    <x v="4"/>
    <x v="4"/>
    <x v="3"/>
    <n v="4"/>
    <n v="2300"/>
    <x v="0"/>
    <n v="15"/>
    <s v="Valid"/>
    <s v="Match"/>
    <n v="9200"/>
    <n v="1380"/>
    <n v="7820"/>
    <n v="4793.45"/>
    <n v="3026.55"/>
    <b v="0"/>
    <x v="0"/>
    <x v="2"/>
    <s v="Karan"/>
    <x v="4"/>
    <n v="3.5"/>
    <s v="Oct"/>
    <x v="1"/>
  </r>
  <r>
    <s v="ZAR-10479"/>
    <d v="2025-06-13T00:00:00"/>
    <x v="0"/>
    <d v="1899-12-30T04:26:00"/>
    <x v="3"/>
    <x v="0"/>
    <x v="12"/>
    <x v="1"/>
    <x v="6"/>
    <x v="0"/>
    <n v="2"/>
    <n v="4750"/>
    <x v="1"/>
    <n v="10"/>
    <s v="Valid"/>
    <s v="Match"/>
    <n v="9500"/>
    <n v="950"/>
    <n v="8550"/>
    <n v="5754.97"/>
    <n v="2795.03"/>
    <b v="0"/>
    <x v="0"/>
    <x v="1"/>
    <s v="Meera"/>
    <x v="5"/>
    <n v="3"/>
    <s v="Jun"/>
    <x v="3"/>
  </r>
  <r>
    <s v="ZAR-10882"/>
    <d v="2025-04-07T00:00:00"/>
    <x v="0"/>
    <d v="1899-12-30T07:44:00"/>
    <x v="5"/>
    <x v="1"/>
    <x v="5"/>
    <x v="3"/>
    <x v="3"/>
    <x v="4"/>
    <n v="1"/>
    <n v="6700"/>
    <x v="1"/>
    <n v="10"/>
    <s v="Valid"/>
    <s v="Match"/>
    <n v="6700"/>
    <n v="670"/>
    <n v="6030"/>
    <n v="4903.74"/>
    <n v="1126.26"/>
    <b v="0"/>
    <x v="0"/>
    <x v="3"/>
    <s v="Karan"/>
    <x v="1"/>
    <n v="4.5"/>
    <s v="Apr"/>
    <x v="2"/>
  </r>
  <r>
    <s v="ZAR-10134"/>
    <d v="2025-10-23T00:00:00"/>
    <x v="2"/>
    <d v="1899-12-30T19:49:00"/>
    <x v="1"/>
    <x v="0"/>
    <x v="2"/>
    <x v="3"/>
    <x v="2"/>
    <x v="4"/>
    <n v="2"/>
    <n v="33000"/>
    <x v="3"/>
    <n v="25"/>
    <s v="Valid"/>
    <s v="Match"/>
    <n v="66000"/>
    <n v="16500"/>
    <n v="49500"/>
    <n v="42685.120000000003"/>
    <n v="6814.88"/>
    <b v="0"/>
    <x v="0"/>
    <x v="4"/>
    <s v="Priya"/>
    <x v="2"/>
    <n v="5"/>
    <s v="Oct"/>
    <x v="4"/>
  </r>
  <r>
    <s v="ZAR-11000"/>
    <d v="2025-07-23T00:00:00"/>
    <x v="2"/>
    <d v="1899-12-30T19:05:00"/>
    <x v="6"/>
    <x v="2"/>
    <x v="17"/>
    <x v="2"/>
    <x v="5"/>
    <x v="4"/>
    <n v="1"/>
    <n v="3150"/>
    <x v="1"/>
    <n v="5"/>
    <s v="Valid"/>
    <s v="Match"/>
    <n v="3150"/>
    <n v="157.5"/>
    <n v="2992.5"/>
    <n v="1888.4"/>
    <n v="1104.0999999999999"/>
    <b v="0"/>
    <x v="0"/>
    <x v="2"/>
    <s v="Priya"/>
    <x v="4"/>
    <n v="5"/>
    <s v="Jul"/>
    <x v="1"/>
  </r>
  <r>
    <s v="ZAR-10845"/>
    <d v="2025-06-07T00:00:00"/>
    <x v="1"/>
    <d v="1899-12-30T02:23:00"/>
    <x v="4"/>
    <x v="0"/>
    <x v="2"/>
    <x v="7"/>
    <x v="3"/>
    <x v="4"/>
    <n v="1"/>
    <n v="53450"/>
    <x v="1"/>
    <n v="10"/>
    <s v="Valid"/>
    <s v="Match"/>
    <n v="53450"/>
    <n v="5345"/>
    <n v="48105"/>
    <n v="39058.61"/>
    <n v="9046.39"/>
    <b v="0"/>
    <x v="0"/>
    <x v="1"/>
    <s v="Priya"/>
    <x v="3"/>
    <n v="4"/>
    <s v="Jun"/>
    <x v="5"/>
  </r>
  <r>
    <s v="ZAR-10187"/>
    <d v="2025-03-26T00:00:00"/>
    <x v="5"/>
    <d v="1899-12-30T14:29:00"/>
    <x v="3"/>
    <x v="0"/>
    <x v="1"/>
    <x v="6"/>
    <x v="3"/>
    <x v="0"/>
    <n v="2"/>
    <n v="1200"/>
    <x v="2"/>
    <n v="0"/>
    <s v="Valid"/>
    <s v="Match"/>
    <n v="2400"/>
    <n v="0"/>
    <n v="2400"/>
    <n v="1330.06"/>
    <n v="1069.94"/>
    <b v="0"/>
    <x v="0"/>
    <x v="0"/>
    <s v="Priya"/>
    <x v="2"/>
    <n v="4"/>
    <s v="Mar"/>
    <x v="1"/>
  </r>
  <r>
    <s v="ZAR-10043"/>
    <d v="2025-04-27T00:00:00"/>
    <x v="3"/>
    <d v="1899-12-30T11:11:00"/>
    <x v="3"/>
    <x v="2"/>
    <x v="15"/>
    <x v="6"/>
    <x v="8"/>
    <x v="0"/>
    <n v="5"/>
    <n v="4300"/>
    <x v="3"/>
    <n v="30"/>
    <s v="Valid"/>
    <s v="Match"/>
    <n v="21500"/>
    <n v="6450"/>
    <n v="15050"/>
    <n v="12098.18"/>
    <n v="2951.82"/>
    <b v="0"/>
    <x v="0"/>
    <x v="1"/>
    <s v="Karan"/>
    <x v="1"/>
    <n v="3"/>
    <s v="Apr"/>
    <x v="0"/>
  </r>
  <r>
    <s v="ZAR-11001"/>
    <d v="2025-08-09T00:00:00"/>
    <x v="2"/>
    <d v="1899-12-30T16:35:00"/>
    <x v="0"/>
    <x v="0"/>
    <x v="6"/>
    <x v="3"/>
    <x v="2"/>
    <x v="0"/>
    <n v="1"/>
    <n v="27300"/>
    <x v="1"/>
    <n v="10"/>
    <s v="Valid"/>
    <s v="Match"/>
    <n v="27300"/>
    <n v="2730"/>
    <n v="24570"/>
    <n v="16332.91"/>
    <n v="8237.09"/>
    <b v="0"/>
    <x v="0"/>
    <x v="3"/>
    <s v="Karan"/>
    <x v="6"/>
    <n v="4"/>
    <s v="Aug"/>
    <x v="5"/>
  </r>
  <r>
    <s v="ZAR-10110"/>
    <d v="2025-07-24T00:00:00"/>
    <x v="0"/>
    <d v="1899-12-30T04:48:00"/>
    <x v="7"/>
    <x v="0"/>
    <x v="12"/>
    <x v="1"/>
    <x v="3"/>
    <x v="0"/>
    <n v="1"/>
    <n v="13250"/>
    <x v="3"/>
    <n v="30"/>
    <s v="Valid"/>
    <s v="Match"/>
    <n v="13250"/>
    <n v="3975"/>
    <n v="9275"/>
    <n v="7896.76"/>
    <n v="1378.24"/>
    <b v="0"/>
    <x v="0"/>
    <x v="1"/>
    <s v="Ananya"/>
    <x v="2"/>
    <n v="4"/>
    <s v="Jul"/>
    <x v="4"/>
  </r>
  <r>
    <s v="ZAR-10925"/>
    <d v="2025-01-28T00:00:00"/>
    <x v="3"/>
    <d v="1899-12-30T11:29:00"/>
    <x v="5"/>
    <x v="2"/>
    <x v="17"/>
    <x v="6"/>
    <x v="3"/>
    <x v="4"/>
    <n v="3"/>
    <n v="3350"/>
    <x v="2"/>
    <n v="0"/>
    <s v="Valid"/>
    <s v="Match"/>
    <n v="10050"/>
    <n v="0"/>
    <n v="10050"/>
    <n v="5879.17"/>
    <n v="4170.83"/>
    <b v="0"/>
    <x v="0"/>
    <x v="4"/>
    <s v="Meera"/>
    <x v="5"/>
    <n v="4.5"/>
    <s v="Jan"/>
    <x v="6"/>
  </r>
  <r>
    <s v="ZAR-10058"/>
    <d v="2025-12-17T00:00:00"/>
    <x v="3"/>
    <d v="1899-12-30T09:14:00"/>
    <x v="1"/>
    <x v="2"/>
    <x v="8"/>
    <x v="0"/>
    <x v="3"/>
    <x v="0"/>
    <n v="1"/>
    <n v="4500"/>
    <x v="2"/>
    <n v="0"/>
    <s v="Valid"/>
    <s v="Match"/>
    <n v="4500"/>
    <n v="0"/>
    <n v="4500"/>
    <n v="2572.42"/>
    <n v="1927.58"/>
    <b v="0"/>
    <x v="0"/>
    <x v="4"/>
    <s v="Ananya"/>
    <x v="2"/>
    <n v="4"/>
    <s v="Dec"/>
    <x v="1"/>
  </r>
  <r>
    <s v="ZAR-10532"/>
    <d v="2025-06-28T00:00:00"/>
    <x v="2"/>
    <d v="1899-12-30T16:45:00"/>
    <x v="5"/>
    <x v="0"/>
    <x v="2"/>
    <x v="3"/>
    <x v="1"/>
    <x v="1"/>
    <n v="1"/>
    <n v="124200"/>
    <x v="0"/>
    <n v="15"/>
    <s v="Valid"/>
    <s v="Match"/>
    <n v="124200"/>
    <n v="18630"/>
    <n v="105570"/>
    <n v="90735.72"/>
    <n v="14834.28"/>
    <b v="0"/>
    <x v="0"/>
    <x v="0"/>
    <s v="Karan"/>
    <x v="6"/>
    <n v="5"/>
    <s v="Jun"/>
    <x v="5"/>
  </r>
  <r>
    <s v="ZAR-10874"/>
    <d v="2025-04-28T00:00:00"/>
    <x v="2"/>
    <d v="1899-12-30T18:31:00"/>
    <x v="2"/>
    <x v="1"/>
    <x v="9"/>
    <x v="0"/>
    <x v="1"/>
    <x v="0"/>
    <n v="1"/>
    <n v="11700"/>
    <x v="0"/>
    <n v="20"/>
    <s v="Valid"/>
    <s v="Match"/>
    <n v="11700"/>
    <n v="2340"/>
    <n v="9360"/>
    <n v="6176.68"/>
    <n v="3183.32"/>
    <b v="0"/>
    <x v="0"/>
    <x v="0"/>
    <s v="Rohit"/>
    <x v="6"/>
    <n v="4.5"/>
    <s v="Apr"/>
    <x v="2"/>
  </r>
  <r>
    <s v="ZAR-10605"/>
    <d v="2025-04-17T00:00:00"/>
    <x v="2"/>
    <d v="1899-12-30T19:38:00"/>
    <x v="2"/>
    <x v="2"/>
    <x v="8"/>
    <x v="0"/>
    <x v="7"/>
    <x v="3"/>
    <n v="2"/>
    <n v="1350"/>
    <x v="3"/>
    <n v="25"/>
    <s v="Valid"/>
    <s v="Match"/>
    <n v="2700"/>
    <n v="675"/>
    <n v="2025"/>
    <n v="1634.25"/>
    <n v="390.75"/>
    <b v="0"/>
    <x v="0"/>
    <x v="4"/>
    <s v="Unknown"/>
    <x v="2"/>
    <n v="3"/>
    <s v="Apr"/>
    <x v="4"/>
  </r>
  <r>
    <s v="ZAR-10868"/>
    <d v="2025-08-04T00:00:00"/>
    <x v="1"/>
    <d v="1899-12-30T02:23:00"/>
    <x v="5"/>
    <x v="0"/>
    <x v="2"/>
    <x v="0"/>
    <x v="3"/>
    <x v="2"/>
    <n v="1"/>
    <n v="49900"/>
    <x v="3"/>
    <n v="25"/>
    <s v="Valid"/>
    <s v="Match"/>
    <n v="49900"/>
    <n v="12475"/>
    <n v="37425"/>
    <n v="33017.699999999997"/>
    <n v="4407.3"/>
    <b v="0"/>
    <x v="0"/>
    <x v="3"/>
    <s v="Sanjay"/>
    <x v="3"/>
    <n v="5"/>
    <s v="Aug"/>
    <x v="2"/>
  </r>
  <r>
    <s v="ZAR-10026"/>
    <d v="2025-07-06T00:00:00"/>
    <x v="5"/>
    <d v="1899-12-30T13:04:00"/>
    <x v="1"/>
    <x v="2"/>
    <x v="15"/>
    <x v="6"/>
    <x v="1"/>
    <x v="3"/>
    <n v="4"/>
    <n v="4700"/>
    <x v="3"/>
    <n v="25"/>
    <s v="Valid"/>
    <s v="Match"/>
    <n v="18800"/>
    <n v="4700"/>
    <n v="14100"/>
    <n v="12549.72"/>
    <n v="1550.28"/>
    <b v="0"/>
    <x v="0"/>
    <x v="0"/>
    <s v="Priya"/>
    <x v="1"/>
    <n v="5"/>
    <s v="Jul"/>
    <x v="0"/>
  </r>
  <r>
    <s v="ZAR-10652"/>
    <d v="2025-05-19T00:00:00"/>
    <x v="0"/>
    <d v="1899-12-30T04:46:00"/>
    <x v="0"/>
    <x v="1"/>
    <x v="13"/>
    <x v="4"/>
    <x v="1"/>
    <x v="0"/>
    <n v="2"/>
    <n v="5250"/>
    <x v="1"/>
    <n v="5"/>
    <s v="Valid"/>
    <s v="Match"/>
    <n v="10500"/>
    <n v="525"/>
    <n v="9975"/>
    <n v="7663.01"/>
    <n v="2311.9899999999998"/>
    <b v="0"/>
    <x v="0"/>
    <x v="0"/>
    <s v="Priya"/>
    <x v="6"/>
    <n v="3.5"/>
    <s v="May"/>
    <x v="2"/>
  </r>
  <r>
    <s v="ZAR-10450"/>
    <d v="2025-05-08T00:00:00"/>
    <x v="2"/>
    <d v="1899-12-30T16:27:00"/>
    <x v="3"/>
    <x v="0"/>
    <x v="10"/>
    <x v="3"/>
    <x v="6"/>
    <x v="1"/>
    <n v="5"/>
    <n v="2750"/>
    <x v="3"/>
    <n v="25"/>
    <s v="Valid"/>
    <s v="Match"/>
    <n v="13750"/>
    <n v="3437.5"/>
    <n v="10312.5"/>
    <n v="9881.2800000000007"/>
    <n v="431.22"/>
    <b v="0"/>
    <x v="0"/>
    <x v="2"/>
    <s v="Sanjay"/>
    <x v="4"/>
    <n v="4"/>
    <s v="May"/>
    <x v="4"/>
  </r>
  <r>
    <s v="ZAR-10535"/>
    <d v="2025-05-18T00:00:00"/>
    <x v="0"/>
    <d v="1899-12-30T06:59:00"/>
    <x v="1"/>
    <x v="2"/>
    <x v="11"/>
    <x v="4"/>
    <x v="5"/>
    <x v="0"/>
    <n v="2"/>
    <n v="8550"/>
    <x v="1"/>
    <n v="10"/>
    <s v="Valid"/>
    <s v="Match"/>
    <n v="17100"/>
    <n v="1710"/>
    <n v="15390"/>
    <n v="11955.13"/>
    <n v="3434.87"/>
    <b v="0"/>
    <x v="0"/>
    <x v="2"/>
    <s v="Ananya"/>
    <x v="4"/>
    <n v="4"/>
    <s v="May"/>
    <x v="0"/>
  </r>
  <r>
    <s v="ZAR-10624"/>
    <d v="2025-02-26T00:00:00"/>
    <x v="5"/>
    <d v="1899-12-30T14:59:00"/>
    <x v="4"/>
    <x v="0"/>
    <x v="6"/>
    <x v="5"/>
    <x v="0"/>
    <x v="0"/>
    <n v="2"/>
    <n v="22650"/>
    <x v="0"/>
    <n v="20"/>
    <s v="Valid"/>
    <s v="Match"/>
    <n v="45300"/>
    <n v="9060"/>
    <n v="36240"/>
    <n v="32195.91"/>
    <n v="4044.09"/>
    <b v="0"/>
    <x v="0"/>
    <x v="2"/>
    <s v="Sanjay"/>
    <x v="3"/>
    <n v="3.5"/>
    <s v="Feb"/>
    <x v="1"/>
  </r>
  <r>
    <s v="ZAR-10755"/>
    <d v="2025-07-09T00:00:00"/>
    <x v="1"/>
    <d v="1899-12-30T00:47:00"/>
    <x v="4"/>
    <x v="0"/>
    <x v="2"/>
    <x v="1"/>
    <x v="2"/>
    <x v="4"/>
    <n v="1"/>
    <n v="52800"/>
    <x v="3"/>
    <n v="25"/>
    <s v="Valid"/>
    <s v="Match"/>
    <n v="52800"/>
    <n v="13200"/>
    <n v="39600"/>
    <n v="28512.67"/>
    <n v="11087.33"/>
    <b v="0"/>
    <x v="0"/>
    <x v="1"/>
    <s v="Sanjay"/>
    <x v="4"/>
    <n v="3.5"/>
    <s v="Jul"/>
    <x v="1"/>
  </r>
  <r>
    <s v="ZAR-10934"/>
    <d v="2025-05-01T00:00:00"/>
    <x v="3"/>
    <d v="1899-12-30T09:15:00"/>
    <x v="4"/>
    <x v="2"/>
    <x v="8"/>
    <x v="3"/>
    <x v="1"/>
    <x v="4"/>
    <n v="1"/>
    <n v="4750"/>
    <x v="1"/>
    <n v="5"/>
    <s v="Valid"/>
    <s v="Match"/>
    <n v="4750"/>
    <n v="237.5"/>
    <n v="4512.5"/>
    <n v="2893.56"/>
    <n v="1618.94"/>
    <b v="0"/>
    <x v="0"/>
    <x v="2"/>
    <s v="Ananya"/>
    <x v="2"/>
    <n v="4.5"/>
    <s v="May"/>
    <x v="4"/>
  </r>
  <r>
    <s v="ZAR-10340"/>
    <d v="2025-01-13T00:00:00"/>
    <x v="5"/>
    <d v="1899-12-30T15:57:00"/>
    <x v="4"/>
    <x v="0"/>
    <x v="12"/>
    <x v="6"/>
    <x v="5"/>
    <x v="0"/>
    <n v="2"/>
    <n v="12300"/>
    <x v="2"/>
    <n v="0"/>
    <s v="Valid"/>
    <s v="Match"/>
    <n v="24600"/>
    <n v="0"/>
    <n v="24600"/>
    <n v="15193.71"/>
    <n v="9406.2900000000009"/>
    <b v="0"/>
    <x v="0"/>
    <x v="4"/>
    <s v="Rohit"/>
    <x v="2"/>
    <n v="5"/>
    <s v="Jan"/>
    <x v="2"/>
  </r>
  <r>
    <s v="ZAR-10053"/>
    <d v="2025-03-02T00:00:00"/>
    <x v="4"/>
    <d v="1899-12-30T20:53:00"/>
    <x v="0"/>
    <x v="0"/>
    <x v="4"/>
    <x v="2"/>
    <x v="8"/>
    <x v="0"/>
    <n v="3"/>
    <n v="15550"/>
    <x v="2"/>
    <n v="0"/>
    <s v="Valid"/>
    <s v="Match"/>
    <n v="46650"/>
    <n v="0"/>
    <n v="46650"/>
    <n v="28993.84"/>
    <n v="17656.16"/>
    <b v="0"/>
    <x v="0"/>
    <x v="0"/>
    <s v="Rohit"/>
    <x v="1"/>
    <n v="4"/>
    <s v="Mar"/>
    <x v="0"/>
  </r>
  <r>
    <s v="ZAR-10669"/>
    <d v="2025-05-09T00:00:00"/>
    <x v="5"/>
    <d v="1899-12-30T12:45:00"/>
    <x v="7"/>
    <x v="0"/>
    <x v="12"/>
    <x v="1"/>
    <x v="0"/>
    <x v="0"/>
    <n v="3"/>
    <n v="2800"/>
    <x v="1"/>
    <n v="10"/>
    <s v="Valid"/>
    <s v="Match"/>
    <n v="8400"/>
    <n v="840"/>
    <n v="7560"/>
    <n v="6072.36"/>
    <n v="1487.64"/>
    <b v="0"/>
    <x v="0"/>
    <x v="3"/>
    <s v="Neha"/>
    <x v="5"/>
    <n v="3"/>
    <s v="May"/>
    <x v="3"/>
  </r>
  <r>
    <s v="ZAR-10520"/>
    <d v="2025-02-22T00:00:00"/>
    <x v="5"/>
    <d v="1899-12-30T12:44:00"/>
    <x v="3"/>
    <x v="1"/>
    <x v="18"/>
    <x v="1"/>
    <x v="3"/>
    <x v="0"/>
    <n v="2"/>
    <n v="3400"/>
    <x v="3"/>
    <n v="25"/>
    <s v="Valid"/>
    <s v="Match"/>
    <n v="6800"/>
    <n v="1700"/>
    <n v="5100"/>
    <n v="4523.42"/>
    <n v="576.58000000000004"/>
    <b v="0"/>
    <x v="0"/>
    <x v="4"/>
    <s v="Rohit"/>
    <x v="6"/>
    <n v="4"/>
    <s v="Feb"/>
    <x v="5"/>
  </r>
  <r>
    <s v="ZAR-10928"/>
    <d v="2025-12-05T00:00:00"/>
    <x v="4"/>
    <d v="1899-12-30T22:28:00"/>
    <x v="1"/>
    <x v="0"/>
    <x v="4"/>
    <x v="6"/>
    <x v="2"/>
    <x v="2"/>
    <n v="1"/>
    <n v="44950"/>
    <x v="3"/>
    <n v="30"/>
    <s v="Valid"/>
    <s v="Match"/>
    <n v="44950"/>
    <n v="13485"/>
    <n v="31465"/>
    <n v="27111.3"/>
    <n v="4353.7"/>
    <b v="0"/>
    <x v="0"/>
    <x v="0"/>
    <s v="Rohit"/>
    <x v="2"/>
    <n v="4"/>
    <s v="Dec"/>
    <x v="3"/>
  </r>
  <r>
    <s v="ZAR-10638"/>
    <d v="2025-09-05T00:00:00"/>
    <x v="0"/>
    <d v="1899-12-30T07:05:00"/>
    <x v="3"/>
    <x v="0"/>
    <x v="10"/>
    <x v="1"/>
    <x v="0"/>
    <x v="2"/>
    <n v="4"/>
    <n v="4950"/>
    <x v="4"/>
    <s v="10"/>
    <s v="Invalid Discount"/>
    <s v="Match"/>
    <n v="19800"/>
    <n v="1980"/>
    <n v="17820"/>
    <n v="13661.64"/>
    <n v="4158.3599999999997"/>
    <b v="0"/>
    <x v="0"/>
    <x v="1"/>
    <s v="Karan"/>
    <x v="0"/>
    <n v="4.5"/>
    <s v="Sep"/>
    <x v="3"/>
  </r>
  <r>
    <s v="ZAR-10266"/>
    <d v="2025-11-02T00:00:00"/>
    <x v="2"/>
    <d v="1899-12-30T18:04:00"/>
    <x v="0"/>
    <x v="1"/>
    <x v="13"/>
    <x v="3"/>
    <x v="3"/>
    <x v="0"/>
    <n v="2"/>
    <n v="3200"/>
    <x v="1"/>
    <n v="10"/>
    <s v="Valid"/>
    <s v="Match"/>
    <n v="6400"/>
    <n v="640"/>
    <n v="5760"/>
    <n v="4626.67"/>
    <n v="1133.33"/>
    <b v="0"/>
    <x v="0"/>
    <x v="1"/>
    <s v="Neha"/>
    <x v="2"/>
    <s v="Not Rated"/>
    <s v="Nov"/>
    <x v="0"/>
  </r>
  <r>
    <s v="ZAR-10541"/>
    <d v="2025-06-16T00:00:00"/>
    <x v="4"/>
    <d v="1899-12-30T21:28:00"/>
    <x v="0"/>
    <x v="0"/>
    <x v="12"/>
    <x v="7"/>
    <x v="4"/>
    <x v="1"/>
    <n v="1"/>
    <n v="2700"/>
    <x v="2"/>
    <n v="0"/>
    <s v="Valid"/>
    <s v="Match"/>
    <n v="2700"/>
    <n v="0"/>
    <n v="2700"/>
    <n v="1979.94"/>
    <n v="720.06"/>
    <b v="0"/>
    <x v="0"/>
    <x v="0"/>
    <s v="Sanjay"/>
    <x v="4"/>
    <n v="3"/>
    <s v="Jun"/>
    <x v="2"/>
  </r>
  <r>
    <s v="ZAR-10717"/>
    <d v="2025-01-08T00:00:00"/>
    <x v="0"/>
    <d v="1899-12-30T06:17:00"/>
    <x v="3"/>
    <x v="0"/>
    <x v="4"/>
    <x v="3"/>
    <x v="8"/>
    <x v="4"/>
    <n v="2"/>
    <n v="20300"/>
    <x v="1"/>
    <n v="5"/>
    <s v="Valid"/>
    <s v="Match"/>
    <n v="40600"/>
    <n v="2030"/>
    <n v="38570"/>
    <n v="24193.16"/>
    <n v="14376.84"/>
    <b v="0"/>
    <x v="0"/>
    <x v="4"/>
    <s v="Neha"/>
    <x v="5"/>
    <n v="4"/>
    <s v="Jan"/>
    <x v="1"/>
  </r>
  <r>
    <s v="ZAR-10961"/>
    <d v="2025-10-23T00:00:00"/>
    <x v="0"/>
    <d v="1899-12-30T05:52:00"/>
    <x v="1"/>
    <x v="0"/>
    <x v="4"/>
    <x v="4"/>
    <x v="2"/>
    <x v="1"/>
    <n v="1"/>
    <n v="22400"/>
    <x v="1"/>
    <n v="10"/>
    <s v="Valid"/>
    <s v="Match"/>
    <n v="22400"/>
    <n v="2240"/>
    <n v="20160"/>
    <n v="15054.73"/>
    <n v="5105.2700000000004"/>
    <b v="0"/>
    <x v="0"/>
    <x v="1"/>
    <s v="Rohit"/>
    <x v="4"/>
    <n v="3.5"/>
    <s v="Oct"/>
    <x v="4"/>
  </r>
  <r>
    <s v="ZAR-10954"/>
    <d v="2025-12-07T00:00:00"/>
    <x v="0"/>
    <d v="1899-12-30T04:44:00"/>
    <x v="3"/>
    <x v="0"/>
    <x v="7"/>
    <x v="3"/>
    <x v="0"/>
    <x v="4"/>
    <n v="3"/>
    <n v="1800"/>
    <x v="2"/>
    <n v="0"/>
    <s v="Valid"/>
    <s v="Match"/>
    <n v="5400"/>
    <n v="0"/>
    <n v="5400"/>
    <n v="3923.59"/>
    <n v="1476.41"/>
    <b v="0"/>
    <x v="0"/>
    <x v="2"/>
    <s v="Neha"/>
    <x v="3"/>
    <n v="4"/>
    <s v="Dec"/>
    <x v="0"/>
  </r>
  <r>
    <s v="ZAR-10881"/>
    <d v="2025-09-12T00:00:00"/>
    <x v="5"/>
    <d v="1899-12-30T13:53:00"/>
    <x v="5"/>
    <x v="1"/>
    <x v="5"/>
    <x v="5"/>
    <x v="3"/>
    <x v="0"/>
    <n v="1"/>
    <n v="2900"/>
    <x v="0"/>
    <n v="15"/>
    <s v="Valid"/>
    <s v="Match"/>
    <n v="2900"/>
    <n v="435"/>
    <n v="2465"/>
    <n v="1527.07"/>
    <n v="937.93"/>
    <b v="0"/>
    <x v="0"/>
    <x v="4"/>
    <s v="Karan"/>
    <x v="3"/>
    <n v="5"/>
    <s v="Sep"/>
    <x v="3"/>
  </r>
  <r>
    <s v="ZAR-10451"/>
    <d v="2025-02-28T00:00:00"/>
    <x v="4"/>
    <d v="1899-12-30T21:29:00"/>
    <x v="0"/>
    <x v="1"/>
    <x v="16"/>
    <x v="6"/>
    <x v="3"/>
    <x v="2"/>
    <n v="2"/>
    <n v="3850"/>
    <x v="3"/>
    <n v="30"/>
    <s v="Valid"/>
    <s v="Match"/>
    <n v="7700"/>
    <n v="2310"/>
    <n v="5390"/>
    <n v="4856.84"/>
    <n v="533.16"/>
    <b v="0"/>
    <x v="0"/>
    <x v="4"/>
    <s v="Neha"/>
    <x v="4"/>
    <n v="3"/>
    <s v="Feb"/>
    <x v="3"/>
  </r>
  <r>
    <s v="ZAR-10020"/>
    <d v="2025-05-20T00:00:00"/>
    <x v="3"/>
    <d v="1899-12-30T09:38:00"/>
    <x v="0"/>
    <x v="0"/>
    <x v="6"/>
    <x v="6"/>
    <x v="2"/>
    <x v="2"/>
    <n v="3"/>
    <n v="10600"/>
    <x v="3"/>
    <n v="25"/>
    <s v="Valid"/>
    <s v="Match"/>
    <n v="31800"/>
    <n v="7950"/>
    <n v="23850"/>
    <n v="20406.349999999999"/>
    <n v="3443.65"/>
    <b v="0"/>
    <x v="0"/>
    <x v="2"/>
    <s v="Ananya"/>
    <x v="4"/>
    <n v="4"/>
    <s v="May"/>
    <x v="6"/>
  </r>
  <r>
    <s v=" ZAR-10722 "/>
    <d v="2025-04-11T00:00:00"/>
    <x v="5"/>
    <d v="1899-12-30T14:23:00"/>
    <x v="4"/>
    <x v="0"/>
    <x v="1"/>
    <x v="6"/>
    <x v="0"/>
    <x v="0"/>
    <n v="1"/>
    <n v="2150"/>
    <x v="3"/>
    <n v="25"/>
    <s v="Valid"/>
    <s v="Match"/>
    <n v="2150"/>
    <n v="537.5"/>
    <n v="1612.5"/>
    <n v="1588.84"/>
    <n v="23.66"/>
    <b v="0"/>
    <x v="0"/>
    <x v="3"/>
    <s v="Ananya"/>
    <x v="5"/>
    <n v="3"/>
    <s v="Apr"/>
    <x v="3"/>
  </r>
  <r>
    <s v="ZAR-10487"/>
    <d v="2025-09-10T00:00:00"/>
    <x v="4"/>
    <d v="1899-12-30T22:45:00"/>
    <x v="4"/>
    <x v="1"/>
    <x v="18"/>
    <x v="6"/>
    <x v="7"/>
    <x v="0"/>
    <n v="5"/>
    <n v="1500"/>
    <x v="1"/>
    <n v="10"/>
    <s v="Valid"/>
    <s v="Match"/>
    <n v="7500"/>
    <n v="750"/>
    <n v="6750"/>
    <n v="3960.71"/>
    <n v="2789.29"/>
    <b v="0"/>
    <x v="0"/>
    <x v="3"/>
    <s v="Neha"/>
    <x v="1"/>
    <n v="3"/>
    <s v="Sep"/>
    <x v="1"/>
  </r>
  <r>
    <s v="ZAR-10572"/>
    <d v="2025-05-17T00:00:00"/>
    <x v="1"/>
    <d v="1899-12-30T03:26:00"/>
    <x v="5"/>
    <x v="1"/>
    <x v="3"/>
    <x v="3"/>
    <x v="2"/>
    <x v="1"/>
    <n v="1"/>
    <n v="13100"/>
    <x v="0"/>
    <n v="15"/>
    <s v="Valid"/>
    <s v="Match"/>
    <n v="13100"/>
    <n v="1965"/>
    <n v="11135"/>
    <n v="9577.85"/>
    <n v="1557.15"/>
    <b v="0"/>
    <x v="0"/>
    <x v="3"/>
    <s v="Karan"/>
    <x v="4"/>
    <n v="4"/>
    <s v="May"/>
    <x v="5"/>
  </r>
  <r>
    <s v="ZAR-10066"/>
    <d v="2025-03-11T00:00:00"/>
    <x v="5"/>
    <d v="1899-12-30T12:29:00"/>
    <x v="3"/>
    <x v="0"/>
    <x v="2"/>
    <x v="0"/>
    <x v="3"/>
    <x v="1"/>
    <n v="1"/>
    <n v="119250"/>
    <x v="1"/>
    <n v="10"/>
    <s v="Valid"/>
    <s v="Match"/>
    <n v="119250"/>
    <n v="11925"/>
    <n v="107325"/>
    <n v="85287.25"/>
    <n v="22037.75"/>
    <b v="0"/>
    <x v="0"/>
    <x v="0"/>
    <s v="Karan"/>
    <x v="2"/>
    <n v="4.5"/>
    <s v="Mar"/>
    <x v="6"/>
  </r>
  <r>
    <s v="ZAR-10369"/>
    <d v="2025-06-05T00:00:00"/>
    <x v="5"/>
    <d v="1899-12-30T12:03:00"/>
    <x v="1"/>
    <x v="1"/>
    <x v="9"/>
    <x v="7"/>
    <x v="1"/>
    <x v="3"/>
    <n v="1"/>
    <n v="5700"/>
    <x v="1"/>
    <n v="10"/>
    <s v="Valid"/>
    <s v="Match"/>
    <n v="5700"/>
    <n v="570"/>
    <n v="5130"/>
    <n v="3382.13"/>
    <n v="1747.87"/>
    <b v="0"/>
    <x v="0"/>
    <x v="2"/>
    <s v="Meera"/>
    <x v="1"/>
    <n v="4.5"/>
    <s v="Jun"/>
    <x v="4"/>
  </r>
  <r>
    <s v="ZAR-10085"/>
    <d v="2025-11-27T00:00:00"/>
    <x v="0"/>
    <d v="1899-12-30T05:02:00"/>
    <x v="0"/>
    <x v="0"/>
    <x v="2"/>
    <x v="6"/>
    <x v="2"/>
    <x v="2"/>
    <n v="1"/>
    <n v="66200"/>
    <x v="3"/>
    <n v="25"/>
    <s v="Valid"/>
    <s v="Match"/>
    <n v="66200"/>
    <n v="16550"/>
    <n v="49650"/>
    <n v="35652.17"/>
    <n v="13997.83"/>
    <b v="0"/>
    <x v="0"/>
    <x v="0"/>
    <s v="Sanjay"/>
    <x v="3"/>
    <n v="4"/>
    <s v="Nov"/>
    <x v="4"/>
  </r>
  <r>
    <s v="ZAR-10063"/>
    <d v="2025-06-01T00:00:00"/>
    <x v="3"/>
    <d v="1899-12-30T10:47:00"/>
    <x v="5"/>
    <x v="0"/>
    <x v="10"/>
    <x v="6"/>
    <x v="4"/>
    <x v="0"/>
    <n v="1"/>
    <n v="1100"/>
    <x v="4"/>
    <n v="55"/>
    <s v="Valid"/>
    <s v="Mismatch"/>
    <n v="1100"/>
    <n v="55"/>
    <n v="1045"/>
    <n v="593.80999999999995"/>
    <n v="451.19"/>
    <b v="0"/>
    <x v="0"/>
    <x v="1"/>
    <s v="Priya"/>
    <x v="1"/>
    <n v="4"/>
    <s v="Jun"/>
    <x v="0"/>
  </r>
  <r>
    <s v="ZAR-10441"/>
    <d v="2025-08-10T00:00:00"/>
    <x v="0"/>
    <d v="1899-12-30T04:16:00"/>
    <x v="2"/>
    <x v="0"/>
    <x v="12"/>
    <x v="7"/>
    <x v="5"/>
    <x v="0"/>
    <n v="1"/>
    <n v="13450"/>
    <x v="1"/>
    <n v="10"/>
    <s v="Valid"/>
    <s v="Match"/>
    <n v="13450"/>
    <n v="1345"/>
    <n v="12105"/>
    <n v="9095.65"/>
    <n v="3009.35"/>
    <b v="0"/>
    <x v="0"/>
    <x v="0"/>
    <s v="Priya"/>
    <x v="3"/>
    <n v="4"/>
    <s v="Aug"/>
    <x v="0"/>
  </r>
  <r>
    <s v="ZAR-10274"/>
    <d v="2025-12-27T00:00:00"/>
    <x v="1"/>
    <d v="1899-12-30T02:58:00"/>
    <x v="2"/>
    <x v="1"/>
    <x v="16"/>
    <x v="6"/>
    <x v="1"/>
    <x v="0"/>
    <n v="1"/>
    <n v="5600"/>
    <x v="1"/>
    <n v="5"/>
    <s v="Valid"/>
    <s v="Match"/>
    <n v="5600"/>
    <n v="280"/>
    <n v="5320"/>
    <n v="3549.86"/>
    <n v="1770.14"/>
    <b v="0"/>
    <x v="0"/>
    <x v="1"/>
    <s v="Neha"/>
    <x v="6"/>
    <n v="4"/>
    <s v="Dec"/>
    <x v="5"/>
  </r>
  <r>
    <s v="ZAR-10287"/>
    <d v="2025-08-31T00:00:00"/>
    <x v="2"/>
    <d v="1899-12-30T17:03:00"/>
    <x v="2"/>
    <x v="1"/>
    <x v="5"/>
    <x v="6"/>
    <x v="3"/>
    <x v="2"/>
    <n v="1"/>
    <m/>
    <x v="2"/>
    <n v="0"/>
    <s v="Valid"/>
    <s v="Match"/>
    <n v="2600"/>
    <n v="0"/>
    <n v="2600"/>
    <n v="1887.85"/>
    <n v="712.15"/>
    <b v="0"/>
    <x v="0"/>
    <x v="3"/>
    <s v="Rohit"/>
    <x v="2"/>
    <n v="3"/>
    <s v="Aug"/>
    <x v="0"/>
  </r>
  <r>
    <s v="ZAR-10362"/>
    <d v="2025-06-11T00:00:00"/>
    <x v="2"/>
    <d v="1899-12-30T16:43:00"/>
    <x v="2"/>
    <x v="0"/>
    <x v="7"/>
    <x v="6"/>
    <x v="0"/>
    <x v="0"/>
    <n v="3"/>
    <n v="550"/>
    <x v="0"/>
    <n v="15"/>
    <s v="Valid"/>
    <s v="Match"/>
    <n v="1650"/>
    <n v="247.5"/>
    <n v="1402.5"/>
    <n v="996.67"/>
    <n v="405.83"/>
    <b v="0"/>
    <x v="0"/>
    <x v="4"/>
    <s v="Priya"/>
    <x v="3"/>
    <n v="4"/>
    <s v="Jun"/>
    <x v="1"/>
  </r>
  <r>
    <s v="ZAR-10356"/>
    <d v="2025-09-27T00:00:00"/>
    <x v="3"/>
    <d v="1899-12-30T08:29:00"/>
    <x v="4"/>
    <x v="0"/>
    <x v="12"/>
    <x v="5"/>
    <x v="6"/>
    <x v="5"/>
    <n v="1"/>
    <n v="3900"/>
    <x v="3"/>
    <n v="25"/>
    <s v="Valid"/>
    <s v="Match"/>
    <n v="3900"/>
    <n v="975"/>
    <n v="2925"/>
    <n v="2096.69"/>
    <n v="828.31"/>
    <b v="0"/>
    <x v="0"/>
    <x v="3"/>
    <s v="Meera"/>
    <x v="5"/>
    <n v="3.5"/>
    <s v="Sep"/>
    <x v="5"/>
  </r>
  <r>
    <s v=" ZAR-10996 "/>
    <d v="2025-05-26T00:00:00"/>
    <x v="2"/>
    <d v="1899-12-30T19:07:00"/>
    <x v="1"/>
    <x v="0"/>
    <x v="2"/>
    <x v="7"/>
    <x v="2"/>
    <x v="4"/>
    <n v="1"/>
    <n v="44150"/>
    <x v="0"/>
    <n v="15"/>
    <s v="Valid"/>
    <s v="Match"/>
    <n v="44150"/>
    <n v="6622.5"/>
    <n v="37527.5"/>
    <n v="25521.14"/>
    <n v="12006.36"/>
    <b v="0"/>
    <x v="0"/>
    <x v="3"/>
    <s v="Meera"/>
    <x v="3"/>
    <n v="4"/>
    <s v="May"/>
    <x v="2"/>
  </r>
  <r>
    <s v="ZAR-10280"/>
    <d v="2025-12-24T00:00:00"/>
    <x v="2"/>
    <d v="1899-12-30T16:29:00"/>
    <x v="3"/>
    <x v="0"/>
    <x v="7"/>
    <x v="5"/>
    <x v="3"/>
    <x v="1"/>
    <n v="2"/>
    <n v="4350"/>
    <x v="0"/>
    <n v="15"/>
    <s v="Valid"/>
    <s v="Match"/>
    <n v="8700"/>
    <n v="1305"/>
    <n v="7395"/>
    <n v="6393.03"/>
    <n v="1001.97"/>
    <b v="0"/>
    <x v="0"/>
    <x v="4"/>
    <s v="Priya"/>
    <x v="5"/>
    <n v="4"/>
    <s v="Dec"/>
    <x v="1"/>
  </r>
  <r>
    <s v="ZAR-10014"/>
    <d v="2025-11-27T00:00:00"/>
    <x v="1"/>
    <d v="1899-12-30T03:03:00"/>
    <x v="5"/>
    <x v="0"/>
    <x v="7"/>
    <x v="0"/>
    <x v="6"/>
    <x v="2"/>
    <n v="2"/>
    <n v="2600"/>
    <x v="3"/>
    <n v="25"/>
    <s v="Valid"/>
    <s v="Match"/>
    <n v="5200"/>
    <n v="1300"/>
    <n v="3900"/>
    <n v="3451.55"/>
    <n v="448.45"/>
    <b v="0"/>
    <x v="0"/>
    <x v="0"/>
    <s v="Rohit"/>
    <x v="3"/>
    <n v="4"/>
    <s v="Nov"/>
    <x v="4"/>
  </r>
  <r>
    <s v="ZAR-10184"/>
    <d v="2025-06-05T00:00:00"/>
    <x v="1"/>
    <m/>
    <x v="5"/>
    <x v="0"/>
    <x v="10"/>
    <x v="7"/>
    <x v="2"/>
    <x v="0"/>
    <n v="2"/>
    <n v="7000"/>
    <x v="3"/>
    <n v="25"/>
    <s v="Valid"/>
    <s v="Match"/>
    <n v="14000"/>
    <n v="3500"/>
    <n v="10500"/>
    <n v="10053.370000000001"/>
    <n v="446.63"/>
    <b v="0"/>
    <x v="0"/>
    <x v="2"/>
    <s v="Meera"/>
    <x v="4"/>
    <n v="5"/>
    <s v="May"/>
    <x v="6"/>
  </r>
  <r>
    <s v="ZAR-10370"/>
    <d v="2025-12-05T00:00:00"/>
    <x v="0"/>
    <d v="1899-12-30T06:19:00"/>
    <x v="1"/>
    <x v="1"/>
    <x v="16"/>
    <x v="5"/>
    <x v="1"/>
    <x v="0"/>
    <n v="1"/>
    <n v="5500"/>
    <x v="2"/>
    <n v="0"/>
    <s v="Valid"/>
    <s v="Match"/>
    <n v="5500"/>
    <n v="0"/>
    <n v="5500"/>
    <n v="4030.69"/>
    <n v="1469.31"/>
    <b v="0"/>
    <x v="0"/>
    <x v="0"/>
    <s v="Karan"/>
    <x v="6"/>
    <n v="4"/>
    <s v="Dec"/>
    <x v="3"/>
  </r>
  <r>
    <s v="ZAR-10496"/>
    <d v="2025-08-29T00:00:00"/>
    <x v="3"/>
    <d v="1899-12-30T09:38:00"/>
    <x v="3"/>
    <x v="0"/>
    <x v="12"/>
    <x v="0"/>
    <x v="4"/>
    <x v="5"/>
    <n v="3"/>
    <n v="6400"/>
    <x v="3"/>
    <n v="30"/>
    <s v="Valid"/>
    <s v="Match"/>
    <n v="19200"/>
    <n v="5760"/>
    <n v="13440"/>
    <n v="10599.12"/>
    <n v="2840.88"/>
    <b v="0"/>
    <x v="0"/>
    <x v="2"/>
    <s v="Rohit"/>
    <x v="5"/>
    <n v="4.5"/>
    <s v="Aug"/>
    <x v="3"/>
  </r>
  <r>
    <s v="ZAR-10803"/>
    <d v="2025-05-04T00:00:00"/>
    <x v="4"/>
    <d v="1899-12-30T21:31:00"/>
    <x v="6"/>
    <x v="0"/>
    <x v="4"/>
    <x v="5"/>
    <x v="1"/>
    <x v="2"/>
    <n v="2"/>
    <n v="10350"/>
    <x v="0"/>
    <n v="20"/>
    <s v="Valid"/>
    <s v="Match"/>
    <n v="20700"/>
    <n v="4140"/>
    <n v="16560"/>
    <n v="14703.6"/>
    <n v="1856.4"/>
    <b v="0"/>
    <x v="0"/>
    <x v="4"/>
    <s v="Meera"/>
    <x v="4"/>
    <n v="5"/>
    <s v="May"/>
    <x v="0"/>
  </r>
  <r>
    <s v="ZAR-10225"/>
    <d v="2025-01-25T00:00:00"/>
    <x v="4"/>
    <d v="1899-12-30T22:07:00"/>
    <x v="5"/>
    <x v="1"/>
    <x v="13"/>
    <x v="1"/>
    <x v="1"/>
    <x v="0"/>
    <n v="2"/>
    <n v="6950"/>
    <x v="3"/>
    <n v="25"/>
    <s v="Valid"/>
    <s v="Match"/>
    <n v="13900"/>
    <n v="3475"/>
    <n v="10425"/>
    <n v="9784.85"/>
    <n v="640.15"/>
    <b v="0"/>
    <x v="0"/>
    <x v="2"/>
    <s v="Priya"/>
    <x v="1"/>
    <n v="4"/>
    <s v="Jan"/>
    <x v="5"/>
  </r>
  <r>
    <s v="ZAR-10577"/>
    <d v="2025-01-01T00:00:00"/>
    <x v="1"/>
    <d v="1899-12-30T01:42:00"/>
    <x v="1"/>
    <x v="0"/>
    <x v="12"/>
    <x v="5"/>
    <x v="0"/>
    <x v="0"/>
    <n v="1"/>
    <n v="11400"/>
    <x v="2"/>
    <n v="0"/>
    <s v="Valid"/>
    <s v="Match"/>
    <n v="11400"/>
    <n v="0"/>
    <n v="11400"/>
    <n v="6383.83"/>
    <n v="5016.17"/>
    <b v="0"/>
    <x v="0"/>
    <x v="0"/>
    <s v="Rohit"/>
    <x v="3"/>
    <n v="4.5"/>
    <s v="Jan"/>
    <x v="1"/>
  </r>
  <r>
    <s v="ZAR-10705"/>
    <d v="2025-06-30T00:00:00"/>
    <x v="1"/>
    <m/>
    <x v="1"/>
    <x v="2"/>
    <x v="11"/>
    <x v="3"/>
    <x v="5"/>
    <x v="0"/>
    <n v="1"/>
    <n v="10100"/>
    <x v="3"/>
    <n v="25"/>
    <s v="Valid"/>
    <s v="Match"/>
    <n v="10100"/>
    <n v="2525"/>
    <n v="7575"/>
    <n v="5992.57"/>
    <n v="1582.43"/>
    <b v="0"/>
    <x v="0"/>
    <x v="1"/>
    <s v="Priya"/>
    <x v="6"/>
    <n v="3.5"/>
    <s v="Jun"/>
    <x v="2"/>
  </r>
  <r>
    <s v="ZAR-10589"/>
    <d v="2025-01-29T00:00:00"/>
    <x v="2"/>
    <d v="1899-12-30T17:44:00"/>
    <x v="3"/>
    <x v="0"/>
    <x v="10"/>
    <x v="6"/>
    <x v="6"/>
    <x v="1"/>
    <n v="1"/>
    <n v="5850"/>
    <x v="0"/>
    <n v="15"/>
    <s v="Valid"/>
    <s v="Match"/>
    <n v="5850"/>
    <n v="877.5"/>
    <n v="4972.5"/>
    <n v="3240.86"/>
    <n v="1731.64"/>
    <b v="0"/>
    <x v="0"/>
    <x v="2"/>
    <s v="Neha"/>
    <x v="1"/>
    <n v="3"/>
    <s v="Jan"/>
    <x v="1"/>
  </r>
  <r>
    <s v="ZAR-10549"/>
    <d v="2025-12-04T00:00:00"/>
    <x v="0"/>
    <d v="1899-12-30T05:01:00"/>
    <x v="4"/>
    <x v="0"/>
    <x v="6"/>
    <x v="3"/>
    <x v="5"/>
    <x v="5"/>
    <n v="2"/>
    <m/>
    <x v="1"/>
    <n v="10"/>
    <s v="Valid"/>
    <s v="Match"/>
    <n v="60500"/>
    <n v="6050"/>
    <n v="54450"/>
    <n v="44562.22"/>
    <n v="9887.7800000000007"/>
    <b v="0"/>
    <x v="0"/>
    <x v="0"/>
    <s v="Ananya"/>
    <x v="5"/>
    <n v="4"/>
    <s v="Dec"/>
    <x v="4"/>
  </r>
  <r>
    <s v="ZAR-10677"/>
    <d v="2025-03-14T00:00:00"/>
    <x v="1"/>
    <d v="1899-12-30T01:15:00"/>
    <x v="1"/>
    <x v="2"/>
    <x v="15"/>
    <x v="2"/>
    <x v="1"/>
    <x v="0"/>
    <n v="2"/>
    <n v="2750"/>
    <x v="1"/>
    <n v="5"/>
    <s v="Valid"/>
    <s v="Match"/>
    <n v="5500"/>
    <n v="275"/>
    <n v="5225"/>
    <n v="3008.53"/>
    <n v="2216.4699999999998"/>
    <b v="0"/>
    <x v="0"/>
    <x v="2"/>
    <s v="Priya"/>
    <x v="3"/>
    <n v="3"/>
    <s v="Mar"/>
    <x v="3"/>
  </r>
  <r>
    <s v="ZAR-10758"/>
    <d v="2025-01-21T00:00:00"/>
    <x v="3"/>
    <d v="1899-12-30T11:25:00"/>
    <x v="1"/>
    <x v="0"/>
    <x v="2"/>
    <x v="5"/>
    <x v="3"/>
    <x v="3"/>
    <n v="1"/>
    <n v="64900"/>
    <x v="0"/>
    <n v="15"/>
    <s v="Valid"/>
    <s v="Match"/>
    <n v="64900"/>
    <n v="9735"/>
    <n v="55165"/>
    <n v="45574.58"/>
    <n v="9590.42"/>
    <b v="0"/>
    <x v="0"/>
    <x v="2"/>
    <s v="Rohit"/>
    <x v="3"/>
    <n v="4"/>
    <s v="Jan"/>
    <x v="6"/>
  </r>
  <r>
    <s v="ZAR-10178"/>
    <d v="2025-11-21T00:00:00"/>
    <x v="4"/>
    <d v="1899-12-30T20:43:00"/>
    <x v="1"/>
    <x v="0"/>
    <x v="1"/>
    <x v="4"/>
    <x v="2"/>
    <x v="0"/>
    <n v="1"/>
    <n v="4400"/>
    <x v="1"/>
    <n v="10"/>
    <s v="Valid"/>
    <s v="Match"/>
    <n v="4400"/>
    <n v="440"/>
    <n v="3960"/>
    <n v="2666.23"/>
    <n v="1293.77"/>
    <b v="0"/>
    <x v="0"/>
    <x v="1"/>
    <s v="Ananya"/>
    <x v="1"/>
    <n v="3.5"/>
    <s v="Nov"/>
    <x v="3"/>
  </r>
  <r>
    <s v=" ZAR-10671 "/>
    <d v="2025-01-19T00:00:00"/>
    <x v="3"/>
    <d v="1899-12-30T11:04:00"/>
    <x v="5"/>
    <x v="0"/>
    <x v="2"/>
    <x v="0"/>
    <x v="1"/>
    <x v="6"/>
    <n v="2"/>
    <n v="43200"/>
    <x v="3"/>
    <n v="25"/>
    <s v="Valid"/>
    <s v="Match"/>
    <n v="86400"/>
    <n v="21600"/>
    <n v="64800"/>
    <n v="60799.75"/>
    <n v="4000.25"/>
    <b v="0"/>
    <x v="0"/>
    <x v="4"/>
    <s v="Karan"/>
    <x v="2"/>
    <n v="4.5"/>
    <s v="Jan"/>
    <x v="0"/>
  </r>
  <r>
    <s v="ZAR-10633"/>
    <d v="2025-10-30T00:00:00"/>
    <x v="5"/>
    <d v="1899-12-30T12:15:00"/>
    <x v="4"/>
    <x v="0"/>
    <x v="0"/>
    <x v="2"/>
    <x v="4"/>
    <x v="0"/>
    <n v="1"/>
    <n v="4850"/>
    <x v="1"/>
    <n v="5"/>
    <s v="Valid"/>
    <s v="Match"/>
    <n v="4850"/>
    <n v="242.5"/>
    <n v="4607.5"/>
    <n v="3163.73"/>
    <n v="1443.77"/>
    <b v="0"/>
    <x v="0"/>
    <x v="4"/>
    <s v="Rohit"/>
    <x v="1"/>
    <n v="3"/>
    <s v="Oct"/>
    <x v="4"/>
  </r>
  <r>
    <s v="ZAR-10591"/>
    <d v="2025-02-13T00:00:00"/>
    <x v="1"/>
    <d v="1899-12-30T01:38:00"/>
    <x v="0"/>
    <x v="2"/>
    <x v="14"/>
    <x v="3"/>
    <x v="5"/>
    <x v="0"/>
    <n v="2"/>
    <n v="1850"/>
    <x v="2"/>
    <n v="0"/>
    <s v="Valid"/>
    <s v="Match"/>
    <n v="3700"/>
    <n v="0"/>
    <n v="3700"/>
    <n v="2217.44"/>
    <n v="1482.56"/>
    <b v="0"/>
    <x v="0"/>
    <x v="1"/>
    <s v="Karan"/>
    <x v="4"/>
    <n v="5"/>
    <s v="Feb"/>
    <x v="4"/>
  </r>
  <r>
    <s v="ZAR-10524"/>
    <d v="2025-03-31T00:00:00"/>
    <x v="4"/>
    <d v="1899-12-30T20:48:00"/>
    <x v="1"/>
    <x v="0"/>
    <x v="7"/>
    <x v="3"/>
    <x v="5"/>
    <x v="0"/>
    <n v="0"/>
    <n v="3550"/>
    <x v="3"/>
    <n v="25"/>
    <s v="Valid"/>
    <s v="Match"/>
    <n v="14200"/>
    <n v="3550"/>
    <n v="10650"/>
    <n v="7799.28"/>
    <n v="2850.72"/>
    <b v="0"/>
    <x v="0"/>
    <x v="3"/>
    <s v="Karan"/>
    <x v="4"/>
    <n v="4"/>
    <s v="Mar"/>
    <x v="2"/>
  </r>
  <r>
    <s v="ZAR-10395"/>
    <d v="2025-10-21T00:00:00"/>
    <x v="4"/>
    <d v="1899-12-30T21:09:00"/>
    <x v="6"/>
    <x v="1"/>
    <x v="16"/>
    <x v="2"/>
    <x v="7"/>
    <x v="1"/>
    <n v="1"/>
    <n v="4500"/>
    <x v="3"/>
    <n v="30"/>
    <s v="Valid"/>
    <s v="Match"/>
    <n v="4500"/>
    <n v="1350"/>
    <n v="3150"/>
    <n v="3310.88"/>
    <n v="-160.88"/>
    <b v="1"/>
    <x v="5"/>
    <x v="2"/>
    <s v="Rohit"/>
    <x v="4"/>
    <s v="Not Rated"/>
    <s v="Oct"/>
    <x v="6"/>
  </r>
  <r>
    <s v="ZAR-10165"/>
    <d v="2025-10-07T00:00:00"/>
    <x v="0"/>
    <d v="1899-12-30T06:27:00"/>
    <x v="2"/>
    <x v="1"/>
    <x v="16"/>
    <x v="4"/>
    <x v="5"/>
    <x v="2"/>
    <n v="2"/>
    <n v="4900"/>
    <x v="3"/>
    <n v="30"/>
    <s v="Valid"/>
    <s v="Match"/>
    <n v="9800"/>
    <n v="2940"/>
    <n v="6860"/>
    <n v="6646.12"/>
    <n v="213.88"/>
    <b v="0"/>
    <x v="0"/>
    <x v="0"/>
    <s v="Priya"/>
    <x v="3"/>
    <n v="4"/>
    <s v="Oct"/>
    <x v="6"/>
  </r>
  <r>
    <s v="ZAR-10250"/>
    <d v="2025-03-20T00:00:00"/>
    <x v="1"/>
    <d v="1899-12-30T00:29:00"/>
    <x v="1"/>
    <x v="1"/>
    <x v="18"/>
    <x v="6"/>
    <x v="3"/>
    <x v="0"/>
    <n v="2"/>
    <n v="3300"/>
    <x v="2"/>
    <n v="0"/>
    <s v="Valid"/>
    <s v="Match"/>
    <n v="6600"/>
    <n v="0"/>
    <n v="6600"/>
    <n v="4516.49"/>
    <n v="2083.5100000000002"/>
    <b v="0"/>
    <x v="0"/>
    <x v="3"/>
    <s v="Ananya"/>
    <x v="5"/>
    <n v="3.5"/>
    <s v="Mar"/>
    <x v="4"/>
  </r>
  <r>
    <s v="ZAR-10640"/>
    <d v="2025-08-20T00:00:00"/>
    <x v="2"/>
    <d v="1899-12-30T19:32:00"/>
    <x v="0"/>
    <x v="1"/>
    <x v="13"/>
    <x v="0"/>
    <x v="1"/>
    <x v="2"/>
    <n v="1"/>
    <n v="2350"/>
    <x v="1"/>
    <n v="10"/>
    <s v="Valid"/>
    <s v="Match"/>
    <n v="2350"/>
    <n v="235"/>
    <n v="2115"/>
    <n v="1421.34"/>
    <n v="693.66"/>
    <b v="0"/>
    <x v="0"/>
    <x v="4"/>
    <s v="Meera"/>
    <x v="5"/>
    <n v="4"/>
    <s v="Aug"/>
    <x v="1"/>
  </r>
  <r>
    <s v="ZAR-10893"/>
    <d v="2025-07-18T00:00:00"/>
    <x v="2"/>
    <d v="1899-12-30T17:41:00"/>
    <x v="1"/>
    <x v="0"/>
    <x v="2"/>
    <x v="2"/>
    <x v="3"/>
    <x v="0"/>
    <n v="1"/>
    <n v="118100"/>
    <x v="1"/>
    <n v="10"/>
    <s v="Valid"/>
    <s v="Match"/>
    <n v="118100"/>
    <n v="11810"/>
    <n v="106290"/>
    <n v="79524.86"/>
    <n v="26765.14"/>
    <b v="0"/>
    <x v="0"/>
    <x v="4"/>
    <s v="Meera"/>
    <x v="6"/>
    <n v="3.5"/>
    <s v="Jul"/>
    <x v="3"/>
  </r>
  <r>
    <s v="ZAR-10675"/>
    <d v="2025-03-04T00:00:00"/>
    <x v="4"/>
    <d v="1899-12-30T21:04:00"/>
    <x v="2"/>
    <x v="1"/>
    <x v="5"/>
    <x v="7"/>
    <x v="7"/>
    <x v="0"/>
    <n v="1"/>
    <n v="8000"/>
    <x v="0"/>
    <n v="15"/>
    <s v="Valid"/>
    <s v="Match"/>
    <n v="8000"/>
    <n v="1200"/>
    <n v="6800"/>
    <n v="5002.51"/>
    <n v="1797.49"/>
    <b v="0"/>
    <x v="0"/>
    <x v="1"/>
    <s v="Sanjay"/>
    <x v="4"/>
    <n v="5"/>
    <s v="Mar"/>
    <x v="6"/>
  </r>
  <r>
    <s v="ZAR-10377"/>
    <d v="2025-06-04T00:00:00"/>
    <x v="3"/>
    <d v="1899-12-30T11:26:00"/>
    <x v="2"/>
    <x v="0"/>
    <x v="6"/>
    <x v="7"/>
    <x v="4"/>
    <x v="1"/>
    <n v="2"/>
    <n v="25600"/>
    <x v="2"/>
    <n v="0"/>
    <s v="Valid"/>
    <s v="Match"/>
    <n v="51200"/>
    <n v="0"/>
    <n v="51200"/>
    <n v="33688.69"/>
    <n v="17511.310000000001"/>
    <b v="0"/>
    <x v="0"/>
    <x v="3"/>
    <s v="Neha"/>
    <x v="6"/>
    <n v="3"/>
    <s v="Jun"/>
    <x v="1"/>
  </r>
  <r>
    <s v="ZAR-10414"/>
    <d v="2025-02-25T00:00:00"/>
    <x v="1"/>
    <d v="1899-12-30T03:16:00"/>
    <x v="5"/>
    <x v="0"/>
    <x v="7"/>
    <x v="5"/>
    <x v="3"/>
    <x v="0"/>
    <n v="1"/>
    <n v="4950"/>
    <x v="1"/>
    <n v="5"/>
    <s v="Valid"/>
    <s v="Match"/>
    <n v="4950"/>
    <n v="247.5"/>
    <n v="4702.5"/>
    <n v="3410.35"/>
    <n v="1292.1500000000001"/>
    <b v="0"/>
    <x v="0"/>
    <x v="2"/>
    <s v="Meera"/>
    <x v="2"/>
    <n v="3"/>
    <s v="Feb"/>
    <x v="6"/>
  </r>
  <r>
    <s v="ZAR-10076"/>
    <d v="2025-04-03T00:00:00"/>
    <x v="0"/>
    <d v="1899-12-30T04:36:00"/>
    <x v="1"/>
    <x v="0"/>
    <x v="6"/>
    <x v="5"/>
    <x v="2"/>
    <x v="0"/>
    <n v="2"/>
    <n v="10850"/>
    <x v="1"/>
    <n v="10"/>
    <s v="Valid"/>
    <s v="Match"/>
    <n v="21700"/>
    <n v="2170"/>
    <n v="19530"/>
    <n v="12959.79"/>
    <n v="6570.21"/>
    <b v="0"/>
    <x v="0"/>
    <x v="3"/>
    <s v="Rohit"/>
    <x v="1"/>
    <n v="3"/>
    <s v="Apr"/>
    <x v="4"/>
  </r>
  <r>
    <s v="ZAR-10115"/>
    <d v="2025-06-13T00:00:00"/>
    <x v="0"/>
    <d v="1899-12-30T05:25:00"/>
    <x v="4"/>
    <x v="0"/>
    <x v="6"/>
    <x v="2"/>
    <x v="0"/>
    <x v="2"/>
    <n v="1"/>
    <n v="21950"/>
    <x v="1"/>
    <n v="10"/>
    <s v="Valid"/>
    <s v="Match"/>
    <n v="21950"/>
    <n v="2195"/>
    <n v="19755"/>
    <n v="15911.58"/>
    <n v="3843.42"/>
    <b v="0"/>
    <x v="0"/>
    <x v="3"/>
    <s v="Priya"/>
    <x v="1"/>
    <n v="4.5"/>
    <s v="Jun"/>
    <x v="3"/>
  </r>
  <r>
    <s v="ZAR-10574"/>
    <d v="2025-04-06T00:00:00"/>
    <x v="0"/>
    <d v="1899-12-30T07:17:00"/>
    <x v="6"/>
    <x v="0"/>
    <x v="4"/>
    <x v="3"/>
    <x v="2"/>
    <x v="0"/>
    <n v="1"/>
    <n v="35900"/>
    <x v="1"/>
    <n v="5"/>
    <s v="Valid"/>
    <s v="Match"/>
    <n v="35900"/>
    <n v="1795"/>
    <n v="34105"/>
    <n v="24427.61"/>
    <n v="9677.39"/>
    <b v="0"/>
    <x v="0"/>
    <x v="1"/>
    <s v="Sanjay"/>
    <x v="4"/>
    <n v="5"/>
    <s v="Apr"/>
    <x v="0"/>
  </r>
  <r>
    <s v="ZAR-10645"/>
    <d v="2025-06-11T00:00:00"/>
    <x v="4"/>
    <d v="1899-12-30T21:04:00"/>
    <x v="0"/>
    <x v="2"/>
    <x v="15"/>
    <x v="3"/>
    <x v="2"/>
    <x v="5"/>
    <n v="1"/>
    <n v="3800"/>
    <x v="3"/>
    <n v="25"/>
    <s v="Valid"/>
    <s v="Match"/>
    <n v="3800"/>
    <n v="950"/>
    <n v="2850"/>
    <n v="2175.4899999999998"/>
    <n v="674.51"/>
    <b v="0"/>
    <x v="0"/>
    <x v="4"/>
    <s v="Ananya"/>
    <x v="6"/>
    <n v="3"/>
    <s v="Jun"/>
    <x v="1"/>
  </r>
  <r>
    <s v="ZAR-10392"/>
    <d v="2025-05-14T00:00:00"/>
    <x v="0"/>
    <d v="1899-12-30T07:30:00"/>
    <x v="3"/>
    <x v="0"/>
    <x v="10"/>
    <x v="2"/>
    <x v="6"/>
    <x v="3"/>
    <n v="2"/>
    <n v="3700"/>
    <x v="3"/>
    <n v="30"/>
    <s v="Valid"/>
    <s v="Match"/>
    <n v="7400"/>
    <n v="2220"/>
    <n v="5180"/>
    <n v="4346.97"/>
    <n v="833.03"/>
    <b v="0"/>
    <x v="0"/>
    <x v="1"/>
    <s v="Neha"/>
    <x v="6"/>
    <n v="3.5"/>
    <s v="May"/>
    <x v="1"/>
  </r>
  <r>
    <s v="ZAR-10106"/>
    <d v="2025-12-15T00:00:00"/>
    <x v="2"/>
    <d v="1899-12-30T16:22:00"/>
    <x v="0"/>
    <x v="1"/>
    <x v="3"/>
    <x v="3"/>
    <x v="2"/>
    <x v="4"/>
    <n v="1"/>
    <n v="11750"/>
    <x v="2"/>
    <n v="0"/>
    <s v="Valid"/>
    <s v="Match"/>
    <n v="11750"/>
    <n v="0"/>
    <n v="11750"/>
    <n v="7273.18"/>
    <n v="4476.82"/>
    <b v="0"/>
    <x v="0"/>
    <x v="3"/>
    <s v="Meera"/>
    <x v="2"/>
    <n v="3.5"/>
    <s v="Dec"/>
    <x v="2"/>
  </r>
  <r>
    <s v="ZAR-10116"/>
    <d v="2025-12-19T00:00:00"/>
    <x v="4"/>
    <d v="1899-12-30T20:01:00"/>
    <x v="4"/>
    <x v="1"/>
    <x v="16"/>
    <x v="4"/>
    <x v="5"/>
    <x v="0"/>
    <n v="1"/>
    <n v="3700"/>
    <x v="0"/>
    <n v="15"/>
    <s v="Valid"/>
    <s v="Match"/>
    <n v="3700"/>
    <n v="555"/>
    <n v="3145"/>
    <n v="2399.13"/>
    <n v="745.87"/>
    <b v="0"/>
    <x v="0"/>
    <x v="3"/>
    <s v="Sanjay"/>
    <x v="6"/>
    <n v="5"/>
    <s v="Dec"/>
    <x v="3"/>
  </r>
  <r>
    <s v="ZAR-10419"/>
    <d v="2025-11-28T00:00:00"/>
    <x v="3"/>
    <d v="1899-12-30T09:37:00"/>
    <x v="2"/>
    <x v="0"/>
    <x v="12"/>
    <x v="7"/>
    <x v="0"/>
    <x v="4"/>
    <n v="1"/>
    <n v="7650"/>
    <x v="1"/>
    <n v="5"/>
    <s v="Valid"/>
    <s v="Match"/>
    <n v="7650"/>
    <n v="382.5"/>
    <n v="7267.5"/>
    <n v="4394.7299999999996"/>
    <n v="2872.77"/>
    <b v="0"/>
    <x v="0"/>
    <x v="1"/>
    <s v="Ananya"/>
    <x v="5"/>
    <n v="3"/>
    <s v="Nov"/>
    <x v="3"/>
  </r>
  <r>
    <s v="ZAR-10715"/>
    <d v="2025-07-10T00:00:00"/>
    <x v="2"/>
    <d v="1899-12-30T16:38:00"/>
    <x v="3"/>
    <x v="1"/>
    <x v="5"/>
    <x v="0"/>
    <x v="1"/>
    <x v="0"/>
    <n v="2"/>
    <n v="3400"/>
    <x v="3"/>
    <n v="30"/>
    <s v="Valid"/>
    <s v="Match"/>
    <n v="6800"/>
    <n v="2040"/>
    <n v="4760"/>
    <n v="4454.54"/>
    <n v="305.45999999999998"/>
    <b v="0"/>
    <x v="0"/>
    <x v="1"/>
    <s v="Neha"/>
    <x v="4"/>
    <n v="5"/>
    <s v="Jul"/>
    <x v="4"/>
  </r>
  <r>
    <s v="ZAR-10459"/>
    <d v="2025-04-17T00:00:00"/>
    <x v="3"/>
    <d v="1899-12-30T09:44:00"/>
    <x v="1"/>
    <x v="1"/>
    <x v="16"/>
    <x v="5"/>
    <x v="5"/>
    <x v="0"/>
    <n v="2"/>
    <n v="6350"/>
    <x v="3"/>
    <n v="30"/>
    <s v="Valid"/>
    <s v="Match"/>
    <n v="12700"/>
    <n v="3810"/>
    <n v="8890"/>
    <n v="7056.7"/>
    <n v="1833.3"/>
    <b v="0"/>
    <x v="0"/>
    <x v="0"/>
    <s v="Sanjay"/>
    <x v="3"/>
    <n v="4"/>
    <s v="Apr"/>
    <x v="4"/>
  </r>
  <r>
    <s v="ZAR-10411"/>
    <d v="2025-05-26T00:00:00"/>
    <x v="5"/>
    <d v="1899-12-30T14:38:00"/>
    <x v="1"/>
    <x v="1"/>
    <x v="13"/>
    <x v="3"/>
    <x v="7"/>
    <x v="0"/>
    <n v="1"/>
    <n v="5550"/>
    <x v="0"/>
    <n v="15"/>
    <s v="Valid"/>
    <s v="Match"/>
    <n v="5550"/>
    <n v="832.5"/>
    <n v="4717.5"/>
    <n v="3027.3"/>
    <n v="1690.2"/>
    <b v="0"/>
    <x v="0"/>
    <x v="4"/>
    <s v="Meera"/>
    <x v="1"/>
    <n v="3.5"/>
    <s v="May"/>
    <x v="2"/>
  </r>
  <r>
    <s v="ZAR-10094"/>
    <d v="2025-09-13T00:00:00"/>
    <x v="2"/>
    <d v="1899-12-30T19:34:00"/>
    <x v="2"/>
    <x v="0"/>
    <x v="7"/>
    <x v="6"/>
    <x v="2"/>
    <x v="1"/>
    <n v="2"/>
    <n v="3400"/>
    <x v="2"/>
    <n v="0"/>
    <s v="Valid"/>
    <s v="Match"/>
    <n v="6800"/>
    <n v="0"/>
    <n v="6800"/>
    <n v="3701.84"/>
    <n v="3098.16"/>
    <b v="0"/>
    <x v="0"/>
    <x v="0"/>
    <s v="Ananya"/>
    <x v="5"/>
    <n v="3.5"/>
    <s v="Sep"/>
    <x v="5"/>
  </r>
  <r>
    <s v="ZAR-10980"/>
    <d v="2025-04-23T00:00:00"/>
    <x v="4"/>
    <d v="1899-12-30T22:40:00"/>
    <x v="2"/>
    <x v="0"/>
    <x v="6"/>
    <x v="5"/>
    <x v="6"/>
    <x v="0"/>
    <n v="1"/>
    <n v="3250"/>
    <x v="3"/>
    <n v="30"/>
    <s v="Valid"/>
    <s v="Match"/>
    <n v="3250"/>
    <n v="975"/>
    <n v="2275"/>
    <n v="1836.79"/>
    <n v="438.21"/>
    <b v="0"/>
    <x v="0"/>
    <x v="4"/>
    <s v="Sanjay"/>
    <x v="6"/>
    <n v="4"/>
    <s v="Apr"/>
    <x v="1"/>
  </r>
  <r>
    <s v="ZAR-10091"/>
    <d v="2025-03-05T00:00:00"/>
    <x v="3"/>
    <d v="1899-12-30T09:05:00"/>
    <x v="6"/>
    <x v="0"/>
    <x v="12"/>
    <x v="5"/>
    <x v="4"/>
    <x v="0"/>
    <n v="1"/>
    <n v="9450"/>
    <x v="3"/>
    <n v="30"/>
    <s v="Valid"/>
    <s v="Match"/>
    <n v="9450"/>
    <n v="2835"/>
    <n v="6615"/>
    <n v="5986.58"/>
    <n v="628.41999999999996"/>
    <b v="0"/>
    <x v="0"/>
    <x v="1"/>
    <s v="Meera"/>
    <x v="1"/>
    <n v="3.5"/>
    <s v="Mar"/>
    <x v="1"/>
  </r>
  <r>
    <s v="ZAR-10338"/>
    <d v="2025-07-01T00:00:00"/>
    <x v="1"/>
    <d v="1899-12-30T02:09:00"/>
    <x v="3"/>
    <x v="0"/>
    <x v="12"/>
    <x v="0"/>
    <x v="5"/>
    <x v="4"/>
    <n v="1"/>
    <n v="9450"/>
    <x v="0"/>
    <n v="20"/>
    <s v="Valid"/>
    <s v="Match"/>
    <n v="9450"/>
    <n v="1890"/>
    <n v="7560"/>
    <n v="6339.14"/>
    <n v="1220.8599999999999"/>
    <b v="0"/>
    <x v="0"/>
    <x v="3"/>
    <s v="Neha"/>
    <x v="1"/>
    <n v="5"/>
    <s v="Jul"/>
    <x v="6"/>
  </r>
  <r>
    <s v="ZAR-10998"/>
    <d v="2025-05-03T00:00:00"/>
    <x v="5"/>
    <d v="1899-12-30T14:17:00"/>
    <x v="3"/>
    <x v="0"/>
    <x v="6"/>
    <x v="6"/>
    <x v="0"/>
    <x v="0"/>
    <n v="2"/>
    <n v="33050"/>
    <x v="0"/>
    <n v="20"/>
    <s v="Valid"/>
    <s v="Match"/>
    <n v="66100"/>
    <n v="13220"/>
    <n v="52880"/>
    <n v="36522.5"/>
    <n v="16357.5"/>
    <b v="0"/>
    <x v="0"/>
    <x v="1"/>
    <s v="Neha"/>
    <x v="5"/>
    <n v="3"/>
    <s v="May"/>
    <x v="5"/>
  </r>
  <r>
    <s v="ZAR-10929"/>
    <d v="2025-10-18T00:00:00"/>
    <x v="3"/>
    <d v="1899-12-30T08:58:00"/>
    <x v="0"/>
    <x v="0"/>
    <x v="2"/>
    <x v="2"/>
    <x v="1"/>
    <x v="0"/>
    <n v="1"/>
    <n v="120050"/>
    <x v="1"/>
    <n v="10"/>
    <s v="Valid"/>
    <s v="Match"/>
    <n v="120050"/>
    <n v="12005"/>
    <n v="108045"/>
    <n v="73701.16"/>
    <n v="34343.839999999997"/>
    <b v="0"/>
    <x v="0"/>
    <x v="2"/>
    <s v="Rohit"/>
    <x v="1"/>
    <n v="4"/>
    <s v="Oct"/>
    <x v="5"/>
  </r>
  <r>
    <s v="ZAR-10941"/>
    <d v="2025-08-05T00:00:00"/>
    <x v="4"/>
    <d v="1899-12-30T21:20:00"/>
    <x v="6"/>
    <x v="2"/>
    <x v="14"/>
    <x v="3"/>
    <x v="3"/>
    <x v="1"/>
    <n v="2"/>
    <n v="2050"/>
    <x v="3"/>
    <n v="25"/>
    <s v="Valid"/>
    <s v="Match"/>
    <n v="4100"/>
    <n v="1025"/>
    <n v="3075"/>
    <n v="3003.96"/>
    <n v="71.040000000000006"/>
    <b v="0"/>
    <x v="0"/>
    <x v="2"/>
    <s v="Sanjay"/>
    <x v="3"/>
    <n v="3.5"/>
    <s v="Aug"/>
    <x v="6"/>
  </r>
  <r>
    <s v="ZAR-10853"/>
    <d v="2025-01-05T00:00:00"/>
    <x v="1"/>
    <d v="1899-12-30T00:47:00"/>
    <x v="6"/>
    <x v="0"/>
    <x v="6"/>
    <x v="2"/>
    <x v="6"/>
    <x v="0"/>
    <n v="1"/>
    <n v="20800"/>
    <x v="2"/>
    <n v="0"/>
    <s v="Valid"/>
    <s v="Match"/>
    <n v="20800"/>
    <n v="0"/>
    <n v="20800"/>
    <n v="14768.25"/>
    <n v="6031.75"/>
    <b v="0"/>
    <x v="0"/>
    <x v="4"/>
    <s v="Meera"/>
    <x v="4"/>
    <n v="3.5"/>
    <s v="Jan"/>
    <x v="0"/>
  </r>
  <r>
    <s v="ZAR-10599"/>
    <d v="2025-09-14T00:00:00"/>
    <x v="3"/>
    <d v="1899-12-30T09:45:00"/>
    <x v="0"/>
    <x v="0"/>
    <x v="2"/>
    <x v="3"/>
    <x v="1"/>
    <x v="0"/>
    <n v="1"/>
    <n v="60400"/>
    <x v="1"/>
    <n v="10"/>
    <s v="Valid"/>
    <s v="Match"/>
    <n v="60400"/>
    <n v="6040"/>
    <n v="54360"/>
    <n v="43621.67"/>
    <n v="10738.33"/>
    <b v="0"/>
    <x v="0"/>
    <x v="1"/>
    <s v="Karan"/>
    <x v="6"/>
    <n v="4.5"/>
    <s v="Sep"/>
    <x v="0"/>
  </r>
  <r>
    <s v="ZAR-10617"/>
    <d v="2025-12-15T00:00:00"/>
    <x v="5"/>
    <d v="1899-12-30T13:40:00"/>
    <x v="3"/>
    <x v="0"/>
    <x v="6"/>
    <x v="5"/>
    <x v="6"/>
    <x v="2"/>
    <n v="1"/>
    <n v="19800"/>
    <x v="3"/>
    <n v="30"/>
    <s v="Valid"/>
    <s v="Match"/>
    <n v="19800"/>
    <n v="5940"/>
    <n v="13860"/>
    <n v="13169.24"/>
    <n v="690.76"/>
    <b v="0"/>
    <x v="0"/>
    <x v="2"/>
    <s v="Karan"/>
    <x v="2"/>
    <n v="3"/>
    <s v="Dec"/>
    <x v="2"/>
  </r>
  <r>
    <s v="ZAR-10096"/>
    <d v="2025-12-03T00:00:00"/>
    <x v="4"/>
    <d v="1899-12-30T20:06:00"/>
    <x v="6"/>
    <x v="2"/>
    <x v="14"/>
    <x v="7"/>
    <x v="5"/>
    <x v="1"/>
    <n v="1"/>
    <n v="2850"/>
    <x v="2"/>
    <n v="0"/>
    <s v="Valid"/>
    <s v="Match"/>
    <n v="2850"/>
    <n v="0"/>
    <n v="2850"/>
    <n v="1698.19"/>
    <n v="1151.81"/>
    <b v="0"/>
    <x v="0"/>
    <x v="3"/>
    <s v="Priya"/>
    <x v="4"/>
    <n v="3"/>
    <s v="Dec"/>
    <x v="1"/>
  </r>
  <r>
    <s v="ZAR-10013"/>
    <d v="2025-03-09T00:00:00"/>
    <x v="2"/>
    <d v="1899-12-30T18:36:00"/>
    <x v="5"/>
    <x v="2"/>
    <x v="11"/>
    <x v="5"/>
    <x v="7"/>
    <x v="0"/>
    <n v="1"/>
    <n v="7400"/>
    <x v="0"/>
    <n v="15"/>
    <s v="Valid"/>
    <s v="Match"/>
    <n v="7400"/>
    <n v="1110"/>
    <n v="6290"/>
    <n v="4196.78"/>
    <n v="2093.2199999999998"/>
    <b v="0"/>
    <x v="0"/>
    <x v="2"/>
    <s v="Karan"/>
    <x v="1"/>
    <n v="3.5"/>
    <s v="Mar"/>
    <x v="0"/>
  </r>
  <r>
    <s v="ZAR-10398"/>
    <d v="2025-02-14T00:00:00"/>
    <x v="0"/>
    <d v="1899-12-30T06:46:00"/>
    <x v="5"/>
    <x v="0"/>
    <x v="0"/>
    <x v="0"/>
    <x v="5"/>
    <x v="2"/>
    <n v="1"/>
    <n v="4300"/>
    <x v="0"/>
    <n v="15"/>
    <s v="Valid"/>
    <s v="Match"/>
    <n v="4300"/>
    <n v="645"/>
    <n v="3655"/>
    <n v="3063.09"/>
    <n v="591.91"/>
    <b v="0"/>
    <x v="0"/>
    <x v="0"/>
    <s v="Karan"/>
    <x v="1"/>
    <n v="4"/>
    <s v="Feb"/>
    <x v="3"/>
  </r>
  <r>
    <s v="ZAR-10537"/>
    <d v="2025-11-16T00:00:00"/>
    <x v="1"/>
    <d v="1899-12-30T03:55:00"/>
    <x v="1"/>
    <x v="1"/>
    <x v="5"/>
    <x v="6"/>
    <x v="7"/>
    <x v="0"/>
    <n v="3"/>
    <n v="3200"/>
    <x v="0"/>
    <n v="15"/>
    <s v="Valid"/>
    <s v="Match"/>
    <n v="9600"/>
    <n v="1440"/>
    <n v="8160"/>
    <n v="5922.82"/>
    <n v="2237.1799999999998"/>
    <b v="0"/>
    <x v="0"/>
    <x v="2"/>
    <s v="Priya"/>
    <x v="2"/>
    <n v="3"/>
    <s v="Nov"/>
    <x v="0"/>
  </r>
  <r>
    <s v="ZAR-10045"/>
    <d v="2025-04-26T00:00:00"/>
    <x v="2"/>
    <d v="1899-12-30T16:24:00"/>
    <x v="5"/>
    <x v="2"/>
    <x v="11"/>
    <x v="4"/>
    <x v="7"/>
    <x v="4"/>
    <n v="1"/>
    <n v="7800"/>
    <x v="0"/>
    <n v="20"/>
    <s v="Valid"/>
    <s v="Match"/>
    <n v="7800"/>
    <n v="1560"/>
    <n v="6240"/>
    <n v="5412.91"/>
    <n v="827.09"/>
    <b v="0"/>
    <x v="0"/>
    <x v="3"/>
    <s v="Karan"/>
    <x v="2"/>
    <n v="4"/>
    <s v="Apr"/>
    <x v="5"/>
  </r>
  <r>
    <s v="ZAR-10044"/>
    <d v="2025-09-02T00:00:00"/>
    <x v="1"/>
    <d v="1899-12-30T03:52:00"/>
    <x v="2"/>
    <x v="0"/>
    <x v="2"/>
    <x v="0"/>
    <x v="1"/>
    <x v="5"/>
    <n v="1"/>
    <n v="79400"/>
    <x v="1"/>
    <n v="5"/>
    <s v="Valid"/>
    <s v="Match"/>
    <n v="79400"/>
    <n v="3970"/>
    <n v="75430"/>
    <n v="45698.29"/>
    <n v="29731.71"/>
    <b v="0"/>
    <x v="0"/>
    <x v="3"/>
    <s v="Priya"/>
    <x v="2"/>
    <n v="3.5"/>
    <s v="Sep"/>
    <x v="6"/>
  </r>
  <r>
    <s v="ZAR-10331"/>
    <d v="2025-05-06T00:00:00"/>
    <x v="2"/>
    <d v="1899-12-30T17:17:00"/>
    <x v="4"/>
    <x v="0"/>
    <x v="10"/>
    <x v="0"/>
    <x v="3"/>
    <x v="1"/>
    <n v="1"/>
    <n v="3650"/>
    <x v="0"/>
    <n v="20"/>
    <s v="Valid"/>
    <s v="Match"/>
    <n v="3650"/>
    <n v="730"/>
    <n v="2920"/>
    <n v="2379.88"/>
    <n v="540.12"/>
    <b v="0"/>
    <x v="0"/>
    <x v="1"/>
    <s v="Ananya"/>
    <x v="4"/>
    <n v="3"/>
    <s v="May"/>
    <x v="6"/>
  </r>
  <r>
    <s v="ZAR-10169"/>
    <d v="2025-02-17T00:00:00"/>
    <x v="5"/>
    <d v="1899-12-30T14:40:00"/>
    <x v="1"/>
    <x v="0"/>
    <x v="12"/>
    <x v="1"/>
    <x v="4"/>
    <x v="1"/>
    <n v="1"/>
    <n v="8200"/>
    <x v="0"/>
    <n v="20"/>
    <s v="Valid"/>
    <s v="Match"/>
    <n v="8200"/>
    <n v="1640"/>
    <n v="6560"/>
    <n v="4268.46"/>
    <n v="2291.54"/>
    <b v="0"/>
    <x v="0"/>
    <x v="0"/>
    <s v="Meera"/>
    <x v="6"/>
    <n v="4"/>
    <s v="Feb"/>
    <x v="2"/>
  </r>
  <r>
    <s v="ZAR-10501"/>
    <d v="2025-08-11T00:00:00"/>
    <x v="4"/>
    <d v="1899-12-30T22:04:00"/>
    <x v="2"/>
    <x v="0"/>
    <x v="12"/>
    <x v="7"/>
    <x v="3"/>
    <x v="0"/>
    <n v="4"/>
    <n v="10750"/>
    <x v="3"/>
    <n v="30"/>
    <s v="Valid"/>
    <s v="Match"/>
    <n v="43000"/>
    <n v="12900"/>
    <n v="30100"/>
    <n v="31798.19"/>
    <n v="-1698.19"/>
    <b v="1"/>
    <x v="6"/>
    <x v="4"/>
    <s v="Neha"/>
    <x v="1"/>
    <n v="3.5"/>
    <s v="Aug"/>
    <x v="2"/>
  </r>
  <r>
    <s v="ZAR-10884"/>
    <d v="2025-03-17T00:00:00"/>
    <x v="4"/>
    <d v="1899-12-30T21:48:00"/>
    <x v="5"/>
    <x v="0"/>
    <x v="6"/>
    <x v="6"/>
    <x v="5"/>
    <x v="1"/>
    <n v="1"/>
    <s v="21050.0"/>
    <x v="1"/>
    <n v="10"/>
    <s v="Valid"/>
    <s v="Match"/>
    <n v="21050"/>
    <n v="2105"/>
    <n v="18945"/>
    <n v="14499.43"/>
    <n v="4445.57"/>
    <b v="0"/>
    <x v="0"/>
    <x v="1"/>
    <s v="Priya"/>
    <x v="3"/>
    <n v="3"/>
    <s v="Mar"/>
    <x v="2"/>
  </r>
  <r>
    <s v="ZAR-10603"/>
    <d v="2025-09-15T00:00:00"/>
    <x v="1"/>
    <d v="1899-12-30T03:32:00"/>
    <x v="6"/>
    <x v="1"/>
    <x v="5"/>
    <x v="4"/>
    <x v="7"/>
    <x v="2"/>
    <n v="1"/>
    <n v="6050"/>
    <x v="0"/>
    <n v="15"/>
    <s v="Valid"/>
    <s v="Match"/>
    <n v="6050"/>
    <n v="907.5"/>
    <n v="5142.5"/>
    <n v="4339.26"/>
    <n v="803.24"/>
    <b v="0"/>
    <x v="0"/>
    <x v="4"/>
    <s v="Rohit"/>
    <x v="6"/>
    <n v="4"/>
    <s v="Sep"/>
    <x v="2"/>
  </r>
  <r>
    <s v="ZAR-10763"/>
    <d v="2025-09-06T00:00:00"/>
    <x v="4"/>
    <d v="1899-12-30T20:10:00"/>
    <x v="6"/>
    <x v="1"/>
    <x v="13"/>
    <x v="5"/>
    <x v="7"/>
    <x v="0"/>
    <n v="1"/>
    <n v="6250"/>
    <x v="1"/>
    <n v="10"/>
    <s v="Valid"/>
    <s v="Match"/>
    <n v="6250"/>
    <n v="625"/>
    <n v="5625"/>
    <n v="3769.72"/>
    <n v="1855.28"/>
    <b v="0"/>
    <x v="0"/>
    <x v="4"/>
    <s v="Rohit"/>
    <x v="0"/>
    <n v="3"/>
    <s v="Sep"/>
    <x v="5"/>
  </r>
  <r>
    <s v="ZAR-10102"/>
    <d v="2025-07-07T00:00:00"/>
    <x v="5"/>
    <d v="1899-12-30T12:20:00"/>
    <x v="1"/>
    <x v="0"/>
    <x v="12"/>
    <x v="0"/>
    <x v="6"/>
    <x v="0"/>
    <n v="2"/>
    <n v="7150"/>
    <x v="0"/>
    <n v="20"/>
    <s v="Valid"/>
    <s v="Match"/>
    <n v="14300"/>
    <n v="2860"/>
    <n v="11440"/>
    <n v="7869.19"/>
    <n v="3570.81"/>
    <b v="0"/>
    <x v="0"/>
    <x v="0"/>
    <s v="Neha"/>
    <x v="1"/>
    <s v="Not Rated"/>
    <s v="Jul"/>
    <x v="2"/>
  </r>
  <r>
    <s v="ZAR-10428"/>
    <d v="2025-10-20T00:00:00"/>
    <x v="2"/>
    <d v="1899-12-30T16:59:00"/>
    <x v="2"/>
    <x v="2"/>
    <x v="8"/>
    <x v="5"/>
    <x v="1"/>
    <x v="0"/>
    <n v="2"/>
    <n v="4800"/>
    <x v="1"/>
    <n v="5"/>
    <s v="Valid"/>
    <s v="Match"/>
    <n v="9600"/>
    <n v="480"/>
    <n v="9120"/>
    <n v="5490.52"/>
    <n v="3629.48"/>
    <b v="0"/>
    <x v="0"/>
    <x v="1"/>
    <s v="Neha"/>
    <x v="2"/>
    <n v="4"/>
    <s v="Oct"/>
    <x v="2"/>
  </r>
  <r>
    <s v="ZAR-10180"/>
    <d v="2025-09-26T00:00:00"/>
    <x v="1"/>
    <d v="1899-12-30T02:16:00"/>
    <x v="1"/>
    <x v="1"/>
    <x v="3"/>
    <x v="4"/>
    <x v="3"/>
    <x v="3"/>
    <n v="1"/>
    <n v="36300"/>
    <x v="3"/>
    <n v="30"/>
    <s v="Valid"/>
    <s v="Match"/>
    <n v="36300"/>
    <n v="10890"/>
    <n v="25410"/>
    <n v="22304.59"/>
    <n v="3105.41"/>
    <b v="0"/>
    <x v="0"/>
    <x v="0"/>
    <s v="Meera"/>
    <x v="5"/>
    <n v="4"/>
    <s v="Sep"/>
    <x v="3"/>
  </r>
  <r>
    <s v="ZAR-10446"/>
    <d v="2025-01-23T00:00:00"/>
    <x v="4"/>
    <d v="1899-12-30T20:39:00"/>
    <x v="5"/>
    <x v="1"/>
    <x v="9"/>
    <x v="6"/>
    <x v="5"/>
    <x v="0"/>
    <n v="1"/>
    <n v="12800"/>
    <x v="3"/>
    <n v="25"/>
    <s v="Valid"/>
    <s v="Match"/>
    <n v="12800"/>
    <n v="3200"/>
    <n v="9600"/>
    <n v="6672.35"/>
    <n v="2927.65"/>
    <b v="0"/>
    <x v="0"/>
    <x v="4"/>
    <s v="Meera"/>
    <x v="2"/>
    <s v="Not Rated"/>
    <s v="Jan"/>
    <x v="4"/>
  </r>
  <r>
    <s v="ZAR-10418"/>
    <d v="2025-06-30T00:00:00"/>
    <x v="3"/>
    <d v="1899-12-30T09:20:00"/>
    <x v="2"/>
    <x v="0"/>
    <x v="7"/>
    <x v="4"/>
    <x v="0"/>
    <x v="0"/>
    <n v="2"/>
    <n v="1700"/>
    <x v="0"/>
    <n v="15"/>
    <s v="Valid"/>
    <s v="Match"/>
    <n v="3400"/>
    <n v="510"/>
    <n v="2890"/>
    <n v="2229.4699999999998"/>
    <n v="660.53"/>
    <b v="0"/>
    <x v="0"/>
    <x v="4"/>
    <s v="Sanjay"/>
    <x v="2"/>
    <n v="4"/>
    <s v="Jun"/>
    <x v="2"/>
  </r>
  <r>
    <s v="ZAR-10839"/>
    <d v="2025-07-04T00:00:00"/>
    <x v="0"/>
    <d v="1899-12-30T07:09:00"/>
    <x v="3"/>
    <x v="2"/>
    <x v="8"/>
    <x v="0"/>
    <x v="7"/>
    <x v="1"/>
    <n v="3"/>
    <n v="3000"/>
    <x v="0"/>
    <n v="15"/>
    <s v="Valid"/>
    <s v="Match"/>
    <n v="9000"/>
    <n v="1350"/>
    <n v="7650"/>
    <n v="5742.18"/>
    <n v="1907.82"/>
    <b v="0"/>
    <x v="0"/>
    <x v="4"/>
    <s v="Karan"/>
    <x v="2"/>
    <n v="4"/>
    <s v="Jul"/>
    <x v="3"/>
  </r>
  <r>
    <s v="ZAR-10890"/>
    <d v="2025-09-02T00:00:00"/>
    <x v="4"/>
    <d v="1899-12-30T20:39:00"/>
    <x v="4"/>
    <x v="0"/>
    <x v="7"/>
    <x v="7"/>
    <x v="6"/>
    <x v="0"/>
    <n v="1"/>
    <n v="2200"/>
    <x v="0"/>
    <n v="20"/>
    <s v="Valid"/>
    <s v="Match"/>
    <n v="2200"/>
    <n v="440"/>
    <n v="1760"/>
    <n v="1429.41"/>
    <n v="330.59"/>
    <b v="0"/>
    <x v="0"/>
    <x v="4"/>
    <s v="Ananya"/>
    <x v="3"/>
    <n v="4"/>
    <s v="Sep"/>
    <x v="6"/>
  </r>
  <r>
    <s v="ZAR-10664"/>
    <d v="2025-02-19T00:00:00"/>
    <x v="4"/>
    <d v="1899-12-30T21:06:00"/>
    <x v="5"/>
    <x v="0"/>
    <x v="7"/>
    <x v="5"/>
    <x v="3"/>
    <x v="3"/>
    <n v="1"/>
    <n v="800"/>
    <x v="3"/>
    <n v="25"/>
    <s v="Valid"/>
    <s v="Match"/>
    <n v="800"/>
    <n v="200"/>
    <n v="600"/>
    <n v="444.02"/>
    <n v="155.97999999999999"/>
    <b v="0"/>
    <x v="0"/>
    <x v="1"/>
    <s v="Karan"/>
    <x v="1"/>
    <n v="5"/>
    <s v="Feb"/>
    <x v="1"/>
  </r>
  <r>
    <s v="ZAR-10179"/>
    <d v="2025-12-26T00:00:00"/>
    <x v="1"/>
    <d v="1899-12-30T00:10:00"/>
    <x v="5"/>
    <x v="0"/>
    <x v="2"/>
    <x v="7"/>
    <x v="8"/>
    <x v="3"/>
    <n v="1"/>
    <n v="51100"/>
    <x v="1"/>
    <n v="5"/>
    <s v="Valid"/>
    <s v="Match"/>
    <n v="51100"/>
    <n v="2555"/>
    <n v="48545"/>
    <n v="34530.22"/>
    <n v="14014.78"/>
    <b v="0"/>
    <x v="0"/>
    <x v="1"/>
    <s v="Karan"/>
    <x v="3"/>
    <n v="3.5"/>
    <s v="Dec"/>
    <x v="3"/>
  </r>
  <r>
    <s v="ZAR-10397"/>
    <d v="2025-09-09T00:00:00"/>
    <x v="3"/>
    <d v="1899-12-30T10:38:00"/>
    <x v="4"/>
    <x v="1"/>
    <x v="18"/>
    <x v="0"/>
    <x v="5"/>
    <x v="0"/>
    <n v="1"/>
    <n v="2950"/>
    <x v="0"/>
    <n v="20"/>
    <s v="Valid"/>
    <s v="Match"/>
    <n v="2950"/>
    <n v="590"/>
    <n v="2360"/>
    <n v="1789.98"/>
    <n v="570.02"/>
    <b v="0"/>
    <x v="0"/>
    <x v="0"/>
    <s v="Priya"/>
    <x v="1"/>
    <n v="4"/>
    <s v="Sep"/>
    <x v="6"/>
  </r>
  <r>
    <s v="ZAR-10682"/>
    <d v="2025-08-27T00:00:00"/>
    <x v="1"/>
    <d v="1899-12-30T01:22:00"/>
    <x v="5"/>
    <x v="1"/>
    <x v="16"/>
    <x v="5"/>
    <x v="7"/>
    <x v="1"/>
    <n v="1"/>
    <n v="6650"/>
    <x v="2"/>
    <n v="0"/>
    <s v="Valid"/>
    <s v="Match"/>
    <n v="6650"/>
    <n v="0"/>
    <n v="6650"/>
    <n v="4101.59"/>
    <n v="2548.41"/>
    <b v="0"/>
    <x v="0"/>
    <x v="4"/>
    <s v="Neha"/>
    <x v="5"/>
    <n v="3"/>
    <s v="Aug"/>
    <x v="1"/>
  </r>
  <r>
    <s v="ZAR-10801"/>
    <d v="2025-01-06T00:00:00"/>
    <x v="4"/>
    <d v="1899-12-30T20:07:00"/>
    <x v="4"/>
    <x v="0"/>
    <x v="6"/>
    <x v="2"/>
    <x v="2"/>
    <x v="0"/>
    <n v="1"/>
    <n v="8650"/>
    <x v="4"/>
    <s v="10"/>
    <s v="Invalid Discount"/>
    <s v="Match"/>
    <n v="8650"/>
    <n v="865"/>
    <n v="7785"/>
    <n v="5945.39"/>
    <n v="1839.61"/>
    <b v="0"/>
    <x v="0"/>
    <x v="1"/>
    <s v="Karan"/>
    <x v="1"/>
    <n v="4.5"/>
    <s v="Jan"/>
    <x v="2"/>
  </r>
  <r>
    <s v="ZAR-10970"/>
    <d v="2025-01-23T00:00:00"/>
    <x v="0"/>
    <d v="1899-12-30T06:29:00"/>
    <x v="5"/>
    <x v="0"/>
    <x v="4"/>
    <x v="2"/>
    <x v="1"/>
    <x v="0"/>
    <n v="3"/>
    <n v="10900"/>
    <x v="1"/>
    <n v="5"/>
    <s v="Valid"/>
    <s v="Match"/>
    <n v="32700"/>
    <n v="1635"/>
    <n v="31065"/>
    <n v="19958.830000000002"/>
    <n v="11106.17"/>
    <b v="0"/>
    <x v="0"/>
    <x v="1"/>
    <s v="Rohit"/>
    <x v="4"/>
    <n v="5"/>
    <s v="Jan"/>
    <x v="4"/>
  </r>
  <r>
    <s v="ZAR-10690"/>
    <d v="2025-03-02T00:00:00"/>
    <x v="1"/>
    <d v="1899-12-30T02:26:00"/>
    <x v="5"/>
    <x v="1"/>
    <x v="18"/>
    <x v="1"/>
    <x v="7"/>
    <x v="0"/>
    <n v="1"/>
    <n v="1250"/>
    <x v="1"/>
    <n v="10"/>
    <s v="Valid"/>
    <s v="Match"/>
    <n v="1250"/>
    <n v="125"/>
    <n v="1125"/>
    <n v="743.93"/>
    <n v="381.07"/>
    <b v="0"/>
    <x v="0"/>
    <x v="1"/>
    <s v="Sanjay"/>
    <x v="2"/>
    <n v="5"/>
    <s v="Mar"/>
    <x v="0"/>
  </r>
  <r>
    <s v="ZAR-10385"/>
    <d v="2025-08-26T00:00:00"/>
    <x v="0"/>
    <d v="1899-12-30T04:55:00"/>
    <x v="1"/>
    <x v="0"/>
    <x v="10"/>
    <x v="2"/>
    <x v="0"/>
    <x v="0"/>
    <n v="2"/>
    <n v="6150"/>
    <x v="2"/>
    <n v="0"/>
    <s v="Valid"/>
    <s v="Match"/>
    <n v="12300"/>
    <n v="0"/>
    <n v="12300"/>
    <n v="9038.19"/>
    <n v="3261.81"/>
    <b v="0"/>
    <x v="0"/>
    <x v="2"/>
    <s v="Meera"/>
    <x v="4"/>
    <n v="5"/>
    <s v="Aug"/>
    <x v="6"/>
  </r>
  <r>
    <s v="ZAR-10966"/>
    <d v="2025-05-01T00:00:00"/>
    <x v="4"/>
    <d v="1899-12-30T20:31:00"/>
    <x v="5"/>
    <x v="2"/>
    <x v="14"/>
    <x v="6"/>
    <x v="5"/>
    <x v="0"/>
    <n v="1"/>
    <n v="1300"/>
    <x v="1"/>
    <n v="5"/>
    <s v="Valid"/>
    <s v="Match"/>
    <n v="1300"/>
    <n v="65"/>
    <n v="1235"/>
    <n v="680.9"/>
    <n v="554.1"/>
    <b v="0"/>
    <x v="0"/>
    <x v="4"/>
    <s v="Neha"/>
    <x v="3"/>
    <n v="3"/>
    <s v="May"/>
    <x v="4"/>
  </r>
  <r>
    <s v="ZAR-10618"/>
    <d v="2025-02-21T00:00:00"/>
    <x v="4"/>
    <d v="1899-12-30T20:28:00"/>
    <x v="4"/>
    <x v="0"/>
    <x v="7"/>
    <x v="1"/>
    <x v="0"/>
    <x v="1"/>
    <n v="2"/>
    <n v="950"/>
    <x v="0"/>
    <n v="20"/>
    <s v="Valid"/>
    <s v="Match"/>
    <n v="1900"/>
    <n v="380"/>
    <n v="1520"/>
    <n v="1375.58"/>
    <n v="144.41999999999999"/>
    <b v="0"/>
    <x v="0"/>
    <x v="1"/>
    <s v="Meera"/>
    <x v="1"/>
    <n v="4"/>
    <s v="Feb"/>
    <x v="3"/>
  </r>
  <r>
    <s v="ZAR-10259"/>
    <d v="2025-09-15T00:00:00"/>
    <x v="1"/>
    <d v="1899-12-30T00:42:00"/>
    <x v="0"/>
    <x v="0"/>
    <x v="0"/>
    <x v="0"/>
    <x v="4"/>
    <x v="4"/>
    <n v="1"/>
    <n v="2750"/>
    <x v="2"/>
    <n v="0"/>
    <s v="Valid"/>
    <s v="Match"/>
    <n v="2750"/>
    <n v="0"/>
    <n v="2750"/>
    <n v="1670.06"/>
    <n v="1079.94"/>
    <b v="0"/>
    <x v="0"/>
    <x v="3"/>
    <s v="Rohit"/>
    <x v="1"/>
    <n v="5"/>
    <s v="Sep"/>
    <x v="2"/>
  </r>
  <r>
    <s v="ZAR-10337"/>
    <d v="2025-08-31T00:00:00"/>
    <x v="1"/>
    <d v="1899-12-30T01:41:00"/>
    <x v="0"/>
    <x v="0"/>
    <x v="2"/>
    <x v="3"/>
    <x v="5"/>
    <x v="0"/>
    <n v="1"/>
    <n v="107050"/>
    <x v="3"/>
    <n v="25"/>
    <s v="Valid"/>
    <s v="Match"/>
    <n v="107050"/>
    <n v="26762.5"/>
    <n v="80287.5"/>
    <n v="66949.48"/>
    <n v="13338.02"/>
    <b v="0"/>
    <x v="0"/>
    <x v="2"/>
    <s v="Meera"/>
    <x v="5"/>
    <n v="4"/>
    <s v="Aug"/>
    <x v="0"/>
  </r>
  <r>
    <s v="ZAR-10017"/>
    <d v="2025-09-18T00:00:00"/>
    <x v="1"/>
    <d v="1899-12-30T02:54:00"/>
    <x v="0"/>
    <x v="0"/>
    <x v="2"/>
    <x v="5"/>
    <x v="2"/>
    <x v="0"/>
    <n v="1"/>
    <n v="98050"/>
    <x v="0"/>
    <n v="20"/>
    <s v="Valid"/>
    <s v="Match"/>
    <n v="98050"/>
    <n v="19610"/>
    <n v="78440"/>
    <n v="54381.98"/>
    <n v="24058.02"/>
    <b v="0"/>
    <x v="0"/>
    <x v="3"/>
    <s v="Rohit"/>
    <x v="5"/>
    <n v="4"/>
    <s v="Sep"/>
    <x v="4"/>
  </r>
  <r>
    <s v="ZAR-10635"/>
    <d v="2025-11-13T00:00:00"/>
    <x v="1"/>
    <d v="1899-12-30T03:01:00"/>
    <x v="0"/>
    <x v="2"/>
    <x v="8"/>
    <x v="3"/>
    <x v="3"/>
    <x v="0"/>
    <n v="4"/>
    <n v="4400"/>
    <x v="2"/>
    <n v="0"/>
    <s v="Valid"/>
    <s v="Match"/>
    <n v="17600"/>
    <n v="0"/>
    <n v="17600"/>
    <n v="12416.39"/>
    <n v="5183.6099999999997"/>
    <b v="0"/>
    <x v="0"/>
    <x v="1"/>
    <s v="Rohit"/>
    <x v="2"/>
    <n v="4"/>
    <s v="Nov"/>
    <x v="4"/>
  </r>
  <r>
    <s v="ZAR-10326"/>
    <d v="2025-07-18T00:00:00"/>
    <x v="2"/>
    <d v="1899-12-30T16:48:00"/>
    <x v="1"/>
    <x v="0"/>
    <x v="2"/>
    <x v="6"/>
    <x v="3"/>
    <x v="3"/>
    <n v="1"/>
    <n v="111900"/>
    <x v="3"/>
    <n v="25"/>
    <s v="Valid"/>
    <s v="Match"/>
    <n v="111900"/>
    <n v="27975"/>
    <n v="83925"/>
    <n v="59154.3"/>
    <n v="24770.7"/>
    <b v="0"/>
    <x v="0"/>
    <x v="0"/>
    <s v="Rohit"/>
    <x v="1"/>
    <n v="4"/>
    <s v="Jul"/>
    <x v="3"/>
  </r>
  <r>
    <s v="ZAR-10892"/>
    <d v="2025-08-29T00:00:00"/>
    <x v="1"/>
    <d v="1899-12-30T01:20:00"/>
    <x v="3"/>
    <x v="0"/>
    <x v="4"/>
    <x v="3"/>
    <x v="3"/>
    <x v="1"/>
    <n v="2"/>
    <n v="24300"/>
    <x v="1"/>
    <n v="5"/>
    <s v="Valid"/>
    <s v="Match"/>
    <n v="48600"/>
    <n v="2430"/>
    <n v="46170"/>
    <n v="31725.78"/>
    <n v="14444.22"/>
    <b v="0"/>
    <x v="0"/>
    <x v="2"/>
    <s v="Ananya"/>
    <x v="4"/>
    <n v="3.5"/>
    <s v="Aug"/>
    <x v="3"/>
  </r>
  <r>
    <s v="ZAR-10224"/>
    <d v="2025-04-27T00:00:00"/>
    <x v="0"/>
    <d v="1899-12-30T07:46:00"/>
    <x v="0"/>
    <x v="0"/>
    <x v="10"/>
    <x v="3"/>
    <x v="4"/>
    <x v="0"/>
    <n v="1"/>
    <n v="3100"/>
    <x v="3"/>
    <n v="30"/>
    <s v="Valid"/>
    <s v="Match"/>
    <n v="3100"/>
    <n v="930"/>
    <n v="2170"/>
    <n v="1887.11"/>
    <n v="282.89"/>
    <b v="0"/>
    <x v="0"/>
    <x v="4"/>
    <s v="Meera"/>
    <x v="5"/>
    <n v="2.5"/>
    <s v="Apr"/>
    <x v="0"/>
  </r>
  <r>
    <s v="ZAR-10181"/>
    <d v="2025-03-01T00:00:00"/>
    <x v="0"/>
    <d v="1899-12-30T07:47:00"/>
    <x v="4"/>
    <x v="0"/>
    <x v="6"/>
    <x v="4"/>
    <x v="6"/>
    <x v="0"/>
    <n v="1"/>
    <n v="10250"/>
    <x v="0"/>
    <n v="20"/>
    <s v="Valid"/>
    <s v="Match"/>
    <n v="10250"/>
    <n v="2050"/>
    <n v="8200"/>
    <n v="6850.14"/>
    <n v="1349.86"/>
    <b v="0"/>
    <x v="0"/>
    <x v="0"/>
    <s v="Priya"/>
    <x v="1"/>
    <n v="3.5"/>
    <s v="Mar"/>
    <x v="5"/>
  </r>
  <r>
    <s v="ZAR-10993"/>
    <d v="2025-11-04T00:00:00"/>
    <x v="5"/>
    <d v="1899-12-30T14:33:00"/>
    <x v="5"/>
    <x v="0"/>
    <x v="1"/>
    <x v="1"/>
    <x v="4"/>
    <x v="2"/>
    <n v="2"/>
    <n v="3750"/>
    <x v="2"/>
    <n v="0"/>
    <s v="Valid"/>
    <s v="Match"/>
    <n v="7500"/>
    <n v="0"/>
    <n v="7500"/>
    <n v="4056.05"/>
    <n v="3443.95"/>
    <b v="0"/>
    <x v="0"/>
    <x v="1"/>
    <s v="Neha"/>
    <x v="2"/>
    <n v="3"/>
    <s v="Nov"/>
    <x v="6"/>
  </r>
  <r>
    <s v="ZAR-10024"/>
    <d v="2025-02-05T00:00:00"/>
    <x v="3"/>
    <d v="1899-12-30T08:22:00"/>
    <x v="1"/>
    <x v="0"/>
    <x v="1"/>
    <x v="4"/>
    <x v="4"/>
    <x v="0"/>
    <n v="2"/>
    <n v="1550"/>
    <x v="0"/>
    <n v="15"/>
    <s v="Valid"/>
    <s v="Match"/>
    <n v="3100"/>
    <n v="465"/>
    <n v="2635"/>
    <n v="1835.87"/>
    <n v="799.13"/>
    <b v="0"/>
    <x v="0"/>
    <x v="2"/>
    <s v="Priya"/>
    <x v="6"/>
    <n v="4"/>
    <s v="Feb"/>
    <x v="1"/>
  </r>
  <r>
    <s v="ZAR-10358"/>
    <d v="2025-01-27T00:00:00"/>
    <x v="4"/>
    <d v="1899-12-30T21:18:00"/>
    <x v="6"/>
    <x v="1"/>
    <x v="13"/>
    <x v="0"/>
    <x v="7"/>
    <x v="2"/>
    <n v="2"/>
    <n v="3150"/>
    <x v="0"/>
    <n v="20"/>
    <s v="Valid"/>
    <s v="Match"/>
    <n v="6300"/>
    <n v="1260"/>
    <n v="5040"/>
    <n v="3510.34"/>
    <n v="1529.66"/>
    <b v="0"/>
    <x v="0"/>
    <x v="3"/>
    <s v="Ananya"/>
    <x v="3"/>
    <n v="3"/>
    <s v="Jan"/>
    <x v="2"/>
  </r>
  <r>
    <s v="ZAR-10672"/>
    <d v="2025-04-27T00:00:00"/>
    <x v="1"/>
    <d v="1899-12-30T00:59:00"/>
    <x v="2"/>
    <x v="0"/>
    <x v="10"/>
    <x v="3"/>
    <x v="3"/>
    <x v="0"/>
    <n v="2"/>
    <n v="4000"/>
    <x v="0"/>
    <n v="15"/>
    <s v="Valid"/>
    <s v="Match"/>
    <n v="8000"/>
    <n v="1200"/>
    <n v="6800"/>
    <n v="5000.5600000000004"/>
    <n v="1799.44"/>
    <b v="0"/>
    <x v="0"/>
    <x v="2"/>
    <s v="Neha"/>
    <x v="1"/>
    <n v="4.5"/>
    <s v="Apr"/>
    <x v="0"/>
  </r>
  <r>
    <s v="ZAR-10869"/>
    <d v="2025-03-25T00:00:00"/>
    <x v="2"/>
    <d v="1899-12-30T18:08:00"/>
    <x v="3"/>
    <x v="0"/>
    <x v="0"/>
    <x v="2"/>
    <x v="0"/>
    <x v="3"/>
    <n v="1"/>
    <n v="5100"/>
    <x v="0"/>
    <n v="20"/>
    <s v="Valid"/>
    <s v="Match"/>
    <n v="5100"/>
    <n v="1020"/>
    <n v="4080"/>
    <n v="3160.64"/>
    <n v="919.36"/>
    <b v="0"/>
    <x v="0"/>
    <x v="4"/>
    <s v="Rohit"/>
    <x v="3"/>
    <n v="4.5"/>
    <s v="Mar"/>
    <x v="6"/>
  </r>
  <r>
    <s v="ZAR-10342"/>
    <d v="2025-06-14T00:00:00"/>
    <x v="0"/>
    <d v="1899-12-30T06:12:00"/>
    <x v="3"/>
    <x v="0"/>
    <x v="0"/>
    <x v="0"/>
    <x v="5"/>
    <x v="0"/>
    <n v="2"/>
    <n v="1950"/>
    <x v="3"/>
    <n v="25"/>
    <s v="Valid"/>
    <s v="Match"/>
    <n v="3900"/>
    <n v="975"/>
    <n v="2925"/>
    <n v="2793.45"/>
    <n v="131.55000000000001"/>
    <b v="0"/>
    <x v="0"/>
    <x v="4"/>
    <s v="Ananya"/>
    <x v="2"/>
    <n v="3"/>
    <s v="Jun"/>
    <x v="5"/>
  </r>
  <r>
    <s v="ZAR-10433"/>
    <d v="2025-03-24T00:00:00"/>
    <x v="4"/>
    <d v="1899-12-30T22:16:00"/>
    <x v="4"/>
    <x v="0"/>
    <x v="12"/>
    <x v="2"/>
    <x v="2"/>
    <x v="0"/>
    <n v="3"/>
    <n v="11450"/>
    <x v="3"/>
    <n v="30"/>
    <s v="Valid"/>
    <s v="Match"/>
    <n v="34350"/>
    <n v="10305"/>
    <n v="24045"/>
    <n v="18620.689999999999"/>
    <n v="5424.31"/>
    <b v="0"/>
    <x v="0"/>
    <x v="2"/>
    <s v="Meera"/>
    <x v="2"/>
    <n v="4.5"/>
    <s v="Mar"/>
    <x v="2"/>
  </r>
  <r>
    <s v="ZAR-10955"/>
    <d v="2025-06-17T00:00:00"/>
    <x v="0"/>
    <d v="1899-12-30T05:45:00"/>
    <x v="2"/>
    <x v="0"/>
    <x v="0"/>
    <x v="5"/>
    <x v="4"/>
    <x v="4"/>
    <n v="1"/>
    <n v="7100"/>
    <x v="2"/>
    <n v="0"/>
    <s v="Valid"/>
    <s v="Match"/>
    <n v="7100"/>
    <n v="0"/>
    <n v="7100"/>
    <n v="5224.72"/>
    <n v="1875.28"/>
    <b v="0"/>
    <x v="0"/>
    <x v="4"/>
    <s v="Ananya"/>
    <x v="2"/>
    <n v="4.5"/>
    <s v="Jun"/>
    <x v="6"/>
  </r>
  <r>
    <s v="ZAR-10860"/>
    <d v="2025-07-15T00:00:00"/>
    <x v="4"/>
    <d v="1899-12-30T20:09:00"/>
    <x v="5"/>
    <x v="1"/>
    <x v="9"/>
    <x v="0"/>
    <x v="5"/>
    <x v="0"/>
    <n v="1"/>
    <n v="9850"/>
    <x v="1"/>
    <n v="5"/>
    <s v="Valid"/>
    <s v="Match"/>
    <n v="9850"/>
    <n v="492.5"/>
    <n v="9357.5"/>
    <n v="6830.17"/>
    <n v="2527.33"/>
    <b v="0"/>
    <x v="0"/>
    <x v="1"/>
    <s v="Ananya"/>
    <x v="2"/>
    <n v="3.5"/>
    <s v="Jul"/>
    <x v="6"/>
  </r>
  <r>
    <s v="ZAR-10205"/>
    <d v="2025-02-13T00:00:00"/>
    <x v="4"/>
    <d v="1899-12-30T21:22:00"/>
    <x v="6"/>
    <x v="0"/>
    <x v="0"/>
    <x v="3"/>
    <x v="4"/>
    <x v="0"/>
    <n v="1"/>
    <n v="5850"/>
    <x v="3"/>
    <n v="25"/>
    <s v="Valid"/>
    <s v="Match"/>
    <n v="5850"/>
    <n v="1462.5"/>
    <n v="4387.5"/>
    <n v="3901.03"/>
    <n v="486.47"/>
    <b v="0"/>
    <x v="0"/>
    <x v="3"/>
    <s v="Sanjay"/>
    <x v="5"/>
    <n v="3.5"/>
    <s v="Feb"/>
    <x v="4"/>
  </r>
  <r>
    <s v="ZAR-10636"/>
    <d v="2025-01-27T00:00:00"/>
    <x v="3"/>
    <d v="1899-12-30T08:56:00"/>
    <x v="6"/>
    <x v="0"/>
    <x v="12"/>
    <x v="6"/>
    <x v="0"/>
    <x v="0"/>
    <n v="1"/>
    <n v="12700"/>
    <x v="2"/>
    <n v="0"/>
    <s v="Valid"/>
    <s v="Match"/>
    <n v="12700"/>
    <n v="0"/>
    <n v="12700"/>
    <n v="9213.9"/>
    <n v="3486.1"/>
    <b v="0"/>
    <x v="0"/>
    <x v="4"/>
    <s v="Karan"/>
    <x v="5"/>
    <n v="3"/>
    <s v="Jan"/>
    <x v="2"/>
  </r>
  <r>
    <s v="ZAR-10095"/>
    <d v="2025-02-04T00:00:00"/>
    <x v="2"/>
    <d v="1899-12-30T16:34:00"/>
    <x v="4"/>
    <x v="0"/>
    <x v="7"/>
    <x v="2"/>
    <x v="6"/>
    <x v="2"/>
    <n v="2"/>
    <n v="1350"/>
    <x v="0"/>
    <n v="20"/>
    <s v="Valid"/>
    <s v="Match"/>
    <n v="2700"/>
    <n v="540"/>
    <n v="2160"/>
    <n v="1982.94"/>
    <n v="177.06"/>
    <b v="0"/>
    <x v="0"/>
    <x v="2"/>
    <s v="Karan"/>
    <x v="1"/>
    <s v="Not Rated"/>
    <s v="Feb"/>
    <x v="6"/>
  </r>
  <r>
    <s v="ZAR-10971"/>
    <d v="2025-05-24T00:00:00"/>
    <x v="4"/>
    <d v="1899-12-30T20:37:00"/>
    <x v="5"/>
    <x v="0"/>
    <x v="12"/>
    <x v="5"/>
    <x v="3"/>
    <x v="4"/>
    <n v="1"/>
    <n v="3700"/>
    <x v="0"/>
    <n v="20"/>
    <s v="Valid"/>
    <s v="Match"/>
    <n v="3700"/>
    <n v="740"/>
    <n v="2960"/>
    <n v="2257.04"/>
    <n v="702.96"/>
    <b v="0"/>
    <x v="0"/>
    <x v="2"/>
    <s v="Meera"/>
    <x v="3"/>
    <n v="4.5"/>
    <s v="May"/>
    <x v="5"/>
  </r>
  <r>
    <s v="ZAR-10070"/>
    <d v="2025-08-04T00:00:00"/>
    <x v="2"/>
    <d v="1899-12-30T16:07:00"/>
    <x v="1"/>
    <x v="0"/>
    <x v="1"/>
    <x v="5"/>
    <x v="0"/>
    <x v="0"/>
    <n v="1"/>
    <n v="2950"/>
    <x v="1"/>
    <n v="10"/>
    <s v="Valid"/>
    <s v="Match"/>
    <n v="2950"/>
    <n v="295"/>
    <n v="2655"/>
    <n v="1568.01"/>
    <n v="1086.99"/>
    <b v="0"/>
    <x v="0"/>
    <x v="0"/>
    <s v="Neha"/>
    <x v="6"/>
    <n v="4.5"/>
    <s v="Aug"/>
    <x v="2"/>
  </r>
  <r>
    <s v="ZAR-10628"/>
    <d v="2025-07-24T00:00:00"/>
    <x v="0"/>
    <d v="1899-12-30T06:16:00"/>
    <x v="0"/>
    <x v="0"/>
    <x v="0"/>
    <x v="3"/>
    <x v="2"/>
    <x v="0"/>
    <n v="2"/>
    <n v="5150"/>
    <x v="0"/>
    <n v="15"/>
    <s v="Valid"/>
    <s v="Match"/>
    <n v="10300"/>
    <n v="1545"/>
    <n v="8755"/>
    <n v="6517.68"/>
    <n v="2237.3200000000002"/>
    <b v="0"/>
    <x v="0"/>
    <x v="2"/>
    <s v="Neha"/>
    <x v="0"/>
    <n v="4"/>
    <s v="Jul"/>
    <x v="4"/>
  </r>
  <r>
    <s v="ZAR-10286"/>
    <d v="2025-07-05T00:00:00"/>
    <x v="2"/>
    <d v="1899-12-30T18:33:00"/>
    <x v="5"/>
    <x v="0"/>
    <x v="0"/>
    <x v="1"/>
    <x v="6"/>
    <x v="0"/>
    <n v="1"/>
    <n v="6150"/>
    <x v="0"/>
    <n v="15"/>
    <s v="Valid"/>
    <s v="Match"/>
    <n v="6150"/>
    <n v="922.5"/>
    <n v="5227.5"/>
    <n v="4254.66"/>
    <n v="972.84"/>
    <b v="0"/>
    <x v="0"/>
    <x v="4"/>
    <s v="Karan"/>
    <x v="4"/>
    <n v="3.5"/>
    <s v="Jul"/>
    <x v="5"/>
  </r>
  <r>
    <s v="ZAR-10812"/>
    <d v="2025-04-25T00:00:00"/>
    <x v="4"/>
    <d v="1899-12-30T22:14:00"/>
    <x v="0"/>
    <x v="1"/>
    <x v="5"/>
    <x v="4"/>
    <x v="5"/>
    <x v="4"/>
    <n v="2"/>
    <n v="5050"/>
    <x v="1"/>
    <n v="10"/>
    <s v="Valid"/>
    <s v="Match"/>
    <n v="10100"/>
    <n v="1010"/>
    <n v="9090"/>
    <n v="5310.57"/>
    <n v="3779.43"/>
    <b v="0"/>
    <x v="0"/>
    <x v="4"/>
    <s v="Rohit"/>
    <x v="2"/>
    <n v="3.5"/>
    <s v="Apr"/>
    <x v="3"/>
  </r>
  <r>
    <s v="ZAR-10436"/>
    <d v="2025-04-12T00:00:00"/>
    <x v="3"/>
    <d v="1899-12-30T08:44:00"/>
    <x v="6"/>
    <x v="0"/>
    <x v="2"/>
    <x v="6"/>
    <x v="3"/>
    <x v="0"/>
    <n v="1"/>
    <n v="116750"/>
    <x v="1"/>
    <n v="5"/>
    <s v="Valid"/>
    <s v="Match"/>
    <n v="116750"/>
    <n v="5837.5"/>
    <n v="110912.5"/>
    <n v="85730.47"/>
    <n v="25182.03"/>
    <b v="0"/>
    <x v="0"/>
    <x v="1"/>
    <s v="Ananya"/>
    <x v="3"/>
    <n v="4.5"/>
    <s v="Apr"/>
    <x v="5"/>
  </r>
  <r>
    <s v="ZAR-10155"/>
    <d v="2025-09-03T00:00:00"/>
    <x v="2"/>
    <d v="1899-12-30T18:25:00"/>
    <x v="4"/>
    <x v="1"/>
    <x v="18"/>
    <x v="4"/>
    <x v="7"/>
    <x v="0"/>
    <n v="1"/>
    <n v="2150"/>
    <x v="0"/>
    <n v="15"/>
    <s v="Valid"/>
    <s v="Match"/>
    <n v="2150"/>
    <n v="322.5"/>
    <n v="1827.5"/>
    <n v="1586.6"/>
    <n v="240.9"/>
    <b v="0"/>
    <x v="0"/>
    <x v="4"/>
    <s v="Karan"/>
    <x v="5"/>
    <n v="4.5"/>
    <s v="Sep"/>
    <x v="1"/>
  </r>
  <r>
    <s v="ZAR-10077"/>
    <d v="2025-10-18T00:00:00"/>
    <x v="2"/>
    <d v="1899-12-30T19:05:00"/>
    <x v="2"/>
    <x v="0"/>
    <x v="12"/>
    <x v="5"/>
    <x v="6"/>
    <x v="0"/>
    <n v="1"/>
    <n v="4450"/>
    <x v="1"/>
    <n v="10"/>
    <s v="Valid"/>
    <s v="Match"/>
    <n v="4450"/>
    <n v="445"/>
    <n v="4005"/>
    <n v="3074.52"/>
    <n v="930.48"/>
    <b v="0"/>
    <x v="0"/>
    <x v="4"/>
    <s v="Sanjay"/>
    <x v="4"/>
    <n v="5"/>
    <s v="Oct"/>
    <x v="5"/>
  </r>
  <r>
    <s v="ZAR-10973"/>
    <d v="2025-07-02T00:00:00"/>
    <x v="5"/>
    <d v="1899-12-30T14:35:00"/>
    <x v="1"/>
    <x v="0"/>
    <x v="1"/>
    <x v="4"/>
    <x v="2"/>
    <x v="0"/>
    <n v="1"/>
    <n v="4200"/>
    <x v="0"/>
    <n v="15"/>
    <s v="Valid"/>
    <s v="Match"/>
    <n v="4200"/>
    <n v="630"/>
    <n v="3570"/>
    <n v="2827.45"/>
    <n v="742.55"/>
    <b v="0"/>
    <x v="0"/>
    <x v="4"/>
    <s v="Rohit"/>
    <x v="6"/>
    <n v="4.5"/>
    <s v="Jul"/>
    <x v="1"/>
  </r>
  <r>
    <s v="ZAR-10448"/>
    <d v="2025-07-03T00:00:00"/>
    <x v="4"/>
    <d v="1899-12-30T21:06:00"/>
    <x v="6"/>
    <x v="1"/>
    <x v="18"/>
    <x v="3"/>
    <x v="7"/>
    <x v="0"/>
    <n v="1"/>
    <n v="3400"/>
    <x v="3"/>
    <n v="25"/>
    <s v="Valid"/>
    <s v="Match"/>
    <n v="3400"/>
    <n v="850"/>
    <n v="2550"/>
    <n v="2219.4299999999998"/>
    <n v="330.57"/>
    <b v="0"/>
    <x v="0"/>
    <x v="2"/>
    <s v="Meera"/>
    <x v="1"/>
    <n v="4"/>
    <s v="Jul"/>
    <x v="4"/>
  </r>
  <r>
    <s v="ZAR-10190"/>
    <d v="2025-02-03T00:00:00"/>
    <x v="0"/>
    <d v="1899-12-30T06:57:00"/>
    <x v="1"/>
    <x v="1"/>
    <x v="18"/>
    <x v="4"/>
    <x v="1"/>
    <x v="0"/>
    <n v="2"/>
    <n v="1050"/>
    <x v="3"/>
    <n v="30"/>
    <s v="Valid"/>
    <s v="Match"/>
    <n v="2100"/>
    <n v="630"/>
    <n v="1470"/>
    <n v="1126.6400000000001"/>
    <n v="343.36"/>
    <b v="0"/>
    <x v="0"/>
    <x v="1"/>
    <s v="Neha"/>
    <x v="1"/>
    <n v="4"/>
    <s v="Feb"/>
    <x v="2"/>
  </r>
  <r>
    <s v="ZAR-10273"/>
    <d v="2025-04-10T00:00:00"/>
    <x v="1"/>
    <d v="1899-12-30T01:50:00"/>
    <x v="4"/>
    <x v="1"/>
    <x v="9"/>
    <x v="4"/>
    <x v="5"/>
    <x v="0"/>
    <n v="3"/>
    <n v="4150"/>
    <x v="3"/>
    <n v="30"/>
    <s v="Valid"/>
    <s v="Match"/>
    <n v="12450"/>
    <n v="3735"/>
    <n v="8715"/>
    <n v="7893.22"/>
    <n v="821.78"/>
    <b v="0"/>
    <x v="0"/>
    <x v="1"/>
    <s v="Ananya"/>
    <x v="3"/>
    <n v="3"/>
    <s v="Apr"/>
    <x v="4"/>
  </r>
  <r>
    <s v="ZAR-10238"/>
    <d v="2025-08-10T00:00:00"/>
    <x v="2"/>
    <d v="1899-12-30T18:30:00"/>
    <x v="4"/>
    <x v="0"/>
    <x v="6"/>
    <x v="5"/>
    <x v="2"/>
    <x v="2"/>
    <n v="1"/>
    <n v="33800"/>
    <x v="3"/>
    <n v="25"/>
    <s v="Valid"/>
    <s v="Match"/>
    <n v="33800"/>
    <n v="8450"/>
    <n v="25350"/>
    <n v="17937.18"/>
    <n v="7412.82"/>
    <b v="0"/>
    <x v="0"/>
    <x v="0"/>
    <s v="Karan"/>
    <x v="5"/>
    <n v="3"/>
    <s v="Aug"/>
    <x v="0"/>
  </r>
  <r>
    <s v="ZAR-10489"/>
    <d v="2025-11-25T00:00:00"/>
    <x v="4"/>
    <d v="1899-12-30T21:41:00"/>
    <x v="2"/>
    <x v="0"/>
    <x v="0"/>
    <x v="5"/>
    <x v="5"/>
    <x v="4"/>
    <n v="3"/>
    <n v="6700"/>
    <x v="2"/>
    <n v="0"/>
    <s v="Valid"/>
    <s v="Match"/>
    <n v="20100"/>
    <n v="0"/>
    <n v="20100"/>
    <n v="14599.35"/>
    <n v="5500.65"/>
    <b v="0"/>
    <x v="0"/>
    <x v="3"/>
    <s v="Sanjay"/>
    <x v="1"/>
    <n v="4"/>
    <s v="Nov"/>
    <x v="6"/>
  </r>
  <r>
    <s v="ZAR-10119"/>
    <d v="2025-12-27T00:00:00"/>
    <x v="0"/>
    <d v="1899-12-30T06:44:00"/>
    <x v="1"/>
    <x v="0"/>
    <x v="1"/>
    <x v="6"/>
    <x v="4"/>
    <x v="0"/>
    <n v="1"/>
    <n v="1750"/>
    <x v="1"/>
    <n v="10"/>
    <s v="Valid"/>
    <s v="Match"/>
    <n v="1750"/>
    <n v="175"/>
    <n v="1575"/>
    <n v="1206.9000000000001"/>
    <n v="368.1"/>
    <b v="0"/>
    <x v="0"/>
    <x v="4"/>
    <s v="Ananya"/>
    <x v="5"/>
    <n v="5"/>
    <s v="Dec"/>
    <x v="5"/>
  </r>
  <r>
    <s v="ZAR-10826"/>
    <d v="2025-10-07T00:00:00"/>
    <x v="4"/>
    <d v="1899-12-30T20:12:00"/>
    <x v="3"/>
    <x v="1"/>
    <x v="13"/>
    <x v="3"/>
    <x v="5"/>
    <x v="0"/>
    <n v="2"/>
    <n v="4750"/>
    <x v="0"/>
    <n v="20"/>
    <s v="Valid"/>
    <s v="Match"/>
    <n v="9500"/>
    <n v="1900"/>
    <n v="7600"/>
    <n v="5763.85"/>
    <n v="1836.15"/>
    <b v="0"/>
    <x v="0"/>
    <x v="0"/>
    <s v="Sanjay"/>
    <x v="1"/>
    <n v="4"/>
    <s v="Oct"/>
    <x v="6"/>
  </r>
  <r>
    <s v="ZAR-10514"/>
    <d v="2025-11-06T00:00:00"/>
    <x v="0"/>
    <d v="1899-12-30T07:33:00"/>
    <x v="3"/>
    <x v="0"/>
    <x v="1"/>
    <x v="4"/>
    <x v="5"/>
    <x v="4"/>
    <n v="1"/>
    <n v="750"/>
    <x v="2"/>
    <n v="0"/>
    <s v="Valid"/>
    <s v="Match"/>
    <n v="750"/>
    <n v="0"/>
    <n v="750"/>
    <n v="526.05999999999995"/>
    <n v="223.94"/>
    <b v="0"/>
    <x v="0"/>
    <x v="2"/>
    <s v="Priya"/>
    <x v="4"/>
    <n v="4"/>
    <s v="Nov"/>
    <x v="4"/>
  </r>
  <r>
    <s v="ZAR-10802"/>
    <d v="2025-06-24T00:00:00"/>
    <x v="3"/>
    <d v="1899-12-30T08:02:00"/>
    <x v="5"/>
    <x v="0"/>
    <x v="4"/>
    <x v="0"/>
    <x v="3"/>
    <x v="4"/>
    <n v="2"/>
    <n v="27550"/>
    <x v="1"/>
    <n v="5"/>
    <s v="Valid"/>
    <s v="Match"/>
    <n v="55100"/>
    <n v="2755"/>
    <n v="52345"/>
    <n v="29505.42"/>
    <n v="22839.58"/>
    <b v="0"/>
    <x v="0"/>
    <x v="0"/>
    <s v="Meera"/>
    <x v="3"/>
    <n v="4"/>
    <s v="Jun"/>
    <x v="6"/>
  </r>
  <r>
    <s v="ZAR-10597"/>
    <d v="2025-03-22T00:00:00"/>
    <x v="1"/>
    <d v="1899-12-30T00:09:00"/>
    <x v="3"/>
    <x v="0"/>
    <x v="4"/>
    <x v="3"/>
    <x v="1"/>
    <x v="0"/>
    <n v="1"/>
    <n v="32200"/>
    <x v="3"/>
    <n v="30"/>
    <s v="Valid"/>
    <s v="Match"/>
    <n v="32200"/>
    <n v="9660"/>
    <n v="22540"/>
    <n v="20951.37"/>
    <n v="1588.63"/>
    <b v="0"/>
    <x v="0"/>
    <x v="1"/>
    <s v="Meera"/>
    <x v="6"/>
    <n v="4.5"/>
    <s v="Mar"/>
    <x v="5"/>
  </r>
  <r>
    <s v="ZAR-10128"/>
    <d v="2025-11-02T00:00:00"/>
    <x v="1"/>
    <d v="1899-12-30T02:33:00"/>
    <x v="5"/>
    <x v="2"/>
    <x v="15"/>
    <x v="1"/>
    <x v="1"/>
    <x v="0"/>
    <n v="3"/>
    <n v="5150"/>
    <x v="3"/>
    <n v="30"/>
    <s v="Valid"/>
    <s v="Match"/>
    <n v="15450"/>
    <n v="4635"/>
    <n v="10815"/>
    <n v="8875.1299999999992"/>
    <n v="1939.87"/>
    <b v="0"/>
    <x v="0"/>
    <x v="3"/>
    <s v="Neha"/>
    <x v="6"/>
    <n v="3"/>
    <s v="Nov"/>
    <x v="0"/>
  </r>
  <r>
    <s v="ZAR-10118"/>
    <d v="2025-12-06T00:00:00"/>
    <x v="5"/>
    <d v="1899-12-30T15:33:00"/>
    <x v="5"/>
    <x v="2"/>
    <x v="11"/>
    <x v="7"/>
    <x v="1"/>
    <x v="5"/>
    <n v="1"/>
    <n v="9200"/>
    <x v="0"/>
    <n v="20"/>
    <s v="Valid"/>
    <s v="Match"/>
    <n v="9200"/>
    <n v="1840"/>
    <n v="7360"/>
    <n v="5441.9"/>
    <n v="1918.1"/>
    <b v="0"/>
    <x v="0"/>
    <x v="4"/>
    <s v="Neha"/>
    <x v="1"/>
    <n v="4.5"/>
    <s v="Dec"/>
    <x v="5"/>
  </r>
  <r>
    <s v="ZAR-10475"/>
    <d v="2025-11-16T00:00:00"/>
    <x v="4"/>
    <d v="1899-12-30T21:39:00"/>
    <x v="5"/>
    <x v="0"/>
    <x v="10"/>
    <x v="6"/>
    <x v="0"/>
    <x v="0"/>
    <n v="1"/>
    <n v="4950"/>
    <x v="3"/>
    <n v="25"/>
    <s v="Valid"/>
    <s v="Match"/>
    <n v="4950"/>
    <n v="1237.5"/>
    <n v="3712.5"/>
    <n v="2928.16"/>
    <n v="784.34"/>
    <b v="0"/>
    <x v="0"/>
    <x v="2"/>
    <s v="Meera"/>
    <x v="6"/>
    <n v="4"/>
    <s v="Nov"/>
    <x v="0"/>
  </r>
  <r>
    <s v="ZAR-10699"/>
    <d v="2025-01-19T00:00:00"/>
    <x v="4"/>
    <d v="1899-12-30T20:40:00"/>
    <x v="2"/>
    <x v="1"/>
    <x v="16"/>
    <x v="0"/>
    <x v="5"/>
    <x v="0"/>
    <n v="2"/>
    <n v="2900"/>
    <x v="3"/>
    <n v="30"/>
    <s v="Valid"/>
    <s v="Match"/>
    <n v="5800"/>
    <n v="1740"/>
    <n v="4060"/>
    <n v="4135.78"/>
    <n v="-75.78"/>
    <b v="0"/>
    <x v="0"/>
    <x v="0"/>
    <s v="Meera"/>
    <x v="6"/>
    <n v="4"/>
    <s v="Jan"/>
    <x v="0"/>
  </r>
  <r>
    <s v="ZAR-10059"/>
    <d v="2025-04-03T00:00:00"/>
    <x v="0"/>
    <d v="1899-12-30T05:11:00"/>
    <x v="2"/>
    <x v="0"/>
    <x v="2"/>
    <x v="0"/>
    <x v="2"/>
    <x v="1"/>
    <n v="1"/>
    <n v="49400"/>
    <x v="0"/>
    <n v="15"/>
    <s v="Valid"/>
    <s v="Match"/>
    <n v="49400"/>
    <n v="7410"/>
    <n v="41990"/>
    <n v="31838.51"/>
    <n v="10151.49"/>
    <b v="0"/>
    <x v="0"/>
    <x v="1"/>
    <s v="Sanjay"/>
    <x v="4"/>
    <n v="4"/>
    <s v="Apr"/>
    <x v="4"/>
  </r>
  <r>
    <s v=" ZAR-10680 "/>
    <d v="2025-05-28T00:00:00"/>
    <x v="2"/>
    <d v="1899-12-30T17:29:00"/>
    <x v="5"/>
    <x v="2"/>
    <x v="11"/>
    <x v="2"/>
    <x v="1"/>
    <x v="1"/>
    <n v="2"/>
    <n v="10150"/>
    <x v="3"/>
    <n v="25"/>
    <s v="Valid"/>
    <s v="Match"/>
    <n v="20300"/>
    <n v="5075"/>
    <n v="15225"/>
    <n v="14720.42"/>
    <n v="504.58"/>
    <b v="0"/>
    <x v="0"/>
    <x v="1"/>
    <s v="Rohit"/>
    <x v="0"/>
    <n v="3.5"/>
    <s v="May"/>
    <x v="1"/>
  </r>
  <r>
    <s v="ZAR-10920"/>
    <d v="2025-01-30T00:00:00"/>
    <x v="5"/>
    <d v="1899-12-30T12:08:00"/>
    <x v="0"/>
    <x v="0"/>
    <x v="6"/>
    <x v="7"/>
    <x v="3"/>
    <x v="0"/>
    <n v="1"/>
    <n v="27250"/>
    <x v="2"/>
    <n v="0"/>
    <s v="Valid"/>
    <s v="Match"/>
    <n v="27250"/>
    <n v="0"/>
    <n v="27250"/>
    <n v="17172.97"/>
    <n v="10077.030000000001"/>
    <b v="0"/>
    <x v="0"/>
    <x v="3"/>
    <s v="Meera"/>
    <x v="3"/>
    <n v="3.5"/>
    <s v="Jan"/>
    <x v="4"/>
  </r>
  <r>
    <s v="ZAR-10371"/>
    <d v="2025-02-02T00:00:00"/>
    <x v="2"/>
    <d v="1899-12-30T17:41:00"/>
    <x v="3"/>
    <x v="0"/>
    <x v="1"/>
    <x v="4"/>
    <x v="5"/>
    <x v="5"/>
    <n v="5"/>
    <n v="800"/>
    <x v="1"/>
    <n v="5"/>
    <s v="Valid"/>
    <s v="Match"/>
    <n v="4000"/>
    <n v="200"/>
    <n v="3800"/>
    <n v="2510.52"/>
    <n v="1289.48"/>
    <b v="0"/>
    <x v="0"/>
    <x v="4"/>
    <s v="Ananya"/>
    <x v="3"/>
    <n v="3"/>
    <s v="Feb"/>
    <x v="0"/>
  </r>
  <r>
    <s v="ZAR-10270"/>
    <d v="2025-04-15T00:00:00"/>
    <x v="5"/>
    <d v="1899-12-30T13:35:00"/>
    <x v="6"/>
    <x v="0"/>
    <x v="7"/>
    <x v="6"/>
    <x v="4"/>
    <x v="1"/>
    <n v="2"/>
    <n v="3050"/>
    <x v="3"/>
    <n v="25"/>
    <s v="Valid"/>
    <s v="Match"/>
    <n v="6100"/>
    <n v="1525"/>
    <n v="4575"/>
    <n v="3705.38"/>
    <n v="869.62"/>
    <b v="0"/>
    <x v="0"/>
    <x v="3"/>
    <s v="Priya"/>
    <x v="4"/>
    <n v="4.5"/>
    <s v="Apr"/>
    <x v="6"/>
  </r>
  <r>
    <s v="ZAR-10048"/>
    <d v="2025-05-28T00:00:00"/>
    <x v="5"/>
    <d v="1899-12-30T14:07:00"/>
    <x v="5"/>
    <x v="0"/>
    <x v="6"/>
    <x v="2"/>
    <x v="0"/>
    <x v="1"/>
    <n v="2"/>
    <n v="28100"/>
    <x v="3"/>
    <n v="30"/>
    <s v="Valid"/>
    <s v="Match"/>
    <n v="56200"/>
    <n v="16860"/>
    <n v="39340"/>
    <n v="36261.68"/>
    <n v="3078.32"/>
    <b v="0"/>
    <x v="0"/>
    <x v="2"/>
    <s v="Neha"/>
    <x v="2"/>
    <n v="4.5"/>
    <s v="May"/>
    <x v="1"/>
  </r>
  <r>
    <s v="ZAR-10351"/>
    <d v="2025-12-14T00:00:00"/>
    <x v="3"/>
    <d v="1899-12-30T09:58:00"/>
    <x v="5"/>
    <x v="0"/>
    <x v="10"/>
    <x v="4"/>
    <x v="6"/>
    <x v="2"/>
    <n v="2"/>
    <n v="2100"/>
    <x v="1"/>
    <n v="10"/>
    <s v="Valid"/>
    <s v="Match"/>
    <n v="4200"/>
    <n v="420"/>
    <n v="3780"/>
    <n v="2460.96"/>
    <n v="1319.04"/>
    <b v="0"/>
    <x v="0"/>
    <x v="3"/>
    <s v="Neha"/>
    <x v="1"/>
    <n v="4.5"/>
    <s v="Dec"/>
    <x v="0"/>
  </r>
  <r>
    <s v="ZAR-10197"/>
    <d v="2025-08-12T00:00:00"/>
    <x v="4"/>
    <d v="1899-12-30T20:31:00"/>
    <x v="1"/>
    <x v="0"/>
    <x v="4"/>
    <x v="0"/>
    <x v="8"/>
    <x v="0"/>
    <n v="1"/>
    <n v="19800"/>
    <x v="1"/>
    <n v="5"/>
    <s v="Valid"/>
    <s v="Match"/>
    <n v="19800"/>
    <n v="990"/>
    <n v="18810"/>
    <n v="13486.13"/>
    <n v="5323.87"/>
    <b v="0"/>
    <x v="0"/>
    <x v="0"/>
    <s v="Priya"/>
    <x v="4"/>
    <n v="3.5"/>
    <s v="Aug"/>
    <x v="6"/>
  </r>
  <r>
    <s v="ZAR-10948"/>
    <d v="2025-08-07T00:00:00"/>
    <x v="0"/>
    <d v="1899-12-30T06:46:00"/>
    <x v="0"/>
    <x v="0"/>
    <x v="0"/>
    <x v="5"/>
    <x v="0"/>
    <x v="5"/>
    <n v="1"/>
    <n v="3000"/>
    <x v="1"/>
    <n v="10"/>
    <s v="Valid"/>
    <s v="Match"/>
    <n v="3000"/>
    <n v="300"/>
    <n v="2700"/>
    <n v="1834.28"/>
    <n v="865.72"/>
    <b v="0"/>
    <x v="0"/>
    <x v="2"/>
    <s v="Rohit"/>
    <x v="2"/>
    <n v="4"/>
    <s v="Aug"/>
    <x v="4"/>
  </r>
  <r>
    <s v="ZAR-10743"/>
    <d v="2025-01-13T00:00:00"/>
    <x v="2"/>
    <d v="1899-12-30T17:17:00"/>
    <x v="0"/>
    <x v="2"/>
    <x v="14"/>
    <x v="6"/>
    <x v="7"/>
    <x v="0"/>
    <n v="1"/>
    <n v="1550"/>
    <x v="1"/>
    <n v="10"/>
    <s v="Valid"/>
    <s v="Match"/>
    <n v="1550"/>
    <n v="155"/>
    <n v="1395"/>
    <n v="1067.49"/>
    <n v="327.51"/>
    <b v="0"/>
    <x v="0"/>
    <x v="2"/>
    <s v="Neha"/>
    <x v="2"/>
    <n v="4"/>
    <s v="Jan"/>
    <x v="2"/>
  </r>
  <r>
    <s v="ZAR-10265"/>
    <d v="2025-02-13T00:00:00"/>
    <x v="0"/>
    <d v="1899-12-30T06:28:00"/>
    <x v="4"/>
    <x v="2"/>
    <x v="11"/>
    <x v="0"/>
    <x v="5"/>
    <x v="3"/>
    <n v="2"/>
    <n v="10850"/>
    <x v="3"/>
    <n v="30"/>
    <s v="Valid"/>
    <s v="Match"/>
    <n v="21700"/>
    <n v="6510"/>
    <n v="15190"/>
    <n v="12637.21"/>
    <n v="2552.79"/>
    <b v="0"/>
    <x v="0"/>
    <x v="3"/>
    <s v="Meera"/>
    <x v="6"/>
    <n v="3.5"/>
    <s v="Feb"/>
    <x v="4"/>
  </r>
  <r>
    <s v="ZAR-10445"/>
    <d v="2025-12-15T00:00:00"/>
    <x v="1"/>
    <d v="1899-12-30T03:25:00"/>
    <x v="3"/>
    <x v="1"/>
    <x v="18"/>
    <x v="4"/>
    <x v="1"/>
    <x v="1"/>
    <n v="1"/>
    <n v="1100"/>
    <x v="1"/>
    <n v="10"/>
    <s v="Valid"/>
    <s v="Match"/>
    <n v="1100"/>
    <n v="110"/>
    <n v="990"/>
    <n v="736.88"/>
    <n v="253.12"/>
    <b v="0"/>
    <x v="0"/>
    <x v="2"/>
    <s v="Sanjay"/>
    <x v="4"/>
    <n v="3.5"/>
    <s v="Dec"/>
    <x v="2"/>
  </r>
  <r>
    <s v="ZAR-10681"/>
    <d v="2025-10-20T00:00:00"/>
    <x v="5"/>
    <d v="1899-12-30T12:02:00"/>
    <x v="4"/>
    <x v="0"/>
    <x v="0"/>
    <x v="4"/>
    <x v="0"/>
    <x v="0"/>
    <n v="1"/>
    <n v="2400"/>
    <x v="0"/>
    <n v="20"/>
    <s v="Valid"/>
    <s v="Match"/>
    <n v="2400"/>
    <n v="480"/>
    <n v="1920"/>
    <n v="1404.2"/>
    <n v="515.79999999999995"/>
    <b v="0"/>
    <x v="0"/>
    <x v="2"/>
    <s v="Priya"/>
    <x v="5"/>
    <n v="5"/>
    <s v="Oct"/>
    <x v="2"/>
  </r>
  <r>
    <s v="ZAR-10306"/>
    <d v="2025-12-03T00:00:00"/>
    <x v="0"/>
    <d v="1899-12-30T05:34:00"/>
    <x v="4"/>
    <x v="0"/>
    <x v="4"/>
    <x v="7"/>
    <x v="8"/>
    <x v="0"/>
    <n v="1"/>
    <n v="13350"/>
    <x v="0"/>
    <n v="15"/>
    <s v="Valid"/>
    <s v="Match"/>
    <n v="13350"/>
    <n v="2002.5"/>
    <n v="11347.5"/>
    <n v="8424.2800000000007"/>
    <n v="2923.22"/>
    <b v="0"/>
    <x v="0"/>
    <x v="4"/>
    <s v="Sanjay"/>
    <x v="4"/>
    <n v="4.5"/>
    <s v="Dec"/>
    <x v="1"/>
  </r>
  <r>
    <s v="ZAR-10343"/>
    <d v="2025-05-19T00:00:00"/>
    <x v="0"/>
    <d v="1899-12-30T04:45:00"/>
    <x v="6"/>
    <x v="2"/>
    <x v="15"/>
    <x v="7"/>
    <x v="1"/>
    <x v="0"/>
    <n v="1"/>
    <n v="3950"/>
    <x v="1"/>
    <n v="10"/>
    <s v="Valid"/>
    <s v="Match"/>
    <n v="3950"/>
    <n v="395"/>
    <n v="3555"/>
    <n v="2531.4"/>
    <n v="1023.6"/>
    <b v="0"/>
    <x v="0"/>
    <x v="3"/>
    <s v="Sanjay"/>
    <x v="2"/>
    <n v="4"/>
    <s v="May"/>
    <x v="2"/>
  </r>
  <r>
    <s v="ZAR-10604"/>
    <d v="2025-04-21T00:00:00"/>
    <x v="4"/>
    <d v="1899-12-30T21:41:00"/>
    <x v="0"/>
    <x v="1"/>
    <x v="3"/>
    <x v="7"/>
    <x v="8"/>
    <x v="2"/>
    <n v="1"/>
    <n v="40650"/>
    <x v="3"/>
    <n v="25"/>
    <s v="Valid"/>
    <s v="Match"/>
    <n v="40650"/>
    <n v="10162.5"/>
    <n v="30487.5"/>
    <n v="23208.93"/>
    <n v="7278.57"/>
    <b v="0"/>
    <x v="0"/>
    <x v="4"/>
    <s v="Unknown"/>
    <x v="5"/>
    <n v="4"/>
    <s v="Apr"/>
    <x v="2"/>
  </r>
  <r>
    <s v="ZAR-10976"/>
    <d v="2025-05-17T00:00:00"/>
    <x v="4"/>
    <d v="1899-12-30T22:33:00"/>
    <x v="1"/>
    <x v="0"/>
    <x v="6"/>
    <x v="2"/>
    <x v="4"/>
    <x v="1"/>
    <n v="1"/>
    <n v="15600"/>
    <x v="3"/>
    <n v="25"/>
    <s v="Valid"/>
    <s v="Match"/>
    <n v="15600"/>
    <n v="3900"/>
    <n v="11700"/>
    <n v="10900.84"/>
    <n v="799.16"/>
    <b v="0"/>
    <x v="0"/>
    <x v="1"/>
    <s v="Meera"/>
    <x v="5"/>
    <n v="4.5"/>
    <s v="May"/>
    <x v="5"/>
  </r>
  <r>
    <s v="ZAR-10151"/>
    <d v="2025-06-03T00:00:00"/>
    <x v="5"/>
    <d v="1899-12-30T15:50:00"/>
    <x v="2"/>
    <x v="0"/>
    <x v="0"/>
    <x v="2"/>
    <x v="2"/>
    <x v="0"/>
    <n v="1"/>
    <n v="5350"/>
    <x v="0"/>
    <n v="15"/>
    <s v="Valid"/>
    <s v="Match"/>
    <n v="5350"/>
    <n v="802.5"/>
    <n v="4547.5"/>
    <n v="3106.81"/>
    <n v="1440.69"/>
    <b v="0"/>
    <x v="0"/>
    <x v="3"/>
    <s v="Neha"/>
    <x v="6"/>
    <n v="5"/>
    <s v="Jun"/>
    <x v="6"/>
  </r>
  <r>
    <s v="ZAR-10126"/>
    <d v="2025-06-18T00:00:00"/>
    <x v="3"/>
    <d v="1899-12-30T09:37:00"/>
    <x v="1"/>
    <x v="2"/>
    <x v="11"/>
    <x v="2"/>
    <x v="1"/>
    <x v="1"/>
    <n v="1"/>
    <n v="5000"/>
    <x v="3"/>
    <n v="30"/>
    <s v="Valid"/>
    <s v="Match"/>
    <n v="5000"/>
    <n v="1500"/>
    <n v="3500"/>
    <n v="2893.69"/>
    <n v="606.30999999999995"/>
    <b v="0"/>
    <x v="0"/>
    <x v="4"/>
    <s v="Rohit"/>
    <x v="1"/>
    <n v="2.5"/>
    <s v="Jun"/>
    <x v="1"/>
  </r>
  <r>
    <s v="ZAR-10894"/>
    <d v="2025-09-04T00:00:00"/>
    <x v="5"/>
    <d v="1899-12-30T15:15:00"/>
    <x v="2"/>
    <x v="0"/>
    <x v="12"/>
    <x v="4"/>
    <x v="2"/>
    <x v="0"/>
    <n v="2"/>
    <n v="7850"/>
    <x v="3"/>
    <n v="30"/>
    <s v="Valid"/>
    <s v="Match"/>
    <n v="15700"/>
    <n v="4710"/>
    <n v="10990"/>
    <n v="8429.34"/>
    <n v="2560.66"/>
    <b v="0"/>
    <x v="0"/>
    <x v="4"/>
    <s v="Rohit"/>
    <x v="6"/>
    <n v="3.5"/>
    <s v="Sep"/>
    <x v="4"/>
  </r>
  <r>
    <s v="ZAR-10830"/>
    <d v="2025-03-21T00:00:00"/>
    <x v="0"/>
    <d v="1899-12-30T04:38:00"/>
    <x v="0"/>
    <x v="2"/>
    <x v="8"/>
    <x v="6"/>
    <x v="7"/>
    <x v="1"/>
    <n v="1"/>
    <n v="4350"/>
    <x v="3"/>
    <n v="30"/>
    <s v="Valid"/>
    <s v="Match"/>
    <n v="4350"/>
    <n v="1305"/>
    <n v="3045"/>
    <n v="2646.67"/>
    <n v="398.33"/>
    <b v="0"/>
    <x v="0"/>
    <x v="1"/>
    <s v="Karan"/>
    <x v="4"/>
    <n v="5"/>
    <s v="Mar"/>
    <x v="3"/>
  </r>
  <r>
    <s v="ZAR-10052"/>
    <d v="2025-05-28T00:00:00"/>
    <x v="5"/>
    <d v="1899-12-30T14:56:00"/>
    <x v="1"/>
    <x v="1"/>
    <x v="18"/>
    <x v="0"/>
    <x v="5"/>
    <x v="0"/>
    <n v="1"/>
    <n v="2200"/>
    <x v="1"/>
    <n v="10"/>
    <s v="Valid"/>
    <s v="Match"/>
    <n v="2200"/>
    <n v="220"/>
    <n v="1980"/>
    <n v="1409.82"/>
    <n v="570.17999999999995"/>
    <b v="0"/>
    <x v="0"/>
    <x v="4"/>
    <s v="Neha"/>
    <x v="2"/>
    <n v="5"/>
    <s v="May"/>
    <x v="1"/>
  </r>
  <r>
    <s v="ZAR-10355"/>
    <d v="2025-10-23T00:00:00"/>
    <x v="5"/>
    <d v="1899-12-30T15:54:00"/>
    <x v="1"/>
    <x v="0"/>
    <x v="10"/>
    <x v="7"/>
    <x v="5"/>
    <x v="5"/>
    <n v="1"/>
    <n v="3250"/>
    <x v="0"/>
    <n v="15"/>
    <s v="Valid"/>
    <s v="Match"/>
    <n v="3250"/>
    <n v="487.5"/>
    <n v="2762.5"/>
    <n v="2122.27"/>
    <n v="640.23"/>
    <b v="0"/>
    <x v="0"/>
    <x v="2"/>
    <s v="Ananya"/>
    <x v="5"/>
    <n v="4.5"/>
    <s v="Oct"/>
    <x v="4"/>
  </r>
  <r>
    <s v="ZAR-10935"/>
    <d v="2025-01-27T00:00:00"/>
    <x v="1"/>
    <d v="1899-12-30T00:30:00"/>
    <x v="0"/>
    <x v="0"/>
    <x v="2"/>
    <x v="7"/>
    <x v="8"/>
    <x v="0"/>
    <n v="2"/>
    <n v="34050"/>
    <x v="3"/>
    <n v="25"/>
    <s v="Valid"/>
    <s v="Match"/>
    <n v="68100"/>
    <n v="17025"/>
    <n v="51075"/>
    <n v="45119.88"/>
    <n v="5955.12"/>
    <b v="0"/>
    <x v="0"/>
    <x v="3"/>
    <s v="Ananya"/>
    <x v="2"/>
    <n v="5"/>
    <s v="Jan"/>
    <x v="2"/>
  </r>
  <r>
    <s v="ZAR-10144"/>
    <d v="2025-11-29T00:00:00"/>
    <x v="1"/>
    <d v="1899-12-30T01:05:00"/>
    <x v="5"/>
    <x v="0"/>
    <x v="1"/>
    <x v="4"/>
    <x v="6"/>
    <x v="0"/>
    <n v="3"/>
    <n v="1850"/>
    <x v="2"/>
    <n v="0"/>
    <s v="Valid"/>
    <s v="Match"/>
    <n v="5550"/>
    <n v="0"/>
    <n v="5550"/>
    <n v="3684.21"/>
    <n v="1865.79"/>
    <b v="0"/>
    <x v="0"/>
    <x v="1"/>
    <s v="Ananya"/>
    <x v="1"/>
    <n v="5"/>
    <s v="Nov"/>
    <x v="5"/>
  </r>
  <r>
    <s v="ZAR-10472"/>
    <d v="2025-12-22T00:00:00"/>
    <x v="0"/>
    <d v="1899-12-30T06:29:00"/>
    <x v="5"/>
    <x v="0"/>
    <x v="10"/>
    <x v="5"/>
    <x v="4"/>
    <x v="0"/>
    <n v="2"/>
    <n v="1700"/>
    <x v="3"/>
    <n v="30"/>
    <s v="Valid"/>
    <s v="Match"/>
    <n v="3400"/>
    <n v="1020"/>
    <n v="2380"/>
    <n v="2163.8000000000002"/>
    <n v="216.2"/>
    <b v="0"/>
    <x v="0"/>
    <x v="3"/>
    <s v="Meera"/>
    <x v="1"/>
    <n v="4"/>
    <s v="Dec"/>
    <x v="2"/>
  </r>
  <r>
    <s v="ZAR-10401"/>
    <d v="2025-09-09T00:00:00"/>
    <x v="4"/>
    <d v="1899-12-30T22:41:00"/>
    <x v="0"/>
    <x v="0"/>
    <x v="10"/>
    <x v="7"/>
    <x v="5"/>
    <x v="0"/>
    <n v="2"/>
    <n v="1650"/>
    <x v="1"/>
    <n v="10"/>
    <s v="Valid"/>
    <s v="Match"/>
    <n v="3300"/>
    <n v="330"/>
    <n v="2970"/>
    <n v="2018.86"/>
    <n v="951.14"/>
    <b v="0"/>
    <x v="0"/>
    <x v="3"/>
    <s v="Sanjay"/>
    <x v="5"/>
    <n v="3"/>
    <s v="Sep"/>
    <x v="6"/>
  </r>
  <r>
    <s v=" ZAR-10631 "/>
    <d v="2025-12-19T00:00:00"/>
    <x v="1"/>
    <d v="1899-12-30T00:45:00"/>
    <x v="3"/>
    <x v="0"/>
    <x v="12"/>
    <x v="5"/>
    <x v="0"/>
    <x v="0"/>
    <n v="2"/>
    <n v="7150"/>
    <x v="2"/>
    <n v="0"/>
    <s v="Valid"/>
    <s v="Match"/>
    <n v="14300"/>
    <n v="0"/>
    <n v="14300"/>
    <n v="7466.31"/>
    <n v="6833.69"/>
    <b v="0"/>
    <x v="0"/>
    <x v="0"/>
    <s v="Priya"/>
    <x v="5"/>
    <n v="3.5"/>
    <s v="Dec"/>
    <x v="3"/>
  </r>
  <r>
    <s v="ZAR-10322"/>
    <d v="2025-06-13T00:00:00"/>
    <x v="5"/>
    <d v="1899-12-30T13:26:00"/>
    <x v="3"/>
    <x v="0"/>
    <x v="4"/>
    <x v="1"/>
    <x v="8"/>
    <x v="0"/>
    <n v="3"/>
    <n v="14000"/>
    <x v="1"/>
    <n v="5"/>
    <s v="Valid"/>
    <s v="Match"/>
    <n v="42000"/>
    <n v="2100"/>
    <n v="39900"/>
    <n v="28558.21"/>
    <n v="11341.79"/>
    <b v="0"/>
    <x v="0"/>
    <x v="2"/>
    <s v="Rohit"/>
    <x v="6"/>
    <n v="3.5"/>
    <s v="Jun"/>
    <x v="3"/>
  </r>
  <r>
    <s v="ZAR-10021"/>
    <d v="2025-05-15T00:00:00"/>
    <x v="0"/>
    <d v="1899-12-30T05:47:00"/>
    <x v="5"/>
    <x v="0"/>
    <x v="0"/>
    <x v="5"/>
    <x v="6"/>
    <x v="6"/>
    <n v="1"/>
    <n v="2100"/>
    <x v="1"/>
    <n v="5"/>
    <s v="Valid"/>
    <s v="Match"/>
    <n v="2100"/>
    <n v="105"/>
    <n v="1995"/>
    <n v="1386.35"/>
    <n v="608.65"/>
    <b v="0"/>
    <x v="0"/>
    <x v="1"/>
    <s v="Neha"/>
    <x v="2"/>
    <n v="3"/>
    <s v="May"/>
    <x v="4"/>
  </r>
  <r>
    <s v="ZAR-10908"/>
    <d v="2025-10-18T00:00:00"/>
    <x v="5"/>
    <d v="1899-12-30T13:12:00"/>
    <x v="3"/>
    <x v="2"/>
    <x v="8"/>
    <x v="3"/>
    <x v="7"/>
    <x v="5"/>
    <n v="2"/>
    <n v="4750"/>
    <x v="3"/>
    <n v="30"/>
    <s v="Valid"/>
    <s v="Match"/>
    <n v="9500"/>
    <n v="2850"/>
    <n v="6650"/>
    <n v="5519.12"/>
    <n v="1130.8800000000001"/>
    <b v="0"/>
    <x v="0"/>
    <x v="4"/>
    <s v="Ananya"/>
    <x v="6"/>
    <n v="4"/>
    <s v="Oct"/>
    <x v="5"/>
  </r>
  <r>
    <s v="ZAR-10805"/>
    <d v="2025-11-05T00:00:00"/>
    <x v="1"/>
    <d v="1899-12-30T03:37:00"/>
    <x v="6"/>
    <x v="0"/>
    <x v="7"/>
    <x v="7"/>
    <x v="5"/>
    <x v="2"/>
    <n v="3"/>
    <n v="3250"/>
    <x v="3"/>
    <n v="25"/>
    <s v="Valid"/>
    <s v="Match"/>
    <n v="9750"/>
    <n v="2437.5"/>
    <n v="7312.5"/>
    <n v="5890.65"/>
    <n v="1421.85"/>
    <b v="0"/>
    <x v="0"/>
    <x v="3"/>
    <s v="Karan"/>
    <x v="4"/>
    <n v="3"/>
    <s v="Nov"/>
    <x v="1"/>
  </r>
  <r>
    <s v="ZAR-10816"/>
    <d v="2025-08-18T00:00:00"/>
    <x v="2"/>
    <d v="1899-12-30T17:41:00"/>
    <x v="2"/>
    <x v="0"/>
    <x v="10"/>
    <x v="5"/>
    <x v="2"/>
    <x v="4"/>
    <n v="1"/>
    <n v="3950"/>
    <x v="1"/>
    <n v="5"/>
    <s v="Valid"/>
    <s v="Match"/>
    <n v="3950"/>
    <n v="197.5"/>
    <n v="3752.5"/>
    <n v="2073.2199999999998"/>
    <n v="1679.28"/>
    <b v="0"/>
    <x v="0"/>
    <x v="4"/>
    <s v="Ananya"/>
    <x v="4"/>
    <n v="3.5"/>
    <s v="Aug"/>
    <x v="2"/>
  </r>
  <r>
    <s v="ZAR-10409"/>
    <d v="2025-04-09T00:00:00"/>
    <x v="3"/>
    <d v="1899-12-30T09:10:00"/>
    <x v="6"/>
    <x v="0"/>
    <x v="4"/>
    <x v="2"/>
    <x v="1"/>
    <x v="0"/>
    <n v="2"/>
    <n v="10750"/>
    <x v="2"/>
    <n v="0"/>
    <s v="Valid"/>
    <s v="Match"/>
    <n v="21500"/>
    <n v="0"/>
    <n v="21500"/>
    <n v="13681.41"/>
    <n v="7818.59"/>
    <b v="0"/>
    <x v="0"/>
    <x v="4"/>
    <s v="Karan"/>
    <x v="5"/>
    <n v="3.5"/>
    <s v="Apr"/>
    <x v="1"/>
  </r>
  <r>
    <s v="ZAR-10539"/>
    <d v="2025-06-25T00:00:00"/>
    <x v="3"/>
    <d v="1899-12-30T10:52:00"/>
    <x v="0"/>
    <x v="2"/>
    <x v="8"/>
    <x v="4"/>
    <x v="7"/>
    <x v="3"/>
    <n v="0"/>
    <n v="4100"/>
    <x v="1"/>
    <n v="10"/>
    <s v="Valid"/>
    <s v="Match"/>
    <n v="8200"/>
    <n v="820"/>
    <n v="7380"/>
    <n v="4932.8999999999996"/>
    <n v="2447.1"/>
    <b v="0"/>
    <x v="0"/>
    <x v="4"/>
    <s v="Meera"/>
    <x v="3"/>
    <n v="4.5"/>
    <s v="Jun"/>
    <x v="1"/>
  </r>
  <r>
    <s v="ZAR-10040"/>
    <d v="2025-12-26T00:00:00"/>
    <x v="3"/>
    <d v="1899-12-30T08:35:00"/>
    <x v="2"/>
    <x v="0"/>
    <x v="1"/>
    <x v="3"/>
    <x v="3"/>
    <x v="0"/>
    <n v="1"/>
    <n v="2050"/>
    <x v="1"/>
    <n v="10"/>
    <s v="Valid"/>
    <s v="Match"/>
    <n v="2050"/>
    <n v="205"/>
    <n v="1845"/>
    <n v="1463.02"/>
    <n v="381.98"/>
    <b v="0"/>
    <x v="0"/>
    <x v="0"/>
    <s v="Neha"/>
    <x v="6"/>
    <n v="5"/>
    <s v="Dec"/>
    <x v="3"/>
  </r>
  <r>
    <s v="ZAR-10177"/>
    <d v="2025-05-27T00:00:00"/>
    <x v="4"/>
    <d v="1899-12-30T20:45:00"/>
    <x v="4"/>
    <x v="0"/>
    <x v="1"/>
    <x v="0"/>
    <x v="5"/>
    <x v="2"/>
    <n v="1"/>
    <n v="850"/>
    <x v="3"/>
    <n v="30"/>
    <s v="Valid"/>
    <s v="Match"/>
    <n v="850"/>
    <n v="255"/>
    <n v="595"/>
    <n v="516.41999999999996"/>
    <n v="78.58"/>
    <b v="0"/>
    <x v="0"/>
    <x v="4"/>
    <s v="Ananya"/>
    <x v="3"/>
    <n v="3"/>
    <s v="May"/>
    <x v="6"/>
  </r>
  <r>
    <s v="ZAR-10247"/>
    <d v="2025-04-22T00:00:00"/>
    <x v="2"/>
    <d v="1899-12-30T19:33:00"/>
    <x v="5"/>
    <x v="0"/>
    <x v="1"/>
    <x v="5"/>
    <x v="2"/>
    <x v="3"/>
    <n v="2"/>
    <n v="4050"/>
    <x v="1"/>
    <n v="10"/>
    <s v="Valid"/>
    <s v="Match"/>
    <n v="8100"/>
    <n v="810"/>
    <n v="7290"/>
    <n v="4854.9399999999996"/>
    <n v="2435.06"/>
    <b v="0"/>
    <x v="0"/>
    <x v="4"/>
    <s v="Sanjay"/>
    <x v="6"/>
    <n v="3"/>
    <s v="Apr"/>
    <x v="6"/>
  </r>
  <r>
    <s v="ZAR-10836"/>
    <d v="2025-05-28T00:00:00"/>
    <x v="2"/>
    <d v="1899-12-30T17:10:00"/>
    <x v="0"/>
    <x v="1"/>
    <x v="3"/>
    <x v="5"/>
    <x v="1"/>
    <x v="0"/>
    <n v="1"/>
    <n v="40100"/>
    <x v="1"/>
    <n v="5"/>
    <s v="Valid"/>
    <s v="Match"/>
    <n v="40100"/>
    <n v="2005"/>
    <n v="38095"/>
    <n v="26159.84"/>
    <n v="11935.16"/>
    <b v="0"/>
    <x v="0"/>
    <x v="0"/>
    <s v="Neha"/>
    <x v="5"/>
    <n v="5"/>
    <s v="May"/>
    <x v="1"/>
  </r>
  <r>
    <s v="ZAR-10847"/>
    <d v="2025-09-02T00:00:00"/>
    <x v="0"/>
    <d v="1899-12-30T05:49:00"/>
    <x v="2"/>
    <x v="2"/>
    <x v="11"/>
    <x v="0"/>
    <x v="1"/>
    <x v="1"/>
    <n v="1"/>
    <n v="9700"/>
    <x v="0"/>
    <n v="15"/>
    <s v="Valid"/>
    <s v="Match"/>
    <n v="9700"/>
    <n v="1455"/>
    <n v="8245"/>
    <n v="6052.98"/>
    <n v="2192.02"/>
    <b v="0"/>
    <x v="0"/>
    <x v="0"/>
    <s v="Ananya"/>
    <x v="1"/>
    <n v="4"/>
    <s v="Sep"/>
    <x v="6"/>
  </r>
  <r>
    <s v="ZAR-10761"/>
    <d v="2025-09-01T00:00:00"/>
    <x v="4"/>
    <d v="1899-12-30T22:28:00"/>
    <x v="1"/>
    <x v="0"/>
    <x v="0"/>
    <x v="0"/>
    <x v="2"/>
    <x v="0"/>
    <n v="2"/>
    <n v="4000"/>
    <x v="0"/>
    <n v="20"/>
    <s v="Valid"/>
    <s v="Match"/>
    <n v="8000"/>
    <n v="1600"/>
    <n v="6400"/>
    <n v="5275.65"/>
    <n v="1124.3499999999999"/>
    <b v="0"/>
    <x v="0"/>
    <x v="3"/>
    <s v="Priya"/>
    <x v="1"/>
    <n v="3.5"/>
    <s v="Sep"/>
    <x v="2"/>
  </r>
  <r>
    <s v="ZAR-10866"/>
    <d v="2025-03-15T00:00:00"/>
    <x v="1"/>
    <m/>
    <x v="6"/>
    <x v="0"/>
    <x v="10"/>
    <x v="0"/>
    <x v="2"/>
    <x v="0"/>
    <n v="1"/>
    <n v="3300"/>
    <x v="3"/>
    <n v="30"/>
    <s v="Valid"/>
    <s v="Match"/>
    <n v="3300"/>
    <n v="990"/>
    <n v="2310"/>
    <n v="1916.53"/>
    <n v="393.47"/>
    <b v="0"/>
    <x v="0"/>
    <x v="4"/>
    <s v="Priya"/>
    <x v="1"/>
    <n v="4"/>
    <s v="Mar"/>
    <x v="5"/>
  </r>
  <r>
    <s v="ZAR-10156"/>
    <d v="2025-11-28T00:00:00"/>
    <x v="2"/>
    <d v="1899-12-30T19:02:00"/>
    <x v="4"/>
    <x v="0"/>
    <x v="4"/>
    <x v="3"/>
    <x v="3"/>
    <x v="3"/>
    <n v="1"/>
    <n v="11150"/>
    <x v="3"/>
    <n v="25"/>
    <s v="Valid"/>
    <s v="Match"/>
    <n v="11150"/>
    <n v="2787.5"/>
    <n v="8362.5"/>
    <n v="6668.84"/>
    <n v="1693.66"/>
    <b v="0"/>
    <x v="0"/>
    <x v="2"/>
    <s v="Ananya"/>
    <x v="2"/>
    <n v="4"/>
    <s v="Nov"/>
    <x v="3"/>
  </r>
  <r>
    <s v="ZAR-10289"/>
    <d v="2025-10-30T00:00:00"/>
    <x v="2"/>
    <d v="1899-12-30T19:29:00"/>
    <x v="1"/>
    <x v="2"/>
    <x v="15"/>
    <x v="6"/>
    <x v="3"/>
    <x v="2"/>
    <n v="4"/>
    <n v="3650"/>
    <x v="3"/>
    <n v="25"/>
    <s v="Valid"/>
    <s v="Match"/>
    <n v="14600"/>
    <n v="3650"/>
    <n v="10950"/>
    <n v="9324.19"/>
    <n v="1625.81"/>
    <b v="0"/>
    <x v="0"/>
    <x v="4"/>
    <s v="Sanjay"/>
    <x v="5"/>
    <n v="4.5"/>
    <s v="Oct"/>
    <x v="4"/>
  </r>
  <r>
    <s v="ZAR-10615"/>
    <d v="2025-03-27T00:00:00"/>
    <x v="2"/>
    <d v="1899-12-30T19:24:00"/>
    <x v="0"/>
    <x v="0"/>
    <x v="1"/>
    <x v="7"/>
    <x v="2"/>
    <x v="0"/>
    <n v="1"/>
    <n v="3550"/>
    <x v="3"/>
    <n v="25"/>
    <s v="Valid"/>
    <s v="Match"/>
    <n v="3550"/>
    <n v="887.5"/>
    <n v="2662.5"/>
    <n v="2272.4899999999998"/>
    <n v="390.01"/>
    <b v="0"/>
    <x v="0"/>
    <x v="4"/>
    <s v="Ananya"/>
    <x v="3"/>
    <n v="4.5"/>
    <s v="Mar"/>
    <x v="4"/>
  </r>
  <r>
    <s v="ZAR-10571"/>
    <d v="2025-03-13T00:00:00"/>
    <x v="3"/>
    <d v="1899-12-30T11:47:00"/>
    <x v="5"/>
    <x v="0"/>
    <x v="0"/>
    <x v="4"/>
    <x v="2"/>
    <x v="0"/>
    <n v="1"/>
    <n v="2600"/>
    <x v="3"/>
    <n v="30"/>
    <s v="Valid"/>
    <s v="Match"/>
    <n v="2600"/>
    <n v="780"/>
    <n v="1820"/>
    <n v="1603.31"/>
    <n v="216.69"/>
    <b v="0"/>
    <x v="0"/>
    <x v="1"/>
    <s v="Sanjay"/>
    <x v="1"/>
    <n v="3.5"/>
    <s v="Mar"/>
    <x v="4"/>
  </r>
  <r>
    <s v="ZAR-10821"/>
    <d v="2025-02-18T00:00:00"/>
    <x v="2"/>
    <d v="1899-12-30T16:16:00"/>
    <x v="2"/>
    <x v="0"/>
    <x v="12"/>
    <x v="7"/>
    <x v="4"/>
    <x v="4"/>
    <n v="2"/>
    <n v="14800"/>
    <x v="1"/>
    <n v="10"/>
    <s v="Valid"/>
    <s v="Match"/>
    <n v="29600"/>
    <n v="2960"/>
    <n v="26640"/>
    <n v="18333.650000000001"/>
    <n v="8306.35"/>
    <b v="0"/>
    <x v="0"/>
    <x v="2"/>
    <s v="Rohit"/>
    <x v="2"/>
    <n v="3"/>
    <s v="Feb"/>
    <x v="6"/>
  </r>
  <r>
    <s v="ZAR-10019"/>
    <d v="2025-06-28T00:00:00"/>
    <x v="1"/>
    <d v="1899-12-30T02:56:00"/>
    <x v="0"/>
    <x v="0"/>
    <x v="4"/>
    <x v="4"/>
    <x v="8"/>
    <x v="0"/>
    <n v="1"/>
    <n v="9800"/>
    <x v="1"/>
    <n v="10"/>
    <s v="Valid"/>
    <s v="Match"/>
    <n v="9800"/>
    <n v="980"/>
    <n v="8820"/>
    <n v="5381.58"/>
    <n v="3438.42"/>
    <b v="0"/>
    <x v="0"/>
    <x v="3"/>
    <s v="Priya"/>
    <x v="4"/>
    <n v="4.5"/>
    <s v="Jun"/>
    <x v="5"/>
  </r>
  <r>
    <s v="ZAR-10129"/>
    <d v="2025-09-19T00:00:00"/>
    <x v="5"/>
    <d v="1899-12-30T14:51:00"/>
    <x v="2"/>
    <x v="0"/>
    <x v="10"/>
    <x v="4"/>
    <x v="5"/>
    <x v="0"/>
    <n v="1"/>
    <n v="1600"/>
    <x v="0"/>
    <n v="20"/>
    <s v="Valid"/>
    <s v="Match"/>
    <n v="1600"/>
    <n v="320"/>
    <n v="1280"/>
    <n v="1004.07"/>
    <n v="275.93"/>
    <b v="0"/>
    <x v="0"/>
    <x v="3"/>
    <s v="Sanjay"/>
    <x v="4"/>
    <n v="4.5"/>
    <s v="Sep"/>
    <x v="3"/>
  </r>
  <r>
    <s v="ZAR-10324"/>
    <d v="2025-01-08T00:00:00"/>
    <x v="3"/>
    <d v="1899-12-30T08:26:00"/>
    <x v="0"/>
    <x v="0"/>
    <x v="6"/>
    <x v="0"/>
    <x v="3"/>
    <x v="2"/>
    <n v="1"/>
    <n v="7250"/>
    <x v="0"/>
    <n v="15"/>
    <s v="Valid"/>
    <s v="Match"/>
    <n v="7250"/>
    <n v="1087.5"/>
    <n v="6162.5"/>
    <n v="4989.4399999999996"/>
    <n v="1173.06"/>
    <b v="0"/>
    <x v="0"/>
    <x v="0"/>
    <s v="Meera"/>
    <x v="5"/>
    <n v="3"/>
    <s v="Jan"/>
    <x v="1"/>
  </r>
  <r>
    <s v="ZAR-10257"/>
    <d v="2025-02-25T00:00:00"/>
    <x v="0"/>
    <d v="1899-12-30T05:41:00"/>
    <x v="4"/>
    <x v="0"/>
    <x v="10"/>
    <x v="1"/>
    <x v="3"/>
    <x v="0"/>
    <n v="1"/>
    <n v="3700"/>
    <x v="1"/>
    <n v="10"/>
    <s v="Valid"/>
    <s v="Match"/>
    <n v="3700"/>
    <n v="370"/>
    <n v="3330"/>
    <n v="2320.39"/>
    <n v="1009.61"/>
    <b v="0"/>
    <x v="0"/>
    <x v="4"/>
    <s v="Karan"/>
    <x v="4"/>
    <n v="4.5"/>
    <s v="Feb"/>
    <x v="6"/>
  </r>
  <r>
    <s v="ZAR-10989"/>
    <d v="2025-09-28T00:00:00"/>
    <x v="5"/>
    <d v="1899-12-30T13:13:00"/>
    <x v="2"/>
    <x v="0"/>
    <x v="7"/>
    <x v="3"/>
    <x v="6"/>
    <x v="0"/>
    <n v="1"/>
    <n v="3900"/>
    <x v="3"/>
    <n v="25"/>
    <s v="Valid"/>
    <s v="Match"/>
    <n v="3900"/>
    <n v="975"/>
    <n v="2925"/>
    <n v="2650.25"/>
    <n v="274.75"/>
    <b v="0"/>
    <x v="0"/>
    <x v="4"/>
    <s v="Karan"/>
    <x v="1"/>
    <n v="4"/>
    <s v="Sep"/>
    <x v="0"/>
  </r>
  <r>
    <s v="ZAR-10974"/>
    <d v="2025-04-12T00:00:00"/>
    <x v="0"/>
    <d v="1899-12-30T04:18:00"/>
    <x v="5"/>
    <x v="1"/>
    <x v="5"/>
    <x v="5"/>
    <x v="5"/>
    <x v="0"/>
    <n v="2"/>
    <n v="6300"/>
    <x v="1"/>
    <n v="5"/>
    <s v="Valid"/>
    <s v="Match"/>
    <n v="12600"/>
    <n v="630"/>
    <n v="11970"/>
    <n v="8845.2099999999991"/>
    <n v="3124.79"/>
    <b v="0"/>
    <x v="0"/>
    <x v="1"/>
    <s v="Priya"/>
    <x v="4"/>
    <n v="3"/>
    <s v="Apr"/>
    <x v="5"/>
  </r>
  <r>
    <s v="ZAR-10192"/>
    <d v="2025-09-27T00:00:00"/>
    <x v="0"/>
    <d v="1899-12-30T07:40:00"/>
    <x v="6"/>
    <x v="0"/>
    <x v="4"/>
    <x v="7"/>
    <x v="3"/>
    <x v="0"/>
    <n v="1"/>
    <n v="17650"/>
    <x v="1"/>
    <n v="5"/>
    <s v="Valid"/>
    <s v="Match"/>
    <n v="17650"/>
    <n v="882.5"/>
    <n v="16767.5"/>
    <n v="11673.42"/>
    <n v="5094.08"/>
    <b v="0"/>
    <x v="0"/>
    <x v="0"/>
    <s v="Neha"/>
    <x v="1"/>
    <n v="5"/>
    <s v="Sep"/>
    <x v="5"/>
  </r>
  <r>
    <s v="ZAR-10117"/>
    <d v="2025-12-25T00:00:00"/>
    <x v="1"/>
    <d v="1899-12-30T03:12:00"/>
    <x v="2"/>
    <x v="0"/>
    <x v="7"/>
    <x v="1"/>
    <x v="5"/>
    <x v="0"/>
    <n v="2"/>
    <n v="1150"/>
    <x v="2"/>
    <n v="0"/>
    <s v="Valid"/>
    <s v="Match"/>
    <n v="2300"/>
    <n v="0"/>
    <n v="2300"/>
    <n v="1485.72"/>
    <n v="814.28"/>
    <b v="0"/>
    <x v="0"/>
    <x v="0"/>
    <s v="Neha"/>
    <x v="5"/>
    <n v="5"/>
    <s v="Dec"/>
    <x v="4"/>
  </r>
  <r>
    <s v="ZAR-10622"/>
    <d v="2025-11-18T00:00:00"/>
    <x v="3"/>
    <d v="1899-12-30T08:53:00"/>
    <x v="4"/>
    <x v="0"/>
    <x v="6"/>
    <x v="0"/>
    <x v="6"/>
    <x v="0"/>
    <n v="2"/>
    <n v="18550"/>
    <x v="3"/>
    <n v="30"/>
    <s v="Valid"/>
    <s v="Match"/>
    <n v="37100"/>
    <n v="11130"/>
    <n v="25970"/>
    <n v="22491.599999999999"/>
    <n v="3478.4"/>
    <b v="0"/>
    <x v="0"/>
    <x v="2"/>
    <s v="Neha"/>
    <x v="4"/>
    <n v="2.5"/>
    <s v="Nov"/>
    <x v="6"/>
  </r>
  <r>
    <s v="ZAR-10608"/>
    <d v="2025-11-26T00:00:00"/>
    <x v="1"/>
    <d v="1899-12-30T01:47:00"/>
    <x v="6"/>
    <x v="0"/>
    <x v="10"/>
    <x v="6"/>
    <x v="6"/>
    <x v="0"/>
    <n v="3"/>
    <n v="2500"/>
    <x v="3"/>
    <n v="25"/>
    <s v="Valid"/>
    <s v="Match"/>
    <n v="7500"/>
    <n v="1875"/>
    <n v="5625"/>
    <n v="3970.41"/>
    <n v="1654.59"/>
    <b v="0"/>
    <x v="0"/>
    <x v="0"/>
    <s v="Rohit"/>
    <x v="5"/>
    <n v="3.5"/>
    <s v="Nov"/>
    <x v="1"/>
  </r>
  <r>
    <s v="ZAR-10182"/>
    <d v="2025-12-02T00:00:00"/>
    <x v="5"/>
    <d v="1899-12-30T13:14:00"/>
    <x v="3"/>
    <x v="2"/>
    <x v="17"/>
    <x v="5"/>
    <x v="1"/>
    <x v="0"/>
    <n v="3"/>
    <n v="3300"/>
    <x v="0"/>
    <n v="20"/>
    <s v="Valid"/>
    <s v="Match"/>
    <n v="9900"/>
    <n v="1980"/>
    <n v="7920"/>
    <n v="6897.19"/>
    <n v="1022.81"/>
    <b v="0"/>
    <x v="0"/>
    <x v="3"/>
    <s v="Priya"/>
    <x v="2"/>
    <n v="4"/>
    <s v="Dec"/>
    <x v="6"/>
  </r>
  <r>
    <s v="ZAR-10303"/>
    <d v="2025-11-07T00:00:00"/>
    <x v="4"/>
    <d v="1899-12-30T22:04:00"/>
    <x v="2"/>
    <x v="1"/>
    <x v="13"/>
    <x v="2"/>
    <x v="7"/>
    <x v="3"/>
    <n v="2"/>
    <n v="5050"/>
    <x v="2"/>
    <n v="0"/>
    <s v="Valid"/>
    <s v="Match"/>
    <n v="10100"/>
    <n v="0"/>
    <n v="10100"/>
    <n v="6066.04"/>
    <n v="4033.96"/>
    <b v="0"/>
    <x v="0"/>
    <x v="2"/>
    <s v="Priya"/>
    <x v="5"/>
    <n v="3"/>
    <s v="Nov"/>
    <x v="3"/>
  </r>
  <r>
    <s v="ZAR-10766"/>
    <d v="2025-05-17T00:00:00"/>
    <x v="2"/>
    <d v="1899-12-30T17:17:00"/>
    <x v="2"/>
    <x v="2"/>
    <x v="17"/>
    <x v="6"/>
    <x v="3"/>
    <x v="2"/>
    <n v="1"/>
    <n v="2650"/>
    <x v="2"/>
    <n v="0"/>
    <s v="Valid"/>
    <s v="Match"/>
    <n v="2650"/>
    <n v="0"/>
    <n v="2650"/>
    <n v="1948.98"/>
    <n v="701.02"/>
    <b v="0"/>
    <x v="0"/>
    <x v="2"/>
    <s v="Rohit"/>
    <x v="6"/>
    <n v="3.5"/>
    <s v="May"/>
    <x v="5"/>
  </r>
  <r>
    <s v="ZAR-10719"/>
    <d v="2025-03-26T00:00:00"/>
    <x v="5"/>
    <d v="1899-12-30T15:55:00"/>
    <x v="2"/>
    <x v="0"/>
    <x v="2"/>
    <x v="2"/>
    <x v="1"/>
    <x v="0"/>
    <n v="2"/>
    <n v="101800"/>
    <x v="0"/>
    <n v="20"/>
    <s v="Valid"/>
    <s v="Match"/>
    <n v="203600"/>
    <n v="40720"/>
    <n v="162880"/>
    <n v="112433.65"/>
    <n v="50446.35"/>
    <b v="0"/>
    <x v="0"/>
    <x v="0"/>
    <s v="Karan"/>
    <x v="1"/>
    <n v="3.5"/>
    <s v="Mar"/>
    <x v="1"/>
  </r>
  <r>
    <s v="ZAR-10730"/>
    <d v="2025-10-19T00:00:00"/>
    <x v="0"/>
    <d v="1899-12-30T06:44:00"/>
    <x v="5"/>
    <x v="1"/>
    <x v="5"/>
    <x v="7"/>
    <x v="1"/>
    <x v="5"/>
    <n v="3"/>
    <n v="1750"/>
    <x v="0"/>
    <n v="15"/>
    <s v="Valid"/>
    <s v="Match"/>
    <n v="5250"/>
    <n v="787.5"/>
    <n v="4462.5"/>
    <n v="2909.84"/>
    <n v="1552.66"/>
    <b v="0"/>
    <x v="0"/>
    <x v="3"/>
    <s v="Neha"/>
    <x v="4"/>
    <n v="3.5"/>
    <s v="Oct"/>
    <x v="0"/>
  </r>
  <r>
    <s v="ZAR-10691"/>
    <d v="2025-03-06T00:00:00"/>
    <x v="1"/>
    <d v="1899-12-30T01:53:00"/>
    <x v="5"/>
    <x v="0"/>
    <x v="7"/>
    <x v="3"/>
    <x v="6"/>
    <x v="0"/>
    <n v="2"/>
    <n v="1700"/>
    <x v="0"/>
    <n v="15"/>
    <s v="Valid"/>
    <s v="Match"/>
    <n v="3400"/>
    <n v="510"/>
    <n v="2890"/>
    <n v="2323.65"/>
    <n v="566.35"/>
    <b v="0"/>
    <x v="0"/>
    <x v="0"/>
    <s v="Priya"/>
    <x v="6"/>
    <n v="3.5"/>
    <s v="Mar"/>
    <x v="4"/>
  </r>
  <r>
    <s v="ZAR-10667"/>
    <d v="2025-06-24T00:00:00"/>
    <x v="0"/>
    <d v="1899-12-30T05:43:00"/>
    <x v="1"/>
    <x v="1"/>
    <x v="3"/>
    <x v="1"/>
    <x v="3"/>
    <x v="3"/>
    <n v="1"/>
    <n v="20650"/>
    <x v="0"/>
    <n v="20"/>
    <s v="Valid"/>
    <s v="Match"/>
    <n v="20650"/>
    <n v="4130"/>
    <n v="16520"/>
    <n v="14665.38"/>
    <n v="1854.62"/>
    <b v="0"/>
    <x v="0"/>
    <x v="3"/>
    <s v="Meera"/>
    <x v="1"/>
    <n v="3.5"/>
    <s v="Jun"/>
    <x v="6"/>
  </r>
  <r>
    <s v="ZAR-10519"/>
    <d v="2025-12-10T00:00:00"/>
    <x v="1"/>
    <d v="1899-12-30T00:43:00"/>
    <x v="3"/>
    <x v="0"/>
    <x v="6"/>
    <x v="4"/>
    <x v="3"/>
    <x v="0"/>
    <n v="1"/>
    <n v="11550"/>
    <x v="4"/>
    <n v="55"/>
    <s v="Valid"/>
    <s v="Mismatch"/>
    <n v="11550"/>
    <n v="1732.5"/>
    <n v="9817.5"/>
    <n v="6434.04"/>
    <n v="3383.46"/>
    <b v="0"/>
    <x v="0"/>
    <x v="3"/>
    <s v="Rohit"/>
    <x v="1"/>
    <n v="5"/>
    <s v="Dec"/>
    <x v="1"/>
  </r>
  <r>
    <s v="ZAR-10994"/>
    <d v="2025-04-26T00:00:00"/>
    <x v="1"/>
    <d v="1899-12-30T01:56:00"/>
    <x v="5"/>
    <x v="1"/>
    <x v="5"/>
    <x v="2"/>
    <x v="3"/>
    <x v="4"/>
    <n v="1"/>
    <n v="4700"/>
    <x v="3"/>
    <n v="25"/>
    <s v="Valid"/>
    <s v="Match"/>
    <n v="4700"/>
    <n v="1175"/>
    <n v="3525"/>
    <n v="2778"/>
    <n v="747"/>
    <b v="0"/>
    <x v="0"/>
    <x v="4"/>
    <s v="Sanjay"/>
    <x v="2"/>
    <n v="4.5"/>
    <s v="Apr"/>
    <x v="5"/>
  </r>
  <r>
    <s v="ZAR-10047"/>
    <d v="2025-11-17T00:00:00"/>
    <x v="2"/>
    <d v="1899-12-30T18:42:00"/>
    <x v="6"/>
    <x v="0"/>
    <x v="10"/>
    <x v="0"/>
    <x v="4"/>
    <x v="3"/>
    <n v="1"/>
    <n v="1350"/>
    <x v="1"/>
    <n v="10"/>
    <s v="Valid"/>
    <s v="Match"/>
    <n v="1350"/>
    <n v="135"/>
    <n v="1215"/>
    <n v="935.98"/>
    <n v="279.02"/>
    <b v="0"/>
    <x v="0"/>
    <x v="4"/>
    <s v="Meera"/>
    <x v="6"/>
    <n v="3.5"/>
    <s v="Nov"/>
    <x v="2"/>
  </r>
  <r>
    <s v="ZAR-10917"/>
    <d v="2025-10-11T00:00:00"/>
    <x v="1"/>
    <d v="1899-12-30T01:16:00"/>
    <x v="2"/>
    <x v="0"/>
    <x v="1"/>
    <x v="0"/>
    <x v="3"/>
    <x v="0"/>
    <n v="3"/>
    <n v="1050"/>
    <x v="2"/>
    <n v="0"/>
    <s v="Valid"/>
    <s v="Match"/>
    <n v="3150"/>
    <n v="0"/>
    <n v="3150"/>
    <n v="2064.5100000000002"/>
    <n v="1085.49"/>
    <b v="0"/>
    <x v="0"/>
    <x v="0"/>
    <s v="Priya"/>
    <x v="6"/>
    <n v="4"/>
    <s v="Oct"/>
    <x v="5"/>
  </r>
  <r>
    <s v="ZAR-10159"/>
    <d v="2025-03-31T00:00:00"/>
    <x v="2"/>
    <d v="1899-12-30T17:10:00"/>
    <x v="3"/>
    <x v="1"/>
    <x v="18"/>
    <x v="0"/>
    <x v="5"/>
    <x v="1"/>
    <n v="3"/>
    <n v="3350"/>
    <x v="3"/>
    <n v="25"/>
    <s v="Valid"/>
    <s v="Match"/>
    <n v="10050"/>
    <n v="2512.5"/>
    <n v="7537.5"/>
    <n v="5765.29"/>
    <n v="1772.21"/>
    <b v="0"/>
    <x v="0"/>
    <x v="0"/>
    <s v="Sanjay"/>
    <x v="2"/>
    <n v="4"/>
    <s v="Mar"/>
    <x v="2"/>
  </r>
  <r>
    <s v="ZAR-10751"/>
    <d v="2025-05-26T00:00:00"/>
    <x v="2"/>
    <d v="1899-12-30T17:47:00"/>
    <x v="5"/>
    <x v="1"/>
    <x v="13"/>
    <x v="5"/>
    <x v="5"/>
    <x v="3"/>
    <n v="5"/>
    <n v="4050"/>
    <x v="2"/>
    <n v="0"/>
    <s v="Valid"/>
    <s v="Match"/>
    <n v="20250"/>
    <n v="0"/>
    <n v="20250"/>
    <n v="13877.44"/>
    <n v="6372.56"/>
    <b v="0"/>
    <x v="0"/>
    <x v="2"/>
    <s v="Sanjay"/>
    <x v="6"/>
    <n v="4"/>
    <s v="May"/>
    <x v="2"/>
  </r>
  <r>
    <s v="ZAR-10173"/>
    <d v="2025-03-10T00:00:00"/>
    <x v="4"/>
    <d v="1899-12-30T20:43:00"/>
    <x v="0"/>
    <x v="0"/>
    <x v="4"/>
    <x v="7"/>
    <x v="2"/>
    <x v="0"/>
    <n v="1"/>
    <n v="10900"/>
    <x v="1"/>
    <n v="10"/>
    <s v="Valid"/>
    <s v="Match"/>
    <n v="10900"/>
    <n v="1090"/>
    <n v="9810"/>
    <n v="5996.84"/>
    <n v="3813.16"/>
    <b v="0"/>
    <x v="0"/>
    <x v="1"/>
    <s v="Karan"/>
    <x v="4"/>
    <n v="4"/>
    <s v="Mar"/>
    <x v="2"/>
  </r>
  <r>
    <s v="ZAR-10018"/>
    <d v="2025-05-14T00:00:00"/>
    <x v="0"/>
    <d v="1899-12-30T06:42:00"/>
    <x v="1"/>
    <x v="0"/>
    <x v="4"/>
    <x v="6"/>
    <x v="2"/>
    <x v="0"/>
    <n v="2"/>
    <n v="22950"/>
    <x v="0"/>
    <n v="20"/>
    <s v="Valid"/>
    <s v="Match"/>
    <n v="45900"/>
    <n v="9180"/>
    <n v="36720"/>
    <n v="27062.7"/>
    <n v="9657.2999999999993"/>
    <b v="0"/>
    <x v="0"/>
    <x v="0"/>
    <s v="Priya"/>
    <x v="2"/>
    <n v="5"/>
    <s v="May"/>
    <x v="1"/>
  </r>
  <r>
    <s v="ZAR-10513"/>
    <d v="2025-06-08T00:00:00"/>
    <x v="5"/>
    <d v="1899-12-30T13:52:00"/>
    <x v="1"/>
    <x v="1"/>
    <x v="9"/>
    <x v="1"/>
    <x v="1"/>
    <x v="1"/>
    <n v="3"/>
    <n v="17350"/>
    <x v="1"/>
    <n v="5"/>
    <s v="Valid"/>
    <s v="Match"/>
    <n v="52050"/>
    <n v="2602.5"/>
    <n v="49447.5"/>
    <n v="37033.51"/>
    <n v="12413.99"/>
    <b v="0"/>
    <x v="0"/>
    <x v="3"/>
    <s v="Karan"/>
    <x v="4"/>
    <n v="4.5"/>
    <s v="Jun"/>
    <x v="0"/>
  </r>
  <r>
    <s v="ZAR-10050"/>
    <d v="2025-02-16T00:00:00"/>
    <x v="5"/>
    <d v="1899-12-30T15:22:00"/>
    <x v="5"/>
    <x v="2"/>
    <x v="17"/>
    <x v="2"/>
    <x v="5"/>
    <x v="0"/>
    <n v="1"/>
    <n v="3500"/>
    <x v="3"/>
    <n v="30"/>
    <s v="Valid"/>
    <s v="Match"/>
    <n v="3500"/>
    <n v="1050"/>
    <n v="2450"/>
    <n v="2198.63"/>
    <n v="251.37"/>
    <b v="0"/>
    <x v="0"/>
    <x v="4"/>
    <s v="Karan"/>
    <x v="1"/>
    <n v="4"/>
    <s v="Feb"/>
    <x v="0"/>
  </r>
  <r>
    <s v="ZAR-10981"/>
    <d v="2025-12-07T00:00:00"/>
    <x v="4"/>
    <d v="1899-12-30T22:01:00"/>
    <x v="6"/>
    <x v="1"/>
    <x v="16"/>
    <x v="5"/>
    <x v="1"/>
    <x v="4"/>
    <n v="2"/>
    <n v="1950"/>
    <x v="3"/>
    <n v="30"/>
    <s v="Valid"/>
    <s v="Match"/>
    <n v="3900"/>
    <n v="1170"/>
    <n v="2730"/>
    <n v="2051.44"/>
    <n v="678.56"/>
    <b v="0"/>
    <x v="0"/>
    <x v="2"/>
    <s v="Karan"/>
    <x v="6"/>
    <n v="3.5"/>
    <s v="Dec"/>
    <x v="0"/>
  </r>
  <r>
    <s v="ZAR-10848"/>
    <d v="2025-02-05T00:00:00"/>
    <x v="0"/>
    <d v="1899-12-30T05:08:00"/>
    <x v="4"/>
    <x v="2"/>
    <x v="15"/>
    <x v="1"/>
    <x v="2"/>
    <x v="5"/>
    <n v="1"/>
    <s v="3250.0"/>
    <x v="2"/>
    <n v="0"/>
    <s v="Valid"/>
    <s v="Match"/>
    <n v="3250"/>
    <n v="0"/>
    <n v="3250"/>
    <n v="2323.84"/>
    <n v="926.16"/>
    <b v="0"/>
    <x v="0"/>
    <x v="4"/>
    <s v="Priya"/>
    <x v="4"/>
    <n v="3"/>
    <s v="Feb"/>
    <x v="1"/>
  </r>
  <r>
    <s v="ZAR-10517"/>
    <d v="2025-05-10T00:00:00"/>
    <x v="0"/>
    <d v="1899-12-30T06:32:00"/>
    <x v="2"/>
    <x v="0"/>
    <x v="4"/>
    <x v="7"/>
    <x v="3"/>
    <x v="0"/>
    <n v="2"/>
    <n v="26150"/>
    <x v="0"/>
    <n v="15"/>
    <s v="Valid"/>
    <s v="Match"/>
    <n v="52300"/>
    <n v="7845"/>
    <n v="44455"/>
    <n v="32384.47"/>
    <n v="12070.53"/>
    <b v="0"/>
    <x v="0"/>
    <x v="0"/>
    <s v="Meera"/>
    <x v="6"/>
    <n v="4"/>
    <s v="May"/>
    <x v="5"/>
  </r>
  <r>
    <s v="ZAR-10831"/>
    <d v="2025-04-08T00:00:00"/>
    <x v="5"/>
    <d v="1899-12-30T15:16:00"/>
    <x v="4"/>
    <x v="2"/>
    <x v="8"/>
    <x v="2"/>
    <x v="3"/>
    <x v="0"/>
    <n v="1"/>
    <n v="3800"/>
    <x v="0"/>
    <n v="15"/>
    <s v="Valid"/>
    <s v="Match"/>
    <n v="3800"/>
    <n v="570"/>
    <n v="3230"/>
    <n v="2291.2800000000002"/>
    <n v="938.72"/>
    <b v="0"/>
    <x v="0"/>
    <x v="1"/>
    <s v="Karan"/>
    <x v="4"/>
    <n v="5"/>
    <s v="Apr"/>
    <x v="6"/>
  </r>
  <r>
    <s v="ZAR-10482"/>
    <d v="2025-11-14T00:00:00"/>
    <x v="3"/>
    <d v="1899-12-30T09:41:00"/>
    <x v="0"/>
    <x v="2"/>
    <x v="15"/>
    <x v="6"/>
    <x v="3"/>
    <x v="0"/>
    <n v="1"/>
    <n v="3700"/>
    <x v="0"/>
    <n v="15"/>
    <s v="Valid"/>
    <s v="Match"/>
    <n v="3700"/>
    <n v="555"/>
    <n v="3145"/>
    <n v="2706.35"/>
    <n v="438.65"/>
    <b v="0"/>
    <x v="0"/>
    <x v="0"/>
    <s v="Priya"/>
    <x v="4"/>
    <n v="4"/>
    <s v="Nov"/>
    <x v="3"/>
  </r>
  <r>
    <s v="ZAR-10285"/>
    <d v="2025-03-27T00:00:00"/>
    <x v="4"/>
    <d v="1899-12-30T20:51:00"/>
    <x v="3"/>
    <x v="0"/>
    <x v="4"/>
    <x v="1"/>
    <x v="3"/>
    <x v="0"/>
    <n v="1"/>
    <n v="21500"/>
    <x v="3"/>
    <n v="25"/>
    <s v="Valid"/>
    <s v="Match"/>
    <n v="21500"/>
    <n v="5375"/>
    <n v="16125"/>
    <n v="15704.69"/>
    <n v="420.31"/>
    <b v="0"/>
    <x v="0"/>
    <x v="4"/>
    <s v="Priya"/>
    <x v="4"/>
    <n v="3.5"/>
    <s v="Mar"/>
    <x v="4"/>
  </r>
  <r>
    <s v="ZAR-10725"/>
    <d v="2025-11-11T00:00:00"/>
    <x v="1"/>
    <d v="1899-12-30T00:21:00"/>
    <x v="6"/>
    <x v="0"/>
    <x v="4"/>
    <x v="7"/>
    <x v="2"/>
    <x v="1"/>
    <n v="1"/>
    <n v="39600"/>
    <x v="3"/>
    <n v="30"/>
    <s v="Valid"/>
    <s v="Match"/>
    <n v="39600"/>
    <n v="11880"/>
    <n v="27720"/>
    <n v="22283.72"/>
    <n v="5436.28"/>
    <b v="0"/>
    <x v="0"/>
    <x v="3"/>
    <s v="Ananya"/>
    <x v="4"/>
    <n v="4.5"/>
    <s v="Nov"/>
    <x v="6"/>
  </r>
  <r>
    <s v="ZAR-10686"/>
    <d v="2025-11-08T00:00:00"/>
    <x v="0"/>
    <d v="1899-12-30T06:51:00"/>
    <x v="3"/>
    <x v="0"/>
    <x v="12"/>
    <x v="7"/>
    <x v="4"/>
    <x v="0"/>
    <n v="3"/>
    <n v="3050"/>
    <x v="0"/>
    <n v="20"/>
    <s v="Valid"/>
    <s v="Match"/>
    <n v="9150"/>
    <n v="1830"/>
    <n v="7320"/>
    <n v="4809.3999999999996"/>
    <n v="2510.6"/>
    <b v="0"/>
    <x v="0"/>
    <x v="1"/>
    <s v="Sanjay"/>
    <x v="5"/>
    <n v="4.5"/>
    <s v="Nov"/>
    <x v="5"/>
  </r>
  <r>
    <s v="ZAR-10227"/>
    <d v="2025-09-04T00:00:00"/>
    <x v="3"/>
    <d v="1899-12-30T10:15:00"/>
    <x v="2"/>
    <x v="1"/>
    <x v="16"/>
    <x v="2"/>
    <x v="3"/>
    <x v="0"/>
    <n v="2"/>
    <n v="2700"/>
    <x v="1"/>
    <n v="5"/>
    <s v="Valid"/>
    <s v="Match"/>
    <n v="5400"/>
    <n v="270"/>
    <n v="5130"/>
    <n v="3625.59"/>
    <n v="1504.41"/>
    <b v="0"/>
    <x v="0"/>
    <x v="1"/>
    <s v="Ananya"/>
    <x v="5"/>
    <n v="4.5"/>
    <s v="Sep"/>
    <x v="4"/>
  </r>
  <r>
    <s v="ZAR-10028"/>
    <d v="2025-03-28T00:00:00"/>
    <x v="4"/>
    <d v="1899-12-30T21:05:00"/>
    <x v="3"/>
    <x v="0"/>
    <x v="12"/>
    <x v="1"/>
    <x v="0"/>
    <x v="0"/>
    <n v="1"/>
    <n v="8300"/>
    <x v="1"/>
    <n v="5"/>
    <s v="Valid"/>
    <s v="Match"/>
    <n v="8300"/>
    <n v="415"/>
    <n v="7885"/>
    <n v="5249.4"/>
    <n v="2635.6"/>
    <b v="0"/>
    <x v="0"/>
    <x v="4"/>
    <s v="Rohit"/>
    <x v="6"/>
    <n v="3"/>
    <s v="Mar"/>
    <x v="3"/>
  </r>
  <r>
    <s v="ZAR-10789"/>
    <d v="2025-07-13T00:00:00"/>
    <x v="2"/>
    <d v="1899-12-30T19:46:00"/>
    <x v="4"/>
    <x v="0"/>
    <x v="10"/>
    <x v="5"/>
    <x v="0"/>
    <x v="0"/>
    <n v="3"/>
    <n v="1100"/>
    <x v="0"/>
    <n v="15"/>
    <s v="Valid"/>
    <s v="Match"/>
    <n v="3300"/>
    <n v="495"/>
    <n v="2805"/>
    <n v="1749.76"/>
    <n v="1055.24"/>
    <b v="0"/>
    <x v="0"/>
    <x v="0"/>
    <s v="Ananya"/>
    <x v="2"/>
    <n v="3.5"/>
    <s v="Jul"/>
    <x v="0"/>
  </r>
  <r>
    <s v="ZAR-10439"/>
    <d v="2025-12-29T00:00:00"/>
    <x v="5"/>
    <d v="1899-12-30T13:47:00"/>
    <x v="4"/>
    <x v="0"/>
    <x v="12"/>
    <x v="7"/>
    <x v="6"/>
    <x v="0"/>
    <n v="1"/>
    <n v="14700"/>
    <x v="1"/>
    <n v="5"/>
    <s v="Valid"/>
    <s v="Match"/>
    <n v="14700"/>
    <n v="735"/>
    <n v="13965"/>
    <n v="9950.93"/>
    <n v="4014.07"/>
    <b v="0"/>
    <x v="0"/>
    <x v="1"/>
    <s v="Sanjay"/>
    <x v="3"/>
    <n v="3"/>
    <s v="Dec"/>
    <x v="2"/>
  </r>
  <r>
    <s v="ZAR-10960"/>
    <d v="2025-10-30T00:00:00"/>
    <x v="5"/>
    <d v="1899-12-30T13:58:00"/>
    <x v="4"/>
    <x v="1"/>
    <x v="5"/>
    <x v="3"/>
    <x v="3"/>
    <x v="0"/>
    <n v="1"/>
    <n v="6850"/>
    <x v="1"/>
    <n v="5"/>
    <s v="Valid"/>
    <s v="Match"/>
    <n v="6850"/>
    <n v="342.5"/>
    <n v="6507.5"/>
    <n v="4171.6099999999997"/>
    <n v="2335.89"/>
    <b v="0"/>
    <x v="0"/>
    <x v="4"/>
    <s v="Karan"/>
    <x v="5"/>
    <n v="5"/>
    <s v="Oct"/>
    <x v="4"/>
  </r>
  <r>
    <s v="ZAR-10366"/>
    <d v="2025-02-05T00:00:00"/>
    <x v="5"/>
    <d v="1899-12-30T15:59:00"/>
    <x v="0"/>
    <x v="0"/>
    <x v="2"/>
    <x v="0"/>
    <x v="3"/>
    <x v="1"/>
    <n v="1"/>
    <n v="58950"/>
    <x v="1"/>
    <n v="10"/>
    <s v="Valid"/>
    <s v="Match"/>
    <n v="58950"/>
    <n v="5895"/>
    <n v="53055"/>
    <n v="32961.57"/>
    <n v="20093.43"/>
    <b v="0"/>
    <x v="0"/>
    <x v="3"/>
    <s v="Meera"/>
    <x v="1"/>
    <n v="3"/>
    <s v="Feb"/>
    <x v="1"/>
  </r>
  <r>
    <s v="ZAR-10231"/>
    <d v="2025-03-08T00:00:00"/>
    <x v="5"/>
    <d v="1899-12-30T15:58:00"/>
    <x v="5"/>
    <x v="0"/>
    <x v="7"/>
    <x v="4"/>
    <x v="6"/>
    <x v="0"/>
    <n v="2"/>
    <n v="4000"/>
    <x v="3"/>
    <n v="30"/>
    <s v="Valid"/>
    <s v="Match"/>
    <n v="8000"/>
    <n v="2400"/>
    <n v="5600"/>
    <n v="5364.66"/>
    <n v="235.34"/>
    <b v="0"/>
    <x v="0"/>
    <x v="3"/>
    <s v="Meera"/>
    <x v="4"/>
    <n v="3.5"/>
    <s v="Mar"/>
    <x v="5"/>
  </r>
  <r>
    <s v="ZAR-10039"/>
    <d v="2025-05-06T00:00:00"/>
    <x v="1"/>
    <d v="1899-12-30T02:17:00"/>
    <x v="5"/>
    <x v="1"/>
    <x v="9"/>
    <x v="4"/>
    <x v="7"/>
    <x v="0"/>
    <n v="2"/>
    <n v="10100"/>
    <x v="1"/>
    <n v="10"/>
    <s v="Valid"/>
    <s v="Match"/>
    <n v="20200"/>
    <n v="2020"/>
    <n v="18180"/>
    <n v="11936.32"/>
    <n v="6243.68"/>
    <b v="0"/>
    <x v="0"/>
    <x v="0"/>
    <s v="Meera"/>
    <x v="3"/>
    <n v="4"/>
    <s v="May"/>
    <x v="6"/>
  </r>
  <r>
    <s v="ZAR-10975"/>
    <d v="2025-03-23T00:00:00"/>
    <x v="5"/>
    <d v="1899-12-30T15:24:00"/>
    <x v="2"/>
    <x v="1"/>
    <x v="16"/>
    <x v="3"/>
    <x v="5"/>
    <x v="0"/>
    <n v="1"/>
    <n v="6550"/>
    <x v="3"/>
    <n v="25"/>
    <s v="Valid"/>
    <s v="Match"/>
    <n v="6550"/>
    <n v="1637.5"/>
    <n v="4912.5"/>
    <n v="3497.17"/>
    <n v="1415.33"/>
    <b v="0"/>
    <x v="0"/>
    <x v="2"/>
    <s v="Ananya"/>
    <x v="0"/>
    <n v="5"/>
    <s v="Mar"/>
    <x v="0"/>
  </r>
  <r>
    <s v="ZAR-10376"/>
    <d v="2025-09-01T00:00:00"/>
    <x v="4"/>
    <d v="1899-12-30T22:08:00"/>
    <x v="0"/>
    <x v="0"/>
    <x v="4"/>
    <x v="1"/>
    <x v="3"/>
    <x v="0"/>
    <n v="2"/>
    <n v="33850"/>
    <x v="1"/>
    <n v="10"/>
    <s v="Valid"/>
    <s v="Match"/>
    <n v="67700"/>
    <n v="6770"/>
    <n v="60930"/>
    <n v="41403.21"/>
    <n v="19526.79"/>
    <b v="0"/>
    <x v="0"/>
    <x v="1"/>
    <s v="Neha"/>
    <x v="4"/>
    <n v="4"/>
    <s v="Sep"/>
    <x v="2"/>
  </r>
  <r>
    <s v="ZAR-10471"/>
    <d v="2025-10-27T00:00:00"/>
    <x v="5"/>
    <d v="1899-12-30T15:40:00"/>
    <x v="5"/>
    <x v="0"/>
    <x v="7"/>
    <x v="3"/>
    <x v="5"/>
    <x v="3"/>
    <n v="1"/>
    <n v="3150"/>
    <x v="0"/>
    <n v="15"/>
    <s v="Valid"/>
    <s v="Match"/>
    <n v="3150"/>
    <n v="472.5"/>
    <n v="2677.5"/>
    <n v="2242.31"/>
    <n v="435.19"/>
    <b v="0"/>
    <x v="0"/>
    <x v="1"/>
    <s v="Rohit"/>
    <x v="5"/>
    <n v="5"/>
    <s v="Oct"/>
    <x v="2"/>
  </r>
  <r>
    <s v="ZAR-10977"/>
    <d v="2025-08-16T00:00:00"/>
    <x v="3"/>
    <d v="1899-12-30T08:20:00"/>
    <x v="3"/>
    <x v="0"/>
    <x v="1"/>
    <x v="3"/>
    <x v="6"/>
    <x v="1"/>
    <n v="1"/>
    <n v="4300"/>
    <x v="0"/>
    <n v="20"/>
    <s v="Valid"/>
    <s v="Match"/>
    <n v="4300"/>
    <n v="860"/>
    <n v="3440"/>
    <n v="3027.51"/>
    <n v="412.49"/>
    <b v="0"/>
    <x v="0"/>
    <x v="4"/>
    <s v="Sanjay"/>
    <x v="5"/>
    <n v="3.5"/>
    <s v="Aug"/>
    <x v="5"/>
  </r>
  <r>
    <s v="ZAR-10883"/>
    <d v="2025-07-08T00:00:00"/>
    <x v="5"/>
    <d v="1899-12-30T14:52:00"/>
    <x v="5"/>
    <x v="1"/>
    <x v="18"/>
    <x v="0"/>
    <x v="1"/>
    <x v="0"/>
    <n v="1"/>
    <n v="3500"/>
    <x v="1"/>
    <n v="10"/>
    <s v="Valid"/>
    <s v="Match"/>
    <n v="3500"/>
    <n v="350"/>
    <n v="3150"/>
    <n v="1888.08"/>
    <n v="1261.92"/>
    <b v="0"/>
    <x v="0"/>
    <x v="4"/>
    <s v="Karan"/>
    <x v="4"/>
    <n v="5"/>
    <s v="Jul"/>
    <x v="6"/>
  </r>
  <r>
    <s v="ZAR-10710"/>
    <d v="2025-07-23T00:00:00"/>
    <x v="0"/>
    <d v="1899-12-30T07:28:00"/>
    <x v="7"/>
    <x v="2"/>
    <x v="15"/>
    <x v="0"/>
    <x v="8"/>
    <x v="0"/>
    <n v="1"/>
    <n v="4800"/>
    <x v="0"/>
    <n v="20"/>
    <s v="Valid"/>
    <s v="Match"/>
    <n v="4800"/>
    <n v="960"/>
    <n v="3840"/>
    <n v="3525.8"/>
    <n v="314.2"/>
    <b v="0"/>
    <x v="0"/>
    <x v="2"/>
    <s v="Ananya"/>
    <x v="5"/>
    <n v="4"/>
    <s v="Jul"/>
    <x v="1"/>
  </r>
  <r>
    <s v="ZAR-10732"/>
    <d v="2025-01-05T00:00:00"/>
    <x v="0"/>
    <d v="1899-12-30T05:26:00"/>
    <x v="5"/>
    <x v="1"/>
    <x v="3"/>
    <x v="7"/>
    <x v="1"/>
    <x v="0"/>
    <n v="1"/>
    <n v="19250"/>
    <x v="1"/>
    <n v="10"/>
    <s v="Valid"/>
    <s v="Match"/>
    <n v="19250"/>
    <n v="1925"/>
    <n v="17325"/>
    <n v="13691.61"/>
    <n v="3633.39"/>
    <b v="0"/>
    <x v="0"/>
    <x v="4"/>
    <s v="Rohit"/>
    <x v="1"/>
    <n v="3.5"/>
    <s v="Jan"/>
    <x v="0"/>
  </r>
  <r>
    <s v="ZAR-10196"/>
    <d v="2025-06-15T00:00:00"/>
    <x v="1"/>
    <d v="1899-12-30T01:01:00"/>
    <x v="0"/>
    <x v="0"/>
    <x v="6"/>
    <x v="5"/>
    <x v="6"/>
    <x v="1"/>
    <n v="1"/>
    <n v="13100"/>
    <x v="3"/>
    <n v="30"/>
    <s v="Valid"/>
    <s v="Match"/>
    <n v="13100"/>
    <n v="3930"/>
    <n v="9170"/>
    <n v="9245.23"/>
    <n v="-75.23"/>
    <b v="0"/>
    <x v="0"/>
    <x v="4"/>
    <s v="Karan"/>
    <x v="4"/>
    <n v="4.5"/>
    <s v="Jun"/>
    <x v="0"/>
  </r>
  <r>
    <s v="ZAR-10872"/>
    <d v="2025-04-17T00:00:00"/>
    <x v="5"/>
    <d v="1899-12-30T14:10:00"/>
    <x v="2"/>
    <x v="0"/>
    <x v="2"/>
    <x v="4"/>
    <x v="2"/>
    <x v="2"/>
    <n v="1"/>
    <n v="74150"/>
    <x v="0"/>
    <n v="20"/>
    <s v="Valid"/>
    <s v="Match"/>
    <n v="74150"/>
    <n v="14830"/>
    <n v="59320"/>
    <n v="51981.09"/>
    <n v="7338.91"/>
    <b v="0"/>
    <x v="0"/>
    <x v="3"/>
    <s v="Ananya"/>
    <x v="2"/>
    <s v="Not Rated"/>
    <s v="Apr"/>
    <x v="4"/>
  </r>
  <r>
    <s v="ZAR-10505"/>
    <d v="2025-09-12T00:00:00"/>
    <x v="3"/>
    <d v="1899-12-30T10:17:00"/>
    <x v="5"/>
    <x v="0"/>
    <x v="2"/>
    <x v="5"/>
    <x v="8"/>
    <x v="0"/>
    <n v="1"/>
    <n v="67800"/>
    <x v="0"/>
    <n v="15"/>
    <s v="Valid"/>
    <s v="Match"/>
    <n v="67800"/>
    <n v="10170"/>
    <n v="57630"/>
    <n v="41355.94"/>
    <n v="16274.06"/>
    <b v="0"/>
    <x v="0"/>
    <x v="4"/>
    <s v="Ananya"/>
    <x v="3"/>
    <n v="5"/>
    <s v="Sep"/>
    <x v="3"/>
  </r>
  <r>
    <s v="ZAR-10979"/>
    <d v="2025-11-07T00:00:00"/>
    <x v="2"/>
    <d v="1899-12-30T17:56:00"/>
    <x v="2"/>
    <x v="0"/>
    <x v="1"/>
    <x v="5"/>
    <x v="0"/>
    <x v="0"/>
    <n v="1"/>
    <n v="3750"/>
    <x v="2"/>
    <n v="0"/>
    <s v="Valid"/>
    <s v="Match"/>
    <n v="3750"/>
    <n v="0"/>
    <n v="3750"/>
    <n v="2369.44"/>
    <n v="1380.56"/>
    <b v="0"/>
    <x v="0"/>
    <x v="4"/>
    <s v="Priya"/>
    <x v="3"/>
    <n v="4.5"/>
    <s v="Nov"/>
    <x v="3"/>
  </r>
  <r>
    <s v="ZAR-10838"/>
    <d v="2025-11-27T00:00:00"/>
    <x v="5"/>
    <d v="1899-12-30T12:18:00"/>
    <x v="1"/>
    <x v="0"/>
    <x v="4"/>
    <x v="2"/>
    <x v="2"/>
    <x v="1"/>
    <n v="3"/>
    <n v="7750"/>
    <x v="0"/>
    <n v="15"/>
    <s v="Valid"/>
    <s v="Match"/>
    <n v="23250"/>
    <n v="3487.5"/>
    <n v="19762.5"/>
    <n v="16883.830000000002"/>
    <n v="2878.67"/>
    <b v="0"/>
    <x v="0"/>
    <x v="3"/>
    <s v="Priya"/>
    <x v="3"/>
    <n v="5"/>
    <s v="Nov"/>
    <x v="4"/>
  </r>
  <r>
    <s v="ZAR-10581"/>
    <d v="2025-10-17T00:00:00"/>
    <x v="1"/>
    <d v="1899-12-30T01:50:00"/>
    <x v="1"/>
    <x v="1"/>
    <x v="5"/>
    <x v="5"/>
    <x v="7"/>
    <x v="0"/>
    <n v="2"/>
    <n v="5400"/>
    <x v="1"/>
    <n v="5"/>
    <s v="Valid"/>
    <s v="Match"/>
    <n v="10800"/>
    <n v="540"/>
    <n v="10260"/>
    <n v="6304.22"/>
    <n v="3955.78"/>
    <b v="0"/>
    <x v="0"/>
    <x v="1"/>
    <s v="Sanjay"/>
    <x v="5"/>
    <n v="5"/>
    <s v="Oct"/>
    <x v="3"/>
  </r>
  <r>
    <s v="ZAR-10978"/>
    <d v="2025-01-28T00:00:00"/>
    <x v="0"/>
    <d v="1899-12-30T07:47:00"/>
    <x v="1"/>
    <x v="0"/>
    <x v="4"/>
    <x v="0"/>
    <x v="3"/>
    <x v="0"/>
    <n v="1"/>
    <n v="40250"/>
    <x v="3"/>
    <n v="25"/>
    <s v="Valid"/>
    <s v="Match"/>
    <n v="40250"/>
    <n v="10062.5"/>
    <n v="30187.5"/>
    <n v="22052.63"/>
    <n v="8134.87"/>
    <b v="0"/>
    <x v="0"/>
    <x v="2"/>
    <s v="Neha"/>
    <x v="6"/>
    <n v="4"/>
    <s v="Jan"/>
    <x v="6"/>
  </r>
  <r>
    <s v="ZAR-10164"/>
    <d v="2025-08-23T00:00:00"/>
    <x v="2"/>
    <d v="1899-12-30T18:47:00"/>
    <x v="6"/>
    <x v="0"/>
    <x v="1"/>
    <x v="5"/>
    <x v="6"/>
    <x v="2"/>
    <n v="1"/>
    <n v="1800"/>
    <x v="0"/>
    <n v="20"/>
    <s v="Valid"/>
    <s v="Match"/>
    <n v="1800"/>
    <n v="360"/>
    <n v="1440"/>
    <n v="1050.31"/>
    <n v="389.69"/>
    <b v="0"/>
    <x v="0"/>
    <x v="4"/>
    <s v="Meera"/>
    <x v="5"/>
    <n v="4.5"/>
    <s v="Aug"/>
    <x v="5"/>
  </r>
  <r>
    <s v="ZAR-10708"/>
    <d v="2025-11-07T00:00:00"/>
    <x v="3"/>
    <d v="1899-12-30T09:50:00"/>
    <x v="3"/>
    <x v="0"/>
    <x v="6"/>
    <x v="2"/>
    <x v="0"/>
    <x v="0"/>
    <n v="2"/>
    <n v="4950"/>
    <x v="0"/>
    <n v="15"/>
    <s v="Valid"/>
    <s v="Match"/>
    <n v="9900"/>
    <n v="1485"/>
    <n v="8415"/>
    <n v="5571.15"/>
    <n v="2843.85"/>
    <b v="0"/>
    <x v="0"/>
    <x v="1"/>
    <s v="Ananya"/>
    <x v="3"/>
    <n v="4"/>
    <s v="Nov"/>
    <x v="3"/>
  </r>
  <r>
    <s v="ZAR-10154"/>
    <d v="2025-01-14T00:00:00"/>
    <x v="5"/>
    <d v="1899-12-30T14:45:00"/>
    <x v="0"/>
    <x v="2"/>
    <x v="17"/>
    <x v="0"/>
    <x v="3"/>
    <x v="0"/>
    <n v="2"/>
    <n v="2350"/>
    <x v="3"/>
    <n v="25"/>
    <s v="Valid"/>
    <s v="Match"/>
    <n v="4700"/>
    <n v="1175"/>
    <n v="3525"/>
    <n v="3237.72"/>
    <n v="287.27999999999997"/>
    <b v="0"/>
    <x v="0"/>
    <x v="4"/>
    <s v="Rohit"/>
    <x v="3"/>
    <n v="4"/>
    <s v="Jan"/>
    <x v="6"/>
  </r>
  <r>
    <s v="ZAR-10687"/>
    <d v="2025-04-25T00:00:00"/>
    <x v="2"/>
    <d v="1899-12-30T18:32:00"/>
    <x v="4"/>
    <x v="0"/>
    <x v="6"/>
    <x v="5"/>
    <x v="4"/>
    <x v="1"/>
    <n v="5"/>
    <n v="14450"/>
    <x v="2"/>
    <n v="0"/>
    <s v="Valid"/>
    <s v="Match"/>
    <n v="72250"/>
    <n v="0"/>
    <n v="72250"/>
    <n v="52752.58"/>
    <n v="19497.419999999998"/>
    <b v="0"/>
    <x v="0"/>
    <x v="3"/>
    <s v="Meera"/>
    <x v="2"/>
    <s v="Not Rated"/>
    <s v="Apr"/>
    <x v="3"/>
  </r>
  <r>
    <s v="ZAR-10706"/>
    <d v="2025-01-19T00:00:00"/>
    <x v="1"/>
    <d v="1899-12-30T00:48:00"/>
    <x v="4"/>
    <x v="2"/>
    <x v="14"/>
    <x v="0"/>
    <x v="7"/>
    <x v="0"/>
    <n v="2"/>
    <n v="1950"/>
    <x v="1"/>
    <n v="5"/>
    <s v="Valid"/>
    <s v="Match"/>
    <n v="3900"/>
    <n v="195"/>
    <n v="3705"/>
    <n v="2834.53"/>
    <n v="870.47"/>
    <b v="0"/>
    <x v="0"/>
    <x v="4"/>
    <s v="Priya"/>
    <x v="2"/>
    <n v="3"/>
    <s v="Jan"/>
    <x v="0"/>
  </r>
  <r>
    <s v="ZAR-10762"/>
    <d v="2025-01-07T00:00:00"/>
    <x v="3"/>
    <d v="1899-12-30T08:23:00"/>
    <x v="1"/>
    <x v="0"/>
    <x v="1"/>
    <x v="2"/>
    <x v="4"/>
    <x v="0"/>
    <n v="1"/>
    <n v="800"/>
    <x v="1"/>
    <n v="10"/>
    <s v="Valid"/>
    <s v="Match"/>
    <n v="800"/>
    <n v="80"/>
    <n v="720"/>
    <n v="442.11"/>
    <n v="277.89"/>
    <b v="0"/>
    <x v="0"/>
    <x v="3"/>
    <s v="Rohit"/>
    <x v="3"/>
    <n v="4"/>
    <s v="Jan"/>
    <x v="6"/>
  </r>
  <r>
    <s v="ZAR-10113"/>
    <d v="2025-10-15T00:00:00"/>
    <x v="0"/>
    <d v="1899-12-30T06:23:00"/>
    <x v="4"/>
    <x v="2"/>
    <x v="14"/>
    <x v="6"/>
    <x v="7"/>
    <x v="0"/>
    <n v="1"/>
    <n v="2900"/>
    <x v="0"/>
    <n v="15"/>
    <s v="Valid"/>
    <s v="Match"/>
    <n v="2900"/>
    <n v="435"/>
    <n v="2465"/>
    <n v="1540.64"/>
    <n v="924.36"/>
    <b v="0"/>
    <x v="0"/>
    <x v="3"/>
    <s v="Karan"/>
    <x v="5"/>
    <n v="4.5"/>
    <s v="Oct"/>
    <x v="1"/>
  </r>
  <r>
    <s v="ZAR-10228"/>
    <d v="2025-06-01T00:00:00"/>
    <x v="3"/>
    <d v="1899-12-30T08:29:00"/>
    <x v="2"/>
    <x v="0"/>
    <x v="4"/>
    <x v="7"/>
    <x v="1"/>
    <x v="0"/>
    <n v="2"/>
    <n v="41400"/>
    <x v="0"/>
    <n v="15"/>
    <s v="Valid"/>
    <s v="Match"/>
    <n v="82800"/>
    <n v="12420"/>
    <n v="70380"/>
    <n v="61065.54"/>
    <n v="9314.4599999999991"/>
    <b v="0"/>
    <x v="0"/>
    <x v="4"/>
    <s v="Sanjay"/>
    <x v="4"/>
    <n v="4"/>
    <s v="Jun"/>
    <x v="0"/>
  </r>
  <r>
    <s v="ZAR-10694"/>
    <d v="2025-09-26T00:00:00"/>
    <x v="2"/>
    <d v="1899-12-30T18:32:00"/>
    <x v="6"/>
    <x v="0"/>
    <x v="4"/>
    <x v="0"/>
    <x v="3"/>
    <x v="3"/>
    <n v="1"/>
    <n v="15850"/>
    <x v="2"/>
    <n v="0"/>
    <s v="Valid"/>
    <s v="Match"/>
    <n v="15850"/>
    <n v="0"/>
    <n v="15850"/>
    <n v="10209.129999999999"/>
    <n v="5640.87"/>
    <b v="0"/>
    <x v="0"/>
    <x v="1"/>
    <s v="Ananya"/>
    <x v="4"/>
    <s v="Not Rated"/>
    <s v="Sep"/>
    <x v="3"/>
  </r>
  <r>
    <s v="ZAR-10105"/>
    <d v="2025-10-10T00:00:00"/>
    <x v="0"/>
    <d v="1899-12-30T04:39:00"/>
    <x v="2"/>
    <x v="0"/>
    <x v="10"/>
    <x v="2"/>
    <x v="2"/>
    <x v="0"/>
    <n v="2"/>
    <n v="1050"/>
    <x v="1"/>
    <n v="10"/>
    <s v="Valid"/>
    <s v="Match"/>
    <n v="2100"/>
    <n v="210"/>
    <n v="1890"/>
    <n v="1307.94"/>
    <n v="582.05999999999995"/>
    <b v="0"/>
    <x v="0"/>
    <x v="3"/>
    <s v="Sanjay"/>
    <x v="1"/>
    <n v="5"/>
    <s v="Oct"/>
    <x v="3"/>
  </r>
  <r>
    <s v="ZAR-10423"/>
    <d v="2025-10-04T00:00:00"/>
    <x v="3"/>
    <d v="1899-12-30T10:12:00"/>
    <x v="5"/>
    <x v="1"/>
    <x v="18"/>
    <x v="0"/>
    <x v="7"/>
    <x v="0"/>
    <n v="1"/>
    <n v="3450"/>
    <x v="1"/>
    <n v="10"/>
    <s v="Valid"/>
    <s v="Match"/>
    <n v="3450"/>
    <n v="345"/>
    <n v="3105"/>
    <n v="2122.58"/>
    <n v="982.42"/>
    <b v="0"/>
    <x v="0"/>
    <x v="2"/>
    <s v="Karan"/>
    <x v="4"/>
    <n v="5"/>
    <s v="Oct"/>
    <x v="5"/>
  </r>
  <r>
    <s v="ZAR-10421"/>
    <d v="2025-12-08T00:00:00"/>
    <x v="3"/>
    <d v="1899-12-30T10:10:00"/>
    <x v="4"/>
    <x v="1"/>
    <x v="3"/>
    <x v="5"/>
    <x v="2"/>
    <x v="0"/>
    <n v="1"/>
    <n v="33250"/>
    <x v="0"/>
    <n v="15"/>
    <s v="Valid"/>
    <s v="Match"/>
    <n v="33250"/>
    <n v="4987.5"/>
    <n v="28262.5"/>
    <n v="20967.75"/>
    <n v="7294.75"/>
    <b v="0"/>
    <x v="0"/>
    <x v="3"/>
    <s v="Rohit"/>
    <x v="3"/>
    <n v="4"/>
    <s v="Dec"/>
    <x v="2"/>
  </r>
  <r>
    <s v="ZAR-10757"/>
    <d v="2025-01-17T00:00:00"/>
    <x v="4"/>
    <d v="1899-12-30T21:43:00"/>
    <x v="5"/>
    <x v="2"/>
    <x v="17"/>
    <x v="3"/>
    <x v="7"/>
    <x v="4"/>
    <n v="2"/>
    <n v="1400"/>
    <x v="2"/>
    <n v="0"/>
    <s v="Valid"/>
    <s v="Match"/>
    <n v="2800"/>
    <n v="0"/>
    <n v="2800"/>
    <n v="1460.24"/>
    <n v="1339.76"/>
    <b v="0"/>
    <x v="0"/>
    <x v="4"/>
    <s v="Karan"/>
    <x v="5"/>
    <n v="3"/>
    <s v="Jan"/>
    <x v="3"/>
  </r>
  <r>
    <s v="ZAR-10588"/>
    <d v="2025-02-12T00:00:00"/>
    <x v="3"/>
    <d v="1899-12-30T08:09:00"/>
    <x v="1"/>
    <x v="0"/>
    <x v="2"/>
    <x v="7"/>
    <x v="1"/>
    <x v="1"/>
    <n v="1"/>
    <n v="29750"/>
    <x v="1"/>
    <n v="5"/>
    <s v="Valid"/>
    <s v="Match"/>
    <n v="29750"/>
    <n v="1487.5"/>
    <n v="28262.5"/>
    <n v="16335.11"/>
    <n v="11927.39"/>
    <b v="0"/>
    <x v="0"/>
    <x v="2"/>
    <s v="Unknown"/>
    <x v="6"/>
    <n v="3"/>
    <s v="Feb"/>
    <x v="1"/>
  </r>
  <r>
    <s v="ZAR-10787"/>
    <d v="2025-08-29T00:00:00"/>
    <x v="1"/>
    <d v="1899-12-30T01:03:00"/>
    <x v="4"/>
    <x v="1"/>
    <x v="5"/>
    <x v="3"/>
    <x v="1"/>
    <x v="4"/>
    <n v="1"/>
    <n v="5150"/>
    <x v="1"/>
    <n v="5"/>
    <s v="Valid"/>
    <s v="Match"/>
    <n v="5150"/>
    <n v="257.5"/>
    <n v="4892.5"/>
    <n v="2836.87"/>
    <n v="2055.63"/>
    <b v="0"/>
    <x v="0"/>
    <x v="1"/>
    <s v="Sanjay"/>
    <x v="6"/>
    <n v="4"/>
    <s v="Aug"/>
    <x v="3"/>
  </r>
  <r>
    <s v="ZAR-10674"/>
    <d v="2025-01-08T00:00:00"/>
    <x v="0"/>
    <d v="1899-12-30T07:52:00"/>
    <x v="2"/>
    <x v="0"/>
    <x v="2"/>
    <x v="4"/>
    <x v="2"/>
    <x v="0"/>
    <n v="2"/>
    <n v="42300"/>
    <x v="0"/>
    <n v="20"/>
    <s v="Valid"/>
    <s v="Match"/>
    <n v="84600"/>
    <n v="16920"/>
    <n v="67680"/>
    <n v="44844.05"/>
    <n v="22835.95"/>
    <b v="0"/>
    <x v="0"/>
    <x v="4"/>
    <s v="Priya"/>
    <x v="5"/>
    <n v="4"/>
    <s v="Jan"/>
    <x v="1"/>
  </r>
  <r>
    <s v="ZAR-10121"/>
    <d v="2025-10-28T00:00:00"/>
    <x v="0"/>
    <d v="1899-12-30T07:15:00"/>
    <x v="2"/>
    <x v="1"/>
    <x v="16"/>
    <x v="5"/>
    <x v="5"/>
    <x v="1"/>
    <n v="2"/>
    <n v="7100"/>
    <x v="1"/>
    <n v="5"/>
    <s v="Valid"/>
    <s v="Match"/>
    <n v="14200"/>
    <n v="710"/>
    <n v="13490"/>
    <n v="7725.22"/>
    <n v="5764.78"/>
    <b v="0"/>
    <x v="0"/>
    <x v="0"/>
    <s v="Priya"/>
    <x v="4"/>
    <n v="3"/>
    <s v="Oct"/>
    <x v="6"/>
  </r>
  <r>
    <s v="ZAR-10055"/>
    <d v="2025-10-10T00:00:00"/>
    <x v="2"/>
    <d v="1899-12-30T17:24:00"/>
    <x v="5"/>
    <x v="0"/>
    <x v="10"/>
    <x v="3"/>
    <x v="2"/>
    <x v="3"/>
    <n v="1"/>
    <n v="6200"/>
    <x v="0"/>
    <n v="15"/>
    <s v="Valid"/>
    <s v="Match"/>
    <n v="6200"/>
    <n v="930"/>
    <n v="5270"/>
    <n v="3694.75"/>
    <n v="1575.25"/>
    <b v="0"/>
    <x v="0"/>
    <x v="1"/>
    <s v="Meera"/>
    <x v="1"/>
    <n v="3.5"/>
    <s v="Oct"/>
    <x v="3"/>
  </r>
  <r>
    <s v="ZAR-10153"/>
    <d v="2025-05-30T00:00:00"/>
    <x v="4"/>
    <d v="1899-12-30T22:40:00"/>
    <x v="5"/>
    <x v="2"/>
    <x v="17"/>
    <x v="6"/>
    <x v="1"/>
    <x v="3"/>
    <n v="1"/>
    <n v="2050"/>
    <x v="0"/>
    <n v="15"/>
    <s v="Valid"/>
    <s v="Match"/>
    <n v="2050"/>
    <n v="307.5"/>
    <n v="1742.5"/>
    <n v="1502.9"/>
    <n v="239.6"/>
    <b v="0"/>
    <x v="0"/>
    <x v="0"/>
    <s v="Priya"/>
    <x v="2"/>
    <n v="4"/>
    <s v="May"/>
    <x v="3"/>
  </r>
  <r>
    <s v="ZAR-10405"/>
    <d v="2025-09-27T00:00:00"/>
    <x v="2"/>
    <d v="1899-12-30T17:45:00"/>
    <x v="4"/>
    <x v="0"/>
    <x v="1"/>
    <x v="5"/>
    <x v="5"/>
    <x v="2"/>
    <n v="2"/>
    <n v="3850"/>
    <x v="0"/>
    <n v="20"/>
    <s v="Valid"/>
    <s v="Match"/>
    <n v="7700"/>
    <n v="1540"/>
    <n v="6160"/>
    <n v="5043.1499999999996"/>
    <n v="1116.8499999999999"/>
    <b v="0"/>
    <x v="0"/>
    <x v="2"/>
    <s v="Meera"/>
    <x v="6"/>
    <n v="4"/>
    <s v="Sep"/>
    <x v="5"/>
  </r>
  <r>
    <s v="ZAR-10953"/>
    <d v="2025-09-24T00:00:00"/>
    <x v="2"/>
    <d v="1899-12-30T17:49:00"/>
    <x v="2"/>
    <x v="1"/>
    <x v="16"/>
    <x v="4"/>
    <x v="1"/>
    <x v="1"/>
    <n v="1"/>
    <n v="6700"/>
    <x v="3"/>
    <n v="30"/>
    <s v="Valid"/>
    <s v="Match"/>
    <n v="6700"/>
    <n v="2010"/>
    <n v="4690"/>
    <n v="3625.47"/>
    <n v="1064.53"/>
    <b v="0"/>
    <x v="0"/>
    <x v="4"/>
    <s v="Rohit"/>
    <x v="3"/>
    <n v="3"/>
    <s v="Sep"/>
    <x v="1"/>
  </r>
  <r>
    <s v="ZAR-10209"/>
    <d v="2025-01-20T00:00:00"/>
    <x v="0"/>
    <d v="1899-12-30T05:17:00"/>
    <x v="5"/>
    <x v="2"/>
    <x v="8"/>
    <x v="3"/>
    <x v="7"/>
    <x v="0"/>
    <n v="2"/>
    <n v="2200"/>
    <x v="0"/>
    <n v="20"/>
    <s v="Valid"/>
    <s v="Match"/>
    <n v="4400"/>
    <n v="880"/>
    <n v="3520"/>
    <n v="2877.48"/>
    <n v="642.52"/>
    <b v="0"/>
    <x v="0"/>
    <x v="4"/>
    <s v="Karan"/>
    <x v="6"/>
    <n v="3"/>
    <s v="Jan"/>
    <x v="2"/>
  </r>
  <r>
    <s v="ZAR-10660"/>
    <d v="2025-12-25T00:00:00"/>
    <x v="2"/>
    <d v="1899-12-30T17:12:00"/>
    <x v="5"/>
    <x v="0"/>
    <x v="6"/>
    <x v="2"/>
    <x v="6"/>
    <x v="0"/>
    <n v="2"/>
    <n v="29000"/>
    <x v="1"/>
    <n v="5"/>
    <s v="Valid"/>
    <s v="Match"/>
    <n v="58000"/>
    <n v="2900"/>
    <n v="55100"/>
    <n v="36686.93"/>
    <n v="18413.07"/>
    <b v="0"/>
    <x v="0"/>
    <x v="4"/>
    <s v="Karan"/>
    <x v="3"/>
    <n v="4.5"/>
    <s v="Dec"/>
    <x v="4"/>
  </r>
  <r>
    <s v="ZAR-10851"/>
    <d v="2025-07-12T00:00:00"/>
    <x v="3"/>
    <d v="1899-12-30T10:23:00"/>
    <x v="6"/>
    <x v="0"/>
    <x v="10"/>
    <x v="0"/>
    <x v="5"/>
    <x v="0"/>
    <n v="1"/>
    <n v="3200"/>
    <x v="3"/>
    <n v="25"/>
    <s v="Valid"/>
    <s v="Match"/>
    <n v="3200"/>
    <n v="800"/>
    <n v="2400"/>
    <n v="1854.28"/>
    <n v="545.72"/>
    <b v="0"/>
    <x v="0"/>
    <x v="4"/>
    <s v="Karan"/>
    <x v="3"/>
    <n v="4"/>
    <s v="Jul"/>
    <x v="5"/>
  </r>
  <r>
    <s v="ZAR-10769"/>
    <d v="2025-09-30T00:00:00"/>
    <x v="0"/>
    <d v="1899-12-30T07:21:00"/>
    <x v="3"/>
    <x v="1"/>
    <x v="16"/>
    <x v="0"/>
    <x v="7"/>
    <x v="1"/>
    <n v="1"/>
    <n v="4700"/>
    <x v="3"/>
    <n v="25"/>
    <s v="Valid"/>
    <s v="Match"/>
    <n v="4700"/>
    <n v="1175"/>
    <n v="3525"/>
    <n v="2753.82"/>
    <n v="771.18"/>
    <b v="0"/>
    <x v="0"/>
    <x v="0"/>
    <s v="Ananya"/>
    <x v="3"/>
    <n v="3"/>
    <s v="Sep"/>
    <x v="6"/>
  </r>
  <r>
    <s v="ZAR-10010"/>
    <d v="2025-09-29T00:00:00"/>
    <x v="1"/>
    <d v="1899-12-30T00:38:00"/>
    <x v="3"/>
    <x v="0"/>
    <x v="1"/>
    <x v="1"/>
    <x v="0"/>
    <x v="0"/>
    <n v="2"/>
    <n v="1300"/>
    <x v="0"/>
    <n v="20"/>
    <s v="Valid"/>
    <s v="Match"/>
    <n v="2600"/>
    <n v="520"/>
    <n v="2080"/>
    <n v="1897.4"/>
    <n v="182.6"/>
    <b v="0"/>
    <x v="0"/>
    <x v="2"/>
    <s v="Rohit"/>
    <x v="5"/>
    <n v="4"/>
    <s v="Sep"/>
    <x v="2"/>
  </r>
  <r>
    <s v="ZAR-10815"/>
    <d v="2025-06-28T00:00:00"/>
    <x v="4"/>
    <d v="1899-12-30T22:44:00"/>
    <x v="1"/>
    <x v="1"/>
    <x v="13"/>
    <x v="6"/>
    <x v="5"/>
    <x v="3"/>
    <n v="2"/>
    <n v="3450"/>
    <x v="0"/>
    <n v="20"/>
    <s v="Valid"/>
    <s v="Match"/>
    <n v="6900"/>
    <n v="1380"/>
    <n v="5520"/>
    <n v="3933.84"/>
    <n v="1586.16"/>
    <b v="0"/>
    <x v="0"/>
    <x v="3"/>
    <s v="Meera"/>
    <x v="2"/>
    <n v="4"/>
    <s v="Jun"/>
    <x v="5"/>
  </r>
  <r>
    <s v="ZAR-10038"/>
    <d v="2025-08-04T00:00:00"/>
    <x v="5"/>
    <d v="1899-12-30T15:06:00"/>
    <x v="5"/>
    <x v="0"/>
    <x v="7"/>
    <x v="6"/>
    <x v="5"/>
    <x v="3"/>
    <n v="1"/>
    <n v="3500"/>
    <x v="4"/>
    <n v="55"/>
    <s v="Valid"/>
    <s v="Mismatch"/>
    <n v="3500"/>
    <n v="875"/>
    <n v="2625"/>
    <n v="2082.75"/>
    <n v="542.25"/>
    <b v="0"/>
    <x v="0"/>
    <x v="3"/>
    <s v="Meera"/>
    <x v="5"/>
    <n v="3"/>
    <s v="Aug"/>
    <x v="2"/>
  </r>
  <r>
    <s v="ZAR-10454"/>
    <d v="2025-04-18T00:00:00"/>
    <x v="5"/>
    <d v="1899-12-30T15:41:00"/>
    <x v="0"/>
    <x v="0"/>
    <x v="1"/>
    <x v="1"/>
    <x v="2"/>
    <x v="1"/>
    <n v="1"/>
    <n v="1150"/>
    <x v="1"/>
    <n v="5"/>
    <s v="Valid"/>
    <s v="Match"/>
    <n v="1150"/>
    <n v="57.5"/>
    <n v="1092.5"/>
    <n v="815.33"/>
    <n v="277.17"/>
    <b v="0"/>
    <x v="0"/>
    <x v="2"/>
    <s v="Priya"/>
    <x v="1"/>
    <n v="4.5"/>
    <s v="Apr"/>
    <x v="3"/>
  </r>
  <r>
    <s v="ZAR-10653"/>
    <d v="2025-06-04T00:00:00"/>
    <x v="2"/>
    <d v="1899-12-30T19:19:00"/>
    <x v="0"/>
    <x v="1"/>
    <x v="18"/>
    <x v="0"/>
    <x v="1"/>
    <x v="1"/>
    <n v="1"/>
    <n v="2050"/>
    <x v="2"/>
    <n v="0"/>
    <s v="Valid"/>
    <s v="Match"/>
    <n v="2050"/>
    <n v="0"/>
    <n v="2050"/>
    <n v="1468.76"/>
    <n v="581.24"/>
    <b v="0"/>
    <x v="0"/>
    <x v="1"/>
    <s v="Priya"/>
    <x v="6"/>
    <n v="4.5"/>
    <s v="Jun"/>
    <x v="1"/>
  </r>
  <r>
    <s v="ZAR-10255"/>
    <d v="2025-12-10T00:00:00"/>
    <x v="4"/>
    <d v="1899-12-30T20:15:00"/>
    <x v="2"/>
    <x v="0"/>
    <x v="1"/>
    <x v="2"/>
    <x v="3"/>
    <x v="0"/>
    <n v="1"/>
    <n v="3450"/>
    <x v="1"/>
    <n v="10"/>
    <s v="Valid"/>
    <s v="Match"/>
    <n v="3450"/>
    <n v="345"/>
    <n v="3105"/>
    <n v="2065.0700000000002"/>
    <n v="1039.93"/>
    <b v="0"/>
    <x v="0"/>
    <x v="0"/>
    <s v="Priya"/>
    <x v="5"/>
    <n v="4"/>
    <s v="Dec"/>
    <x v="1"/>
  </r>
  <r>
    <s v="ZAR-10305"/>
    <d v="2025-04-02T00:00:00"/>
    <x v="2"/>
    <d v="1899-12-30T17:47:00"/>
    <x v="4"/>
    <x v="0"/>
    <x v="1"/>
    <x v="7"/>
    <x v="2"/>
    <x v="0"/>
    <n v="2"/>
    <n v="1450"/>
    <x v="0"/>
    <n v="20"/>
    <s v="Valid"/>
    <s v="Match"/>
    <n v="2900"/>
    <n v="580"/>
    <n v="2320"/>
    <n v="1906.96"/>
    <n v="413.04"/>
    <b v="0"/>
    <x v="0"/>
    <x v="0"/>
    <s v="Karan"/>
    <x v="4"/>
    <n v="4.5"/>
    <s v="Apr"/>
    <x v="1"/>
  </r>
  <r>
    <s v="ZAR-10753"/>
    <d v="2025-09-11T00:00:00"/>
    <x v="5"/>
    <d v="1899-12-30T14:18:00"/>
    <x v="6"/>
    <x v="2"/>
    <x v="14"/>
    <x v="6"/>
    <x v="5"/>
    <x v="3"/>
    <n v="1"/>
    <n v="2200"/>
    <x v="1"/>
    <n v="5"/>
    <s v="Valid"/>
    <s v="Match"/>
    <n v="2200"/>
    <n v="110"/>
    <n v="2090"/>
    <n v="1559.78"/>
    <n v="530.22"/>
    <b v="0"/>
    <x v="0"/>
    <x v="2"/>
    <s v="Neha"/>
    <x v="3"/>
    <n v="4"/>
    <s v="Sep"/>
    <x v="4"/>
  </r>
  <r>
    <s v="ZAR-10573"/>
    <d v="2025-03-21T00:00:00"/>
    <x v="3"/>
    <d v="1899-12-30T11:32:00"/>
    <x v="2"/>
    <x v="1"/>
    <x v="9"/>
    <x v="4"/>
    <x v="1"/>
    <x v="2"/>
    <n v="4"/>
    <n v="5850"/>
    <x v="3"/>
    <n v="30"/>
    <s v="Valid"/>
    <s v="Match"/>
    <n v="23400"/>
    <n v="7020"/>
    <n v="16380"/>
    <n v="12276.89"/>
    <n v="4103.1099999999997"/>
    <b v="0"/>
    <x v="0"/>
    <x v="0"/>
    <s v="Sanjay"/>
    <x v="3"/>
    <n v="4"/>
    <s v="Mar"/>
    <x v="3"/>
  </r>
  <r>
    <s v="ZAR-10625"/>
    <d v="2025-09-07T00:00:00"/>
    <x v="4"/>
    <d v="1899-12-30T20:04:00"/>
    <x v="0"/>
    <x v="2"/>
    <x v="17"/>
    <x v="2"/>
    <x v="1"/>
    <x v="1"/>
    <n v="1"/>
    <n v="1800"/>
    <x v="2"/>
    <n v="0"/>
    <s v="Valid"/>
    <s v="Match"/>
    <n v="1800"/>
    <n v="0"/>
    <n v="1800"/>
    <n v="1099.8399999999999"/>
    <n v="700.16"/>
    <b v="0"/>
    <x v="0"/>
    <x v="1"/>
    <s v="Rohit"/>
    <x v="3"/>
    <n v="5"/>
    <s v="Sep"/>
    <x v="0"/>
  </r>
  <r>
    <s v="ZAR-10716"/>
    <d v="2025-01-03T00:00:00"/>
    <x v="3"/>
    <d v="1899-12-30T09:44:00"/>
    <x v="0"/>
    <x v="1"/>
    <x v="3"/>
    <x v="5"/>
    <x v="3"/>
    <x v="0"/>
    <n v="1"/>
    <n v="19050"/>
    <x v="0"/>
    <n v="15"/>
    <s v="Valid"/>
    <s v="Match"/>
    <n v="19050"/>
    <n v="2857.5"/>
    <n v="16192.5"/>
    <n v="10187"/>
    <n v="6005.5"/>
    <b v="0"/>
    <x v="0"/>
    <x v="2"/>
    <s v="Neha"/>
    <x v="1"/>
    <n v="4"/>
    <s v="Jan"/>
    <x v="3"/>
  </r>
  <r>
    <s v="ZAR-10900"/>
    <d v="2025-02-07T00:00:00"/>
    <x v="2"/>
    <d v="1899-12-30T18:10:00"/>
    <x v="0"/>
    <x v="2"/>
    <x v="17"/>
    <x v="6"/>
    <x v="1"/>
    <x v="1"/>
    <n v="1"/>
    <n v="3100"/>
    <x v="0"/>
    <n v="20"/>
    <s v="Valid"/>
    <s v="Match"/>
    <n v="3100"/>
    <n v="620"/>
    <n v="2480"/>
    <n v="2287.09"/>
    <n v="192.91"/>
    <b v="0"/>
    <x v="0"/>
    <x v="0"/>
    <s v="Ananya"/>
    <x v="1"/>
    <n v="3.5"/>
    <s v="Feb"/>
    <x v="3"/>
  </r>
  <r>
    <s v="ZAR-10264"/>
    <d v="2025-03-10T00:00:00"/>
    <x v="4"/>
    <d v="1899-12-30T20:32:00"/>
    <x v="2"/>
    <x v="0"/>
    <x v="7"/>
    <x v="0"/>
    <x v="3"/>
    <x v="4"/>
    <n v="1"/>
    <n v="600"/>
    <x v="0"/>
    <n v="20"/>
    <s v="Valid"/>
    <s v="Match"/>
    <n v="600"/>
    <n v="120"/>
    <n v="480"/>
    <n v="390.19"/>
    <n v="89.81"/>
    <b v="0"/>
    <x v="0"/>
    <x v="3"/>
    <s v="Sanjay"/>
    <x v="5"/>
    <n v="4"/>
    <s v="Mar"/>
    <x v="2"/>
  </r>
  <r>
    <s v="ZAR-10612"/>
    <d v="2025-12-09T00:00:00"/>
    <x v="3"/>
    <d v="1899-12-30T08:11:00"/>
    <x v="6"/>
    <x v="0"/>
    <x v="0"/>
    <x v="6"/>
    <x v="5"/>
    <x v="0"/>
    <n v="1"/>
    <n v="8100"/>
    <x v="0"/>
    <n v="15"/>
    <s v="Valid"/>
    <s v="Match"/>
    <n v="8100"/>
    <n v="1215"/>
    <n v="6885"/>
    <n v="5147.1499999999996"/>
    <n v="1737.85"/>
    <b v="0"/>
    <x v="0"/>
    <x v="1"/>
    <s v="Rohit"/>
    <x v="3"/>
    <n v="4"/>
    <s v="Dec"/>
    <x v="6"/>
  </r>
  <r>
    <s v="ZAR-10299"/>
    <d v="2025-07-13T00:00:00"/>
    <x v="3"/>
    <d v="1899-12-30T11:46:00"/>
    <x v="0"/>
    <x v="1"/>
    <x v="16"/>
    <x v="6"/>
    <x v="7"/>
    <x v="0"/>
    <n v="1"/>
    <n v="6400"/>
    <x v="1"/>
    <n v="5"/>
    <s v="Valid"/>
    <s v="Match"/>
    <n v="6400"/>
    <n v="320"/>
    <n v="6080"/>
    <n v="3358.06"/>
    <n v="2721.94"/>
    <b v="0"/>
    <x v="0"/>
    <x v="3"/>
    <s v="Karan"/>
    <x v="1"/>
    <n v="4.5"/>
    <s v="Jul"/>
    <x v="0"/>
  </r>
  <r>
    <s v="ZAR-10416"/>
    <d v="2025-01-17T00:00:00"/>
    <x v="5"/>
    <d v="1899-12-30T13:56:00"/>
    <x v="2"/>
    <x v="0"/>
    <x v="12"/>
    <x v="2"/>
    <x v="5"/>
    <x v="0"/>
    <n v="2"/>
    <n v="12600"/>
    <x v="2"/>
    <n v="0"/>
    <s v="Valid"/>
    <s v="Match"/>
    <n v="25200"/>
    <n v="0"/>
    <n v="25200"/>
    <n v="18385.11"/>
    <n v="6814.89"/>
    <b v="0"/>
    <x v="0"/>
    <x v="2"/>
    <s v="Ananya"/>
    <x v="6"/>
    <n v="4"/>
    <s v="Jan"/>
    <x v="3"/>
  </r>
  <r>
    <s v="ZAR-10152"/>
    <d v="2025-07-14T00:00:00"/>
    <x v="3"/>
    <d v="1899-12-30T10:28:00"/>
    <x v="3"/>
    <x v="0"/>
    <x v="6"/>
    <x v="0"/>
    <x v="2"/>
    <x v="0"/>
    <n v="4"/>
    <n v="11900"/>
    <x v="1"/>
    <n v="10"/>
    <s v="Valid"/>
    <s v="Match"/>
    <n v="47600"/>
    <n v="4760"/>
    <n v="42840"/>
    <n v="33565.379999999997"/>
    <n v="9274.6200000000008"/>
    <b v="0"/>
    <x v="0"/>
    <x v="4"/>
    <s v="Priya"/>
    <x v="5"/>
    <n v="4.5"/>
    <s v="Jul"/>
    <x v="2"/>
  </r>
  <r>
    <s v="ZAR-10795"/>
    <d v="2025-05-15T00:00:00"/>
    <x v="1"/>
    <m/>
    <x v="3"/>
    <x v="1"/>
    <x v="9"/>
    <x v="1"/>
    <x v="5"/>
    <x v="0"/>
    <n v="2"/>
    <n v="13300"/>
    <x v="1"/>
    <n v="10"/>
    <s v="Valid"/>
    <s v="Match"/>
    <n v="26600"/>
    <n v="2660"/>
    <n v="23940"/>
    <n v="18298.650000000001"/>
    <n v="5641.35"/>
    <b v="0"/>
    <x v="0"/>
    <x v="0"/>
    <s v="Meera"/>
    <x v="2"/>
    <n v="3"/>
    <s v="May"/>
    <x v="4"/>
  </r>
  <r>
    <s v="ZAR-10642"/>
    <d v="2025-05-20T00:00:00"/>
    <x v="3"/>
    <d v="1899-12-30T11:06:00"/>
    <x v="2"/>
    <x v="0"/>
    <x v="6"/>
    <x v="6"/>
    <x v="5"/>
    <x v="1"/>
    <n v="1"/>
    <n v="15000"/>
    <x v="1"/>
    <n v="10"/>
    <s v="Valid"/>
    <s v="Match"/>
    <n v="15000"/>
    <n v="1500"/>
    <n v="13500"/>
    <n v="7975.42"/>
    <n v="5524.58"/>
    <b v="0"/>
    <x v="0"/>
    <x v="1"/>
    <s v="Sanjay"/>
    <x v="6"/>
    <n v="3.5"/>
    <s v="May"/>
    <x v="6"/>
  </r>
  <r>
    <s v="ZAR-10897"/>
    <d v="2025-04-11T00:00:00"/>
    <x v="5"/>
    <d v="1899-12-30T14:42:00"/>
    <x v="4"/>
    <x v="2"/>
    <x v="17"/>
    <x v="0"/>
    <x v="3"/>
    <x v="0"/>
    <n v="1"/>
    <n v="1050"/>
    <x v="0"/>
    <n v="20"/>
    <s v="Valid"/>
    <s v="Match"/>
    <n v="1050"/>
    <n v="210"/>
    <n v="840"/>
    <n v="589.15"/>
    <n v="250.85"/>
    <b v="0"/>
    <x v="0"/>
    <x v="3"/>
    <s v="Sanjay"/>
    <x v="2"/>
    <n v="5"/>
    <s v="Apr"/>
    <x v="3"/>
  </r>
  <r>
    <s v="ZAR-10552"/>
    <d v="2025-10-31T00:00:00"/>
    <x v="5"/>
    <d v="1899-12-30T13:09:00"/>
    <x v="1"/>
    <x v="0"/>
    <x v="10"/>
    <x v="3"/>
    <x v="6"/>
    <x v="2"/>
    <n v="1"/>
    <n v="2000"/>
    <x v="0"/>
    <n v="20"/>
    <s v="Valid"/>
    <s v="Match"/>
    <n v="2000"/>
    <n v="400"/>
    <n v="1600"/>
    <n v="1326.04"/>
    <n v="273.95999999999998"/>
    <b v="0"/>
    <x v="0"/>
    <x v="0"/>
    <s v="Priya"/>
    <x v="4"/>
    <n v="3.5"/>
    <s v="Oct"/>
    <x v="3"/>
  </r>
  <r>
    <s v="ZAR-10798"/>
    <d v="2025-11-09T00:00:00"/>
    <x v="5"/>
    <d v="1899-12-30T13:54:00"/>
    <x v="0"/>
    <x v="0"/>
    <x v="1"/>
    <x v="3"/>
    <x v="5"/>
    <x v="0"/>
    <n v="2"/>
    <n v="3900"/>
    <x v="1"/>
    <n v="5"/>
    <s v="Valid"/>
    <s v="Match"/>
    <n v="7800"/>
    <n v="390"/>
    <n v="7410"/>
    <n v="4984.05"/>
    <n v="2425.9499999999998"/>
    <b v="0"/>
    <x v="0"/>
    <x v="3"/>
    <s v="Sanjay"/>
    <x v="1"/>
    <n v="4"/>
    <s v="Nov"/>
    <x v="0"/>
  </r>
  <r>
    <s v="ZAR-10490"/>
    <d v="2025-01-03T00:00:00"/>
    <x v="5"/>
    <d v="1899-12-30T12:12:00"/>
    <x v="3"/>
    <x v="0"/>
    <x v="2"/>
    <x v="1"/>
    <x v="1"/>
    <x v="0"/>
    <n v="2"/>
    <n v="112550"/>
    <x v="0"/>
    <n v="20"/>
    <s v="Valid"/>
    <s v="Match"/>
    <n v="225100"/>
    <n v="45020"/>
    <n v="180080"/>
    <n v="139280.51999999999"/>
    <n v="40799.480000000003"/>
    <b v="0"/>
    <x v="0"/>
    <x v="0"/>
    <s v="Ananya"/>
    <x v="6"/>
    <n v="5"/>
    <s v="Jan"/>
    <x v="3"/>
  </r>
  <r>
    <s v="ZAR-10712"/>
    <d v="2025-05-18T00:00:00"/>
    <x v="4"/>
    <d v="1899-12-30T22:13:00"/>
    <x v="6"/>
    <x v="1"/>
    <x v="3"/>
    <x v="1"/>
    <x v="3"/>
    <x v="1"/>
    <n v="2"/>
    <n v="19200"/>
    <x v="0"/>
    <n v="15"/>
    <s v="Valid"/>
    <s v="Match"/>
    <n v="38400"/>
    <n v="5760"/>
    <n v="32640"/>
    <n v="27329.82"/>
    <n v="5310.18"/>
    <b v="0"/>
    <x v="0"/>
    <x v="4"/>
    <s v="Sanjay"/>
    <x v="4"/>
    <n v="4"/>
    <s v="May"/>
    <x v="0"/>
  </r>
  <r>
    <s v="ZAR-10149"/>
    <d v="2025-01-03T00:00:00"/>
    <x v="3"/>
    <d v="1899-12-30T09:28:00"/>
    <x v="3"/>
    <x v="1"/>
    <x v="18"/>
    <x v="3"/>
    <x v="3"/>
    <x v="2"/>
    <n v="1"/>
    <n v="1300"/>
    <x v="1"/>
    <n v="10"/>
    <s v="Valid"/>
    <s v="Match"/>
    <n v="1300"/>
    <n v="130"/>
    <n v="1170"/>
    <n v="706.47"/>
    <n v="463.53"/>
    <b v="0"/>
    <x v="0"/>
    <x v="0"/>
    <s v="Neha"/>
    <x v="5"/>
    <n v="3.5"/>
    <s v="Jan"/>
    <x v="3"/>
  </r>
  <r>
    <s v="ZAR-10148"/>
    <d v="2025-12-05T00:00:00"/>
    <x v="5"/>
    <d v="1899-12-30T12:05:00"/>
    <x v="6"/>
    <x v="0"/>
    <x v="12"/>
    <x v="5"/>
    <x v="2"/>
    <x v="1"/>
    <n v="1"/>
    <n v="9400"/>
    <x v="1"/>
    <n v="5"/>
    <s v="Valid"/>
    <s v="Match"/>
    <n v="9400"/>
    <n v="470"/>
    <n v="8930"/>
    <n v="6293.61"/>
    <n v="2636.39"/>
    <b v="0"/>
    <x v="0"/>
    <x v="4"/>
    <s v="Rohit"/>
    <x v="1"/>
    <n v="3"/>
    <s v="Dec"/>
    <x v="3"/>
  </r>
  <r>
    <s v="ZAR-10849"/>
    <d v="2025-10-30T00:00:00"/>
    <x v="5"/>
    <d v="1899-12-30T13:10:00"/>
    <x v="3"/>
    <x v="1"/>
    <x v="3"/>
    <x v="4"/>
    <x v="8"/>
    <x v="4"/>
    <s v="5"/>
    <n v="20500"/>
    <x v="0"/>
    <n v="15"/>
    <s v="Valid"/>
    <s v="Match"/>
    <n v="102500"/>
    <n v="15375"/>
    <n v="87125"/>
    <n v="53659.8"/>
    <n v="33465.199999999997"/>
    <b v="0"/>
    <x v="0"/>
    <x v="0"/>
    <s v="Priya"/>
    <x v="6"/>
    <n v="4.5"/>
    <s v="Oct"/>
    <x v="4"/>
  </r>
  <r>
    <s v="ZAR-10939"/>
    <d v="2025-08-18T00:00:00"/>
    <x v="0"/>
    <d v="1899-12-30T04:09:00"/>
    <x v="1"/>
    <x v="0"/>
    <x v="6"/>
    <x v="1"/>
    <x v="2"/>
    <x v="0"/>
    <n v="1"/>
    <n v="3000"/>
    <x v="2"/>
    <n v="0"/>
    <s v="Valid"/>
    <s v="Match"/>
    <n v="3000"/>
    <n v="0"/>
    <n v="3000"/>
    <n v="1657.47"/>
    <n v="1342.53"/>
    <b v="0"/>
    <x v="0"/>
    <x v="0"/>
    <s v="Sanjay"/>
    <x v="1"/>
    <n v="4"/>
    <s v="Aug"/>
    <x v="2"/>
  </r>
  <r>
    <s v="ZAR-10786"/>
    <d v="2025-04-28T00:00:00"/>
    <x v="4"/>
    <d v="1899-12-30T22:05:00"/>
    <x v="1"/>
    <x v="0"/>
    <x v="0"/>
    <x v="6"/>
    <x v="5"/>
    <x v="1"/>
    <n v="1"/>
    <n v="7800"/>
    <x v="3"/>
    <n v="30"/>
    <s v="Valid"/>
    <s v="Match"/>
    <n v="7800"/>
    <n v="2340"/>
    <n v="5460"/>
    <n v="5174.84"/>
    <n v="285.16000000000003"/>
    <b v="0"/>
    <x v="0"/>
    <x v="4"/>
    <s v="Ananya"/>
    <x v="6"/>
    <n v="3"/>
    <s v="Apr"/>
    <x v="2"/>
  </r>
  <r>
    <s v="ZAR-10661"/>
    <d v="2025-08-23T00:00:00"/>
    <x v="1"/>
    <d v="1899-12-30T03:36:00"/>
    <x v="5"/>
    <x v="0"/>
    <x v="4"/>
    <x v="7"/>
    <x v="3"/>
    <x v="0"/>
    <n v="2"/>
    <n v="24650"/>
    <x v="1"/>
    <n v="5"/>
    <s v="Valid"/>
    <s v="Match"/>
    <n v="49300"/>
    <n v="2465"/>
    <n v="46835"/>
    <n v="25939.37"/>
    <n v="20895.63"/>
    <b v="0"/>
    <x v="0"/>
    <x v="1"/>
    <s v="Sanjay"/>
    <x v="4"/>
    <n v="3"/>
    <s v="Aug"/>
    <x v="5"/>
  </r>
  <r>
    <s v="ZAR-10350"/>
    <d v="2025-03-13T00:00:00"/>
    <x v="2"/>
    <d v="1899-12-30T18:57:00"/>
    <x v="6"/>
    <x v="1"/>
    <x v="9"/>
    <x v="0"/>
    <x v="5"/>
    <x v="1"/>
    <n v="2"/>
    <n v="8600"/>
    <x v="2"/>
    <n v="0"/>
    <s v="Valid"/>
    <s v="Match"/>
    <n v="17200"/>
    <n v="0"/>
    <n v="17200"/>
    <n v="9286.58"/>
    <n v="7913.42"/>
    <b v="0"/>
    <x v="0"/>
    <x v="0"/>
    <s v="Neha"/>
    <x v="3"/>
    <n v="5"/>
    <s v="Mar"/>
    <x v="4"/>
  </r>
  <r>
    <s v="ZAR-10465"/>
    <d v="2025-07-25T00:00:00"/>
    <x v="0"/>
    <d v="1899-12-30T05:27:00"/>
    <x v="2"/>
    <x v="1"/>
    <x v="18"/>
    <x v="4"/>
    <x v="5"/>
    <x v="0"/>
    <n v="4"/>
    <n v="3400"/>
    <x v="2"/>
    <n v="0"/>
    <s v="Valid"/>
    <s v="Match"/>
    <n v="13600"/>
    <n v="0"/>
    <n v="13600"/>
    <n v="8084.2"/>
    <n v="5515.8"/>
    <b v="0"/>
    <x v="0"/>
    <x v="3"/>
    <s v="Priya"/>
    <x v="1"/>
    <n v="4.5"/>
    <s v="Jul"/>
    <x v="3"/>
  </r>
  <r>
    <s v="ZAR-10327"/>
    <d v="2025-09-14T00:00:00"/>
    <x v="1"/>
    <d v="1899-12-30T03:11:00"/>
    <x v="6"/>
    <x v="0"/>
    <x v="2"/>
    <x v="3"/>
    <x v="2"/>
    <x v="1"/>
    <n v="2"/>
    <n v="91800"/>
    <x v="0"/>
    <n v="15"/>
    <s v="Valid"/>
    <s v="Match"/>
    <n v="183600"/>
    <n v="27540"/>
    <n v="156060"/>
    <n v="99125.09"/>
    <n v="56934.91"/>
    <b v="0"/>
    <x v="0"/>
    <x v="4"/>
    <s v="Sanjay"/>
    <x v="2"/>
    <n v="4"/>
    <s v="Sep"/>
    <x v="0"/>
  </r>
  <r>
    <s v="ZAR-10188"/>
    <d v="2025-06-17T00:00:00"/>
    <x v="0"/>
    <d v="1899-12-30T04:05:00"/>
    <x v="1"/>
    <x v="0"/>
    <x v="0"/>
    <x v="6"/>
    <x v="4"/>
    <x v="0"/>
    <n v="2"/>
    <n v="7750"/>
    <x v="2"/>
    <n v="0"/>
    <s v="Valid"/>
    <s v="Match"/>
    <n v="15500"/>
    <n v="0"/>
    <n v="15500"/>
    <n v="8793.2199999999993"/>
    <n v="6706.78"/>
    <b v="0"/>
    <x v="0"/>
    <x v="4"/>
    <s v="Meera"/>
    <x v="6"/>
    <n v="3"/>
    <s v="Jun"/>
    <x v="6"/>
  </r>
  <r>
    <s v="ZAR-10125"/>
    <d v="2025-11-09T00:00:00"/>
    <x v="4"/>
    <d v="1899-12-30T20:57:00"/>
    <x v="5"/>
    <x v="0"/>
    <x v="12"/>
    <x v="0"/>
    <x v="6"/>
    <x v="4"/>
    <n v="2"/>
    <n v="12400"/>
    <x v="3"/>
    <n v="30"/>
    <s v="Valid"/>
    <s v="Match"/>
    <n v="24800"/>
    <n v="7440"/>
    <n v="17360"/>
    <n v="13949.89"/>
    <n v="3410.11"/>
    <b v="0"/>
    <x v="0"/>
    <x v="1"/>
    <s v="Sanjay"/>
    <x v="3"/>
    <n v="4"/>
    <s v="Nov"/>
    <x v="0"/>
  </r>
  <r>
    <s v="ZAR-10861"/>
    <d v="2025-06-05T00:00:00"/>
    <x v="2"/>
    <d v="1899-12-30T17:17:00"/>
    <x v="0"/>
    <x v="0"/>
    <x v="6"/>
    <x v="3"/>
    <x v="5"/>
    <x v="0"/>
    <n v="1"/>
    <n v="10800"/>
    <x v="0"/>
    <n v="15"/>
    <s v="Valid"/>
    <s v="Match"/>
    <n v="10800"/>
    <n v="1620"/>
    <n v="9180"/>
    <n v="6547.94"/>
    <n v="2632.06"/>
    <b v="0"/>
    <x v="0"/>
    <x v="1"/>
    <s v="Sanjay"/>
    <x v="0"/>
    <n v="4"/>
    <s v="Jun"/>
    <x v="4"/>
  </r>
  <r>
    <s v="ZAR-10610"/>
    <d v="2025-09-01T00:00:00"/>
    <x v="1"/>
    <d v="1899-12-30T03:17:00"/>
    <x v="5"/>
    <x v="0"/>
    <x v="12"/>
    <x v="1"/>
    <x v="5"/>
    <x v="0"/>
    <n v="2"/>
    <n v="6800"/>
    <x v="1"/>
    <n v="5"/>
    <s v="Valid"/>
    <s v="Match"/>
    <n v="13600"/>
    <n v="680"/>
    <n v="12920"/>
    <n v="9173.25"/>
    <n v="3746.75"/>
    <b v="0"/>
    <x v="0"/>
    <x v="4"/>
    <s v="Neha"/>
    <x v="2"/>
    <n v="3.5"/>
    <s v="Sep"/>
    <x v="2"/>
  </r>
  <r>
    <s v="ZAR-10145"/>
    <d v="2025-09-28T00:00:00"/>
    <x v="1"/>
    <d v="1899-12-30T01:14:00"/>
    <x v="0"/>
    <x v="1"/>
    <x v="18"/>
    <x v="6"/>
    <x v="7"/>
    <x v="4"/>
    <n v="2"/>
    <n v="3300"/>
    <x v="3"/>
    <n v="30"/>
    <s v="Valid"/>
    <s v="Match"/>
    <n v="6600"/>
    <n v="1980"/>
    <n v="4620"/>
    <n v="4846.0200000000004"/>
    <n v="-226.02"/>
    <b v="1"/>
    <x v="7"/>
    <x v="3"/>
    <s v="Neha"/>
    <x v="4"/>
    <n v="2.5"/>
    <s v="Sep"/>
    <x v="0"/>
  </r>
  <r>
    <s v="ZAR-10968"/>
    <d v="2025-04-10T00:00:00"/>
    <x v="0"/>
    <d v="1899-12-30T05:06:00"/>
    <x v="1"/>
    <x v="0"/>
    <x v="2"/>
    <x v="6"/>
    <x v="8"/>
    <x v="0"/>
    <n v="1"/>
    <n v="53050"/>
    <x v="1"/>
    <n v="10"/>
    <s v="Valid"/>
    <s v="Match"/>
    <n v="53050"/>
    <n v="5305"/>
    <n v="47745"/>
    <n v="27603.05"/>
    <n v="20141.95"/>
    <b v="0"/>
    <x v="0"/>
    <x v="3"/>
    <s v="Rohit"/>
    <x v="4"/>
    <n v="5"/>
    <s v="Apr"/>
    <x v="4"/>
  </r>
  <r>
    <s v="ZAR-10199"/>
    <d v="2025-12-10T00:00:00"/>
    <x v="4"/>
    <d v="1899-12-30T20:46:00"/>
    <x v="3"/>
    <x v="0"/>
    <x v="12"/>
    <x v="5"/>
    <x v="3"/>
    <x v="0"/>
    <n v="1"/>
    <n v="14800"/>
    <x v="2"/>
    <n v="0"/>
    <s v="Valid"/>
    <s v="Match"/>
    <n v="14800"/>
    <n v="0"/>
    <n v="14800"/>
    <n v="10371.33"/>
    <n v="4428.67"/>
    <b v="0"/>
    <x v="0"/>
    <x v="4"/>
    <s v="Priya"/>
    <x v="2"/>
    <n v="5"/>
    <s v="Dec"/>
    <x v="1"/>
  </r>
  <r>
    <s v="ZAR-10611"/>
    <d v="2025-08-31T00:00:00"/>
    <x v="0"/>
    <d v="1899-12-30T06:03:00"/>
    <x v="0"/>
    <x v="2"/>
    <x v="8"/>
    <x v="5"/>
    <x v="7"/>
    <x v="4"/>
    <n v="2"/>
    <n v="1450"/>
    <x v="3"/>
    <n v="30"/>
    <s v="Valid"/>
    <s v="Match"/>
    <n v="2900"/>
    <n v="870"/>
    <n v="2030"/>
    <n v="1782.41"/>
    <n v="247.59"/>
    <b v="0"/>
    <x v="0"/>
    <x v="1"/>
    <s v="Ananya"/>
    <x v="3"/>
    <n v="3"/>
    <s v="Aug"/>
    <x v="0"/>
  </r>
  <r>
    <s v="ZAR-10281"/>
    <d v="2025-06-25T00:00:00"/>
    <x v="3"/>
    <d v="1899-12-30T11:11:00"/>
    <x v="5"/>
    <x v="2"/>
    <x v="17"/>
    <x v="3"/>
    <x v="1"/>
    <x v="0"/>
    <n v="1"/>
    <n v="2250"/>
    <x v="0"/>
    <n v="15"/>
    <s v="Valid"/>
    <s v="Match"/>
    <n v="2250"/>
    <n v="337.5"/>
    <n v="1912.5"/>
    <n v="1644.47"/>
    <n v="268.02999999999997"/>
    <b v="0"/>
    <x v="0"/>
    <x v="4"/>
    <s v="Sanjay"/>
    <x v="6"/>
    <n v="4"/>
    <s v="Jun"/>
    <x v="1"/>
  </r>
  <r>
    <s v="ZAR-10295"/>
    <d v="2025-01-07T00:00:00"/>
    <x v="1"/>
    <d v="1899-12-30T03:49:00"/>
    <x v="1"/>
    <x v="0"/>
    <x v="10"/>
    <x v="4"/>
    <x v="5"/>
    <x v="0"/>
    <n v="3"/>
    <n v="2000"/>
    <x v="1"/>
    <n v="10"/>
    <s v="Valid"/>
    <s v="Match"/>
    <n v="6000"/>
    <n v="600"/>
    <n v="5400"/>
    <n v="4198.7700000000004"/>
    <n v="1201.23"/>
    <b v="0"/>
    <x v="0"/>
    <x v="1"/>
    <s v="Sanjay"/>
    <x v="4"/>
    <n v="3.5"/>
    <s v="Jan"/>
    <x v="6"/>
  </r>
  <r>
    <s v="ZAR-10402"/>
    <d v="2025-07-11T00:00:00"/>
    <x v="2"/>
    <d v="1899-12-30T16:46:00"/>
    <x v="4"/>
    <x v="0"/>
    <x v="0"/>
    <x v="0"/>
    <x v="4"/>
    <x v="0"/>
    <n v="1"/>
    <n v="6300"/>
    <x v="3"/>
    <n v="25"/>
    <s v="Valid"/>
    <s v="Match"/>
    <n v="6300"/>
    <n v="1575"/>
    <n v="4725"/>
    <n v="4410.1400000000003"/>
    <n v="314.86"/>
    <b v="0"/>
    <x v="0"/>
    <x v="4"/>
    <s v="Rohit"/>
    <x v="2"/>
    <n v="4"/>
    <s v="Jul"/>
    <x v="3"/>
  </r>
  <r>
    <s v="ZAR-10124"/>
    <d v="2025-03-10T00:00:00"/>
    <x v="2"/>
    <d v="1899-12-30T16:29:00"/>
    <x v="3"/>
    <x v="2"/>
    <x v="14"/>
    <x v="2"/>
    <x v="5"/>
    <x v="0"/>
    <n v="5"/>
    <n v="1650"/>
    <x v="0"/>
    <n v="20"/>
    <s v="Valid"/>
    <s v="Match"/>
    <n v="8250"/>
    <n v="1650"/>
    <n v="6600"/>
    <n v="5241.6400000000003"/>
    <n v="1358.36"/>
    <b v="0"/>
    <x v="0"/>
    <x v="4"/>
    <s v="Unknown"/>
    <x v="6"/>
    <n v="5"/>
    <s v="Mar"/>
    <x v="2"/>
  </r>
  <r>
    <s v="ZAR-10185"/>
    <d v="2025-01-31T00:00:00"/>
    <x v="0"/>
    <d v="1899-12-30T04:45:00"/>
    <x v="3"/>
    <x v="0"/>
    <x v="0"/>
    <x v="7"/>
    <x v="4"/>
    <x v="0"/>
    <n v="1"/>
    <n v="2550"/>
    <x v="1"/>
    <n v="5"/>
    <s v="Valid"/>
    <s v="Match"/>
    <n v="2550"/>
    <n v="127.5"/>
    <n v="2422.5"/>
    <n v="1561.52"/>
    <n v="860.98"/>
    <b v="0"/>
    <x v="0"/>
    <x v="0"/>
    <s v="Karan"/>
    <x v="2"/>
    <n v="4"/>
    <s v="Jan"/>
    <x v="3"/>
  </r>
  <r>
    <s v="ZAR-10204"/>
    <d v="2025-10-06T00:00:00"/>
    <x v="5"/>
    <d v="1899-12-30T12:11:00"/>
    <x v="7"/>
    <x v="0"/>
    <x v="7"/>
    <x v="6"/>
    <x v="5"/>
    <x v="4"/>
    <n v="3"/>
    <n v="2600"/>
    <x v="1"/>
    <n v="10"/>
    <s v="Valid"/>
    <s v="Match"/>
    <n v="7800"/>
    <n v="780"/>
    <n v="7020"/>
    <n v="4212.3900000000003"/>
    <n v="2807.61"/>
    <b v="0"/>
    <x v="0"/>
    <x v="0"/>
    <s v="Sanjay"/>
    <x v="3"/>
    <n v="3"/>
    <s v="Oct"/>
    <x v="2"/>
  </r>
  <r>
    <s v="ZAR-10440"/>
    <d v="2025-11-14T00:00:00"/>
    <x v="5"/>
    <d v="1899-12-30T12:19:00"/>
    <x v="5"/>
    <x v="2"/>
    <x v="15"/>
    <x v="0"/>
    <x v="1"/>
    <x v="1"/>
    <n v="2"/>
    <n v="4800"/>
    <x v="2"/>
    <n v="0"/>
    <s v="Valid"/>
    <s v="Match"/>
    <n v="9600"/>
    <n v="0"/>
    <n v="9600"/>
    <n v="5527.72"/>
    <n v="4072.28"/>
    <b v="0"/>
    <x v="0"/>
    <x v="4"/>
    <s v="Rohit"/>
    <x v="5"/>
    <n v="4.5"/>
    <s v="Nov"/>
    <x v="3"/>
  </r>
  <r>
    <s v="ZAR-10248"/>
    <d v="2025-06-14T00:00:00"/>
    <x v="5"/>
    <d v="1899-12-30T12:58:00"/>
    <x v="6"/>
    <x v="2"/>
    <x v="15"/>
    <x v="7"/>
    <x v="8"/>
    <x v="3"/>
    <n v="1"/>
    <n v="5650"/>
    <x v="2"/>
    <n v="0"/>
    <s v="Valid"/>
    <s v="Match"/>
    <n v="5650"/>
    <n v="0"/>
    <n v="5650"/>
    <n v="3786.41"/>
    <n v="1863.59"/>
    <b v="0"/>
    <x v="0"/>
    <x v="3"/>
    <s v="Meera"/>
    <x v="5"/>
    <n v="3"/>
    <s v="Jun"/>
    <x v="5"/>
  </r>
  <r>
    <s v="ZAR-10417"/>
    <d v="2025-07-19T00:00:00"/>
    <x v="5"/>
    <d v="1899-12-30T15:48:00"/>
    <x v="2"/>
    <x v="0"/>
    <x v="0"/>
    <x v="2"/>
    <x v="4"/>
    <x v="1"/>
    <n v="1"/>
    <n v="8150"/>
    <x v="0"/>
    <n v="15"/>
    <s v="Valid"/>
    <s v="Match"/>
    <n v="8150"/>
    <n v="1222.5"/>
    <n v="6927.5"/>
    <n v="4479.1400000000003"/>
    <n v="2448.36"/>
    <b v="0"/>
    <x v="0"/>
    <x v="0"/>
    <s v="Neha"/>
    <x v="6"/>
    <n v="5"/>
    <s v="Jul"/>
    <x v="5"/>
  </r>
  <r>
    <s v="ZAR-10783"/>
    <d v="2025-06-05T00:00:00"/>
    <x v="0"/>
    <d v="1899-12-30T05:27:00"/>
    <x v="3"/>
    <x v="2"/>
    <x v="14"/>
    <x v="5"/>
    <x v="1"/>
    <x v="0"/>
    <n v="3"/>
    <n v="3150"/>
    <x v="3"/>
    <n v="25"/>
    <s v="Valid"/>
    <s v="Match"/>
    <n v="9450"/>
    <n v="2362.5"/>
    <n v="7087.5"/>
    <n v="5348.11"/>
    <n v="1739.39"/>
    <b v="0"/>
    <x v="0"/>
    <x v="0"/>
    <s v="Ananya"/>
    <x v="1"/>
    <n v="4"/>
    <s v="Jun"/>
    <x v="4"/>
  </r>
  <r>
    <s v="ZAR-10772"/>
    <d v="2025-06-05T00:00:00"/>
    <x v="3"/>
    <d v="1899-12-30T11:09:00"/>
    <x v="3"/>
    <x v="1"/>
    <x v="9"/>
    <x v="6"/>
    <x v="1"/>
    <x v="0"/>
    <n v="1"/>
    <n v="14900"/>
    <x v="1"/>
    <n v="10"/>
    <s v="Valid"/>
    <s v="Match"/>
    <n v="14900"/>
    <n v="1490"/>
    <n v="13410"/>
    <n v="9295.16"/>
    <n v="4114.84"/>
    <b v="0"/>
    <x v="0"/>
    <x v="0"/>
    <s v="Neha"/>
    <x v="1"/>
    <n v="4"/>
    <s v="Jun"/>
    <x v="4"/>
  </r>
  <r>
    <s v="ZAR-10914"/>
    <d v="2025-02-09T00:00:00"/>
    <x v="2"/>
    <d v="1899-12-30T19:53:00"/>
    <x v="1"/>
    <x v="0"/>
    <x v="7"/>
    <x v="1"/>
    <x v="5"/>
    <x v="1"/>
    <n v="2"/>
    <n v="4250"/>
    <x v="1"/>
    <n v="10"/>
    <s v="Valid"/>
    <s v="Match"/>
    <n v="8500"/>
    <n v="850"/>
    <n v="7650"/>
    <n v="4690.24"/>
    <n v="2959.76"/>
    <b v="0"/>
    <x v="0"/>
    <x v="4"/>
    <s v="Priya"/>
    <x v="1"/>
    <n v="3.5"/>
    <s v="Feb"/>
    <x v="0"/>
  </r>
  <r>
    <s v="ZAR-10775"/>
    <d v="2025-10-28T00:00:00"/>
    <x v="5"/>
    <d v="1899-12-30T12:03:00"/>
    <x v="2"/>
    <x v="0"/>
    <x v="2"/>
    <x v="6"/>
    <x v="8"/>
    <x v="0"/>
    <n v="1"/>
    <n v="101600"/>
    <x v="1"/>
    <n v="10"/>
    <s v="Valid"/>
    <s v="Match"/>
    <n v="101600"/>
    <n v="10160"/>
    <n v="91440"/>
    <n v="74891.839999999997"/>
    <n v="16548.16"/>
    <b v="0"/>
    <x v="0"/>
    <x v="2"/>
    <s v="Sanjay"/>
    <x v="6"/>
    <n v="4"/>
    <s v="Oct"/>
    <x v="6"/>
  </r>
  <r>
    <s v="ZAR-10131"/>
    <d v="2025-07-11T00:00:00"/>
    <x v="5"/>
    <d v="1899-12-30T12:28:00"/>
    <x v="6"/>
    <x v="0"/>
    <x v="6"/>
    <x v="0"/>
    <x v="6"/>
    <x v="4"/>
    <n v="4"/>
    <n v="27250"/>
    <x v="3"/>
    <n v="25"/>
    <s v="Valid"/>
    <s v="Match"/>
    <n v="109000"/>
    <n v="27250"/>
    <n v="81750"/>
    <n v="79791.509999999995"/>
    <n v="1958.49"/>
    <b v="0"/>
    <x v="0"/>
    <x v="4"/>
    <s v="Ananya"/>
    <x v="6"/>
    <n v="5"/>
    <s v="Jul"/>
    <x v="3"/>
  </r>
  <r>
    <s v="ZAR-10639"/>
    <d v="2025-07-17T00:00:00"/>
    <x v="0"/>
    <d v="1899-12-30T06:31:00"/>
    <x v="2"/>
    <x v="0"/>
    <x v="10"/>
    <x v="7"/>
    <x v="4"/>
    <x v="0"/>
    <n v="1"/>
    <n v="1250"/>
    <x v="1"/>
    <n v="5"/>
    <s v="Valid"/>
    <s v="Match"/>
    <n v="1250"/>
    <n v="62.5"/>
    <n v="1187.5"/>
    <n v="778.74"/>
    <n v="408.76"/>
    <b v="0"/>
    <x v="0"/>
    <x v="4"/>
    <s v="Karan"/>
    <x v="1"/>
    <n v="4.5"/>
    <s v="Jul"/>
    <x v="4"/>
  </r>
  <r>
    <s v="ZAR-10404"/>
    <d v="2025-02-19T00:00:00"/>
    <x v="2"/>
    <d v="1899-12-30T17:37:00"/>
    <x v="3"/>
    <x v="1"/>
    <x v="18"/>
    <x v="3"/>
    <x v="1"/>
    <x v="4"/>
    <n v="1"/>
    <n v="3350"/>
    <x v="3"/>
    <n v="25"/>
    <s v="Valid"/>
    <s v="Match"/>
    <n v="3350"/>
    <n v="837.5"/>
    <n v="2512.5"/>
    <n v="2249.31"/>
    <n v="263.19"/>
    <b v="0"/>
    <x v="0"/>
    <x v="4"/>
    <s v="Rohit"/>
    <x v="2"/>
    <n v="4"/>
    <s v="Feb"/>
    <x v="1"/>
  </r>
  <r>
    <s v="ZAR-10791"/>
    <d v="2025-03-06T00:00:00"/>
    <x v="0"/>
    <d v="1899-12-30T07:32:00"/>
    <x v="0"/>
    <x v="1"/>
    <x v="3"/>
    <x v="6"/>
    <x v="1"/>
    <x v="4"/>
    <n v="2"/>
    <n v="25150"/>
    <x v="3"/>
    <n v="30"/>
    <s v="Valid"/>
    <s v="Match"/>
    <n v="50300"/>
    <n v="15090"/>
    <n v="35210"/>
    <n v="32477.34"/>
    <n v="2732.66"/>
    <b v="0"/>
    <x v="0"/>
    <x v="3"/>
    <s v="Ananya"/>
    <x v="6"/>
    <n v="4"/>
    <s v="Mar"/>
    <x v="4"/>
  </r>
  <r>
    <s v="ZAR-10930"/>
    <d v="2025-06-25T00:00:00"/>
    <x v="2"/>
    <d v="1899-12-30T19:46:00"/>
    <x v="3"/>
    <x v="2"/>
    <x v="17"/>
    <x v="7"/>
    <x v="1"/>
    <x v="4"/>
    <n v="1"/>
    <n v="3300"/>
    <x v="2"/>
    <n v="0"/>
    <s v="Valid"/>
    <s v="Match"/>
    <n v="3300"/>
    <n v="0"/>
    <n v="3300"/>
    <n v="2202"/>
    <n v="1098"/>
    <b v="0"/>
    <x v="0"/>
    <x v="4"/>
    <s v="Neha"/>
    <x v="6"/>
    <n v="4.5"/>
    <s v="Jun"/>
    <x v="1"/>
  </r>
  <r>
    <s v="ZAR-10737"/>
    <d v="2025-06-17T00:00:00"/>
    <x v="3"/>
    <d v="1899-12-30T09:52:00"/>
    <x v="1"/>
    <x v="1"/>
    <x v="3"/>
    <x v="5"/>
    <x v="3"/>
    <x v="2"/>
    <n v="1"/>
    <n v="21750"/>
    <x v="1"/>
    <n v="5"/>
    <s v="Valid"/>
    <s v="Match"/>
    <n v="21750"/>
    <n v="1087.5"/>
    <n v="20662.5"/>
    <n v="13223.44"/>
    <n v="7439.06"/>
    <b v="0"/>
    <x v="0"/>
    <x v="4"/>
    <s v="Sanjay"/>
    <x v="4"/>
    <n v="4.5"/>
    <s v="Jun"/>
    <x v="6"/>
  </r>
  <r>
    <s v="ZAR-10921"/>
    <d v="2025-11-07T00:00:00"/>
    <x v="1"/>
    <d v="1899-12-30T01:04:00"/>
    <x v="5"/>
    <x v="0"/>
    <x v="10"/>
    <x v="3"/>
    <x v="4"/>
    <x v="0"/>
    <n v="1"/>
    <n v="1950"/>
    <x v="1"/>
    <n v="5"/>
    <s v="Valid"/>
    <s v="Match"/>
    <n v="1950"/>
    <n v="97.5"/>
    <n v="1852.5"/>
    <n v="1083.54"/>
    <n v="768.96"/>
    <b v="0"/>
    <x v="0"/>
    <x v="3"/>
    <s v="Neha"/>
    <x v="4"/>
    <n v="4"/>
    <s v="Nov"/>
    <x v="3"/>
  </r>
  <r>
    <s v="ZAR-10221"/>
    <d v="2025-06-10T00:00:00"/>
    <x v="4"/>
    <d v="1899-12-30T20:03:00"/>
    <x v="2"/>
    <x v="0"/>
    <x v="6"/>
    <x v="2"/>
    <x v="3"/>
    <x v="0"/>
    <n v="1"/>
    <n v="27650"/>
    <x v="3"/>
    <n v="25"/>
    <s v="Valid"/>
    <s v="Match"/>
    <n v="27650"/>
    <n v="6912.5"/>
    <n v="20737.5"/>
    <n v="20379.73"/>
    <n v="357.77"/>
    <b v="0"/>
    <x v="0"/>
    <x v="2"/>
    <s v="Rohit"/>
    <x v="5"/>
    <n v="4.5"/>
    <s v="Jun"/>
    <x v="6"/>
  </r>
  <r>
    <s v="ZAR-10643"/>
    <d v="2025-02-26T00:00:00"/>
    <x v="0"/>
    <d v="1899-12-30T07:07:00"/>
    <x v="2"/>
    <x v="0"/>
    <x v="10"/>
    <x v="5"/>
    <x v="3"/>
    <x v="4"/>
    <n v="1"/>
    <n v="4050"/>
    <x v="2"/>
    <n v="0"/>
    <s v="Valid"/>
    <s v="Match"/>
    <n v="4050"/>
    <n v="0"/>
    <n v="4050"/>
    <n v="2681.89"/>
    <n v="1368.11"/>
    <b v="0"/>
    <x v="0"/>
    <x v="4"/>
    <s v="Rohit"/>
    <x v="5"/>
    <n v="3"/>
    <s v="Feb"/>
    <x v="1"/>
  </r>
  <r>
    <s v="ZAR-10923"/>
    <d v="2025-06-03T00:00:00"/>
    <x v="3"/>
    <d v="1899-12-30T11:01:00"/>
    <x v="3"/>
    <x v="0"/>
    <x v="12"/>
    <x v="0"/>
    <x v="3"/>
    <x v="0"/>
    <n v="1"/>
    <n v="13000"/>
    <x v="0"/>
    <n v="15"/>
    <s v="Valid"/>
    <s v="Match"/>
    <n v="13000"/>
    <n v="1950"/>
    <n v="11050"/>
    <n v="7854.16"/>
    <n v="3195.84"/>
    <b v="0"/>
    <x v="0"/>
    <x v="0"/>
    <s v="Meera"/>
    <x v="5"/>
    <n v="4"/>
    <s v="Jun"/>
    <x v="6"/>
  </r>
  <r>
    <s v="ZAR-10759"/>
    <d v="2025-12-03T00:00:00"/>
    <x v="3"/>
    <d v="1899-12-30T10:09:00"/>
    <x v="0"/>
    <x v="1"/>
    <x v="13"/>
    <x v="5"/>
    <x v="3"/>
    <x v="2"/>
    <n v="1"/>
    <n v="5700"/>
    <x v="1"/>
    <n v="5"/>
    <s v="Valid"/>
    <s v="Match"/>
    <n v="5700"/>
    <n v="285"/>
    <n v="5415"/>
    <n v="3423.55"/>
    <n v="1991.45"/>
    <b v="0"/>
    <x v="0"/>
    <x v="0"/>
    <s v="Karan"/>
    <x v="1"/>
    <n v="4"/>
    <s v="Dec"/>
    <x v="1"/>
  </r>
  <r>
    <s v="ZAR-10885"/>
    <d v="2025-06-25T00:00:00"/>
    <x v="2"/>
    <d v="1899-12-30T16:58:00"/>
    <x v="6"/>
    <x v="1"/>
    <x v="9"/>
    <x v="0"/>
    <x v="1"/>
    <x v="3"/>
    <n v="3"/>
    <n v="14550"/>
    <x v="1"/>
    <n v="5"/>
    <s v="Valid"/>
    <s v="Match"/>
    <n v="43650"/>
    <n v="2182.5"/>
    <n v="41467.5"/>
    <n v="31242.18"/>
    <n v="10225.32"/>
    <b v="0"/>
    <x v="0"/>
    <x v="3"/>
    <s v="Rohit"/>
    <x v="0"/>
    <n v="4.5"/>
    <s v="Jun"/>
    <x v="1"/>
  </r>
  <r>
    <s v="ZAR-10927"/>
    <d v="2025-07-08T00:00:00"/>
    <x v="1"/>
    <d v="1899-12-30T01:51:00"/>
    <x v="4"/>
    <x v="0"/>
    <x v="2"/>
    <x v="4"/>
    <x v="3"/>
    <x v="1"/>
    <n v="1"/>
    <n v="65950"/>
    <x v="0"/>
    <n v="20"/>
    <s v="Valid"/>
    <s v="Match"/>
    <n v="65950"/>
    <n v="13190"/>
    <n v="52760"/>
    <n v="39031.839999999997"/>
    <n v="13728.16"/>
    <b v="0"/>
    <x v="0"/>
    <x v="3"/>
    <s v="Karan"/>
    <x v="4"/>
    <n v="4"/>
    <s v="Jul"/>
    <x v="6"/>
  </r>
  <r>
    <s v=" ZAR-10626 "/>
    <d v="2025-06-25T00:00:00"/>
    <x v="3"/>
    <d v="1899-12-30T11:30:00"/>
    <x v="4"/>
    <x v="0"/>
    <x v="6"/>
    <x v="1"/>
    <x v="4"/>
    <x v="7"/>
    <n v="2"/>
    <n v="23700"/>
    <x v="3"/>
    <n v="30"/>
    <s v="Valid"/>
    <s v="Match"/>
    <n v="47400"/>
    <n v="14220"/>
    <n v="33180"/>
    <n v="24975.97"/>
    <n v="8204.0300000000007"/>
    <b v="0"/>
    <x v="0"/>
    <x v="3"/>
    <s v="Ananya"/>
    <x v="5"/>
    <n v="2.5"/>
    <s v="Jun"/>
    <x v="1"/>
  </r>
  <r>
    <s v="ZAR-10846"/>
    <d v="2025-11-13T00:00:00"/>
    <x v="5"/>
    <d v="1899-12-30T13:10:00"/>
    <x v="4"/>
    <x v="0"/>
    <x v="6"/>
    <x v="1"/>
    <x v="0"/>
    <x v="1"/>
    <n v="1"/>
    <n v="31700"/>
    <x v="0"/>
    <n v="15"/>
    <s v="Valid"/>
    <s v="Match"/>
    <n v="31700"/>
    <n v="4755"/>
    <n v="26945"/>
    <n v="17310"/>
    <n v="9635"/>
    <b v="0"/>
    <x v="0"/>
    <x v="2"/>
    <s v="Karan"/>
    <x v="6"/>
    <n v="5"/>
    <s v="Nov"/>
    <x v="4"/>
  </r>
  <r>
    <s v="ZAR-10767"/>
    <d v="2025-11-21T00:00:00"/>
    <x v="1"/>
    <d v="1899-12-30T02:12:00"/>
    <x v="5"/>
    <x v="0"/>
    <x v="10"/>
    <x v="1"/>
    <x v="3"/>
    <x v="0"/>
    <n v="1"/>
    <n v="3750"/>
    <x v="3"/>
    <n v="30"/>
    <s v="Valid"/>
    <s v="Match"/>
    <n v="3750"/>
    <n v="1125"/>
    <n v="2625"/>
    <n v="1992.14"/>
    <n v="632.86"/>
    <b v="0"/>
    <x v="0"/>
    <x v="3"/>
    <s v="Sanjay"/>
    <x v="3"/>
    <n v="3"/>
    <s v="Nov"/>
    <x v="3"/>
  </r>
  <r>
    <s v="ZAR-10388"/>
    <d v="2025-04-26T00:00:00"/>
    <x v="3"/>
    <d v="1899-12-30T10:22:00"/>
    <x v="3"/>
    <x v="1"/>
    <x v="18"/>
    <x v="2"/>
    <x v="3"/>
    <x v="0"/>
    <n v="2"/>
    <n v="3800"/>
    <x v="3"/>
    <n v="25"/>
    <s v="Valid"/>
    <s v="Match"/>
    <n v="7600"/>
    <n v="1900"/>
    <n v="5700"/>
    <n v="4302.78"/>
    <n v="1397.22"/>
    <b v="0"/>
    <x v="0"/>
    <x v="0"/>
    <s v="Neha"/>
    <x v="5"/>
    <n v="3"/>
    <s v="Apr"/>
    <x v="5"/>
  </r>
  <r>
    <s v="ZAR-10982"/>
    <d v="2025-11-19T00:00:00"/>
    <x v="2"/>
    <d v="1899-12-30T19:01:00"/>
    <x v="1"/>
    <x v="0"/>
    <x v="4"/>
    <x v="6"/>
    <x v="3"/>
    <x v="0"/>
    <n v="3"/>
    <s v="23700.0"/>
    <x v="3"/>
    <n v="25"/>
    <s v="Valid"/>
    <s v="Match"/>
    <n v="71100"/>
    <n v="17775"/>
    <n v="53325"/>
    <n v="42783.62"/>
    <n v="10541.38"/>
    <b v="0"/>
    <x v="0"/>
    <x v="4"/>
    <s v="Rohit"/>
    <x v="2"/>
    <n v="3.5"/>
    <s v="Nov"/>
    <x v="1"/>
  </r>
  <r>
    <s v="ZAR-10511"/>
    <d v="2025-06-05T00:00:00"/>
    <x v="1"/>
    <d v="1899-12-30T02:10:00"/>
    <x v="2"/>
    <x v="0"/>
    <x v="10"/>
    <x v="2"/>
    <x v="2"/>
    <x v="1"/>
    <n v="2"/>
    <n v="1550"/>
    <x v="0"/>
    <n v="15"/>
    <s v="Valid"/>
    <s v="Match"/>
    <n v="3100"/>
    <n v="465"/>
    <n v="2635"/>
    <n v="2047.8"/>
    <n v="587.20000000000005"/>
    <b v="0"/>
    <x v="0"/>
    <x v="2"/>
    <s v="Rohit"/>
    <x v="6"/>
    <n v="4.5"/>
    <s v="Jun"/>
    <x v="4"/>
  </r>
  <r>
    <s v="ZAR-10269"/>
    <d v="2025-10-23T00:00:00"/>
    <x v="2"/>
    <d v="1899-12-30T16:07:00"/>
    <x v="4"/>
    <x v="2"/>
    <x v="8"/>
    <x v="0"/>
    <x v="1"/>
    <x v="0"/>
    <n v="1"/>
    <n v="2200"/>
    <x v="3"/>
    <n v="25"/>
    <s v="Valid"/>
    <s v="Match"/>
    <n v="2200"/>
    <n v="550"/>
    <n v="1650"/>
    <n v="1526.08"/>
    <n v="123.92"/>
    <b v="0"/>
    <x v="0"/>
    <x v="0"/>
    <s v="Karan"/>
    <x v="5"/>
    <n v="4"/>
    <s v="Oct"/>
    <x v="4"/>
  </r>
  <r>
    <s v="ZAR-10827"/>
    <d v="2025-05-28T00:00:00"/>
    <x v="4"/>
    <d v="1899-12-30T21:44:00"/>
    <x v="2"/>
    <x v="0"/>
    <x v="2"/>
    <x v="0"/>
    <x v="1"/>
    <x v="0"/>
    <n v="1"/>
    <n v="70550"/>
    <x v="1"/>
    <n v="10"/>
    <s v="Valid"/>
    <s v="Match"/>
    <n v="70550"/>
    <n v="7055"/>
    <n v="63495"/>
    <n v="44409.48"/>
    <n v="19085.52"/>
    <b v="0"/>
    <x v="0"/>
    <x v="4"/>
    <s v="Karan"/>
    <x v="2"/>
    <n v="4"/>
    <s v="May"/>
    <x v="1"/>
  </r>
  <r>
    <s v="ZAR-10443"/>
    <d v="2025-09-11T00:00:00"/>
    <x v="1"/>
    <d v="1899-12-30T01:28:00"/>
    <x v="3"/>
    <x v="0"/>
    <x v="10"/>
    <x v="5"/>
    <x v="5"/>
    <x v="3"/>
    <n v="2"/>
    <n v="2500"/>
    <x v="0"/>
    <n v="15"/>
    <s v="Valid"/>
    <s v="Match"/>
    <n v="5000"/>
    <n v="750"/>
    <n v="4250"/>
    <n v="2727.63"/>
    <n v="1522.37"/>
    <b v="0"/>
    <x v="0"/>
    <x v="1"/>
    <s v="Ananya"/>
    <x v="3"/>
    <n v="4"/>
    <s v="Sep"/>
    <x v="4"/>
  </r>
  <r>
    <s v="ZAR-10498"/>
    <d v="2025-09-11T00:00:00"/>
    <x v="0"/>
    <d v="1899-12-30T07:58:00"/>
    <x v="2"/>
    <x v="0"/>
    <x v="7"/>
    <x v="7"/>
    <x v="5"/>
    <x v="1"/>
    <n v="1"/>
    <n v="2000"/>
    <x v="3"/>
    <n v="30"/>
    <s v="Valid"/>
    <s v="Match"/>
    <n v="2000"/>
    <n v="600"/>
    <n v="1400"/>
    <n v="1440.64"/>
    <n v="-40.64"/>
    <b v="0"/>
    <x v="0"/>
    <x v="0"/>
    <s v="Rohit"/>
    <x v="1"/>
    <n v="4"/>
    <s v="Sep"/>
    <x v="4"/>
  </r>
  <r>
    <s v="ZAR-10114"/>
    <d v="2025-07-07T00:00:00"/>
    <x v="0"/>
    <d v="1899-12-30T04:12:00"/>
    <x v="4"/>
    <x v="0"/>
    <x v="4"/>
    <x v="0"/>
    <x v="1"/>
    <x v="0"/>
    <n v="2"/>
    <n v="21950"/>
    <x v="1"/>
    <n v="10"/>
    <s v="Valid"/>
    <s v="Match"/>
    <n v="43900"/>
    <n v="4390"/>
    <n v="39510"/>
    <n v="28215.54"/>
    <n v="11294.46"/>
    <b v="0"/>
    <x v="0"/>
    <x v="4"/>
    <s v="Meera"/>
    <x v="1"/>
    <n v="3"/>
    <s v="Jul"/>
    <x v="2"/>
  </r>
  <r>
    <s v="ZAR-10693"/>
    <d v="2025-09-18T00:00:00"/>
    <x v="1"/>
    <d v="1899-12-30T02:09:00"/>
    <x v="2"/>
    <x v="0"/>
    <x v="10"/>
    <x v="2"/>
    <x v="2"/>
    <x v="1"/>
    <n v="2"/>
    <n v="5150"/>
    <x v="3"/>
    <n v="25"/>
    <s v="Valid"/>
    <s v="Match"/>
    <n v="10300"/>
    <n v="2575"/>
    <n v="7725"/>
    <n v="7091.66"/>
    <n v="633.34"/>
    <b v="0"/>
    <x v="0"/>
    <x v="1"/>
    <s v="Neha"/>
    <x v="4"/>
    <n v="4"/>
    <s v="Sep"/>
    <x v="4"/>
  </r>
  <r>
    <s v="ZAR-10234"/>
    <d v="2025-10-21T00:00:00"/>
    <x v="5"/>
    <d v="1899-12-30T14:05:00"/>
    <x v="6"/>
    <x v="0"/>
    <x v="7"/>
    <x v="4"/>
    <x v="5"/>
    <x v="0"/>
    <n v="1"/>
    <n v="2300"/>
    <x v="0"/>
    <n v="15"/>
    <s v="Valid"/>
    <s v="Match"/>
    <n v="2300"/>
    <n v="345"/>
    <n v="1955"/>
    <n v="1420.76"/>
    <n v="534.24"/>
    <b v="0"/>
    <x v="0"/>
    <x v="2"/>
    <s v="Sanjay"/>
    <x v="1"/>
    <n v="5"/>
    <s v="Oct"/>
    <x v="6"/>
  </r>
  <r>
    <s v="ZAR-10958"/>
    <d v="2025-05-07T00:00:00"/>
    <x v="1"/>
    <d v="1899-12-30T02:21:00"/>
    <x v="0"/>
    <x v="1"/>
    <x v="9"/>
    <x v="4"/>
    <x v="3"/>
    <x v="0"/>
    <n v="1"/>
    <n v="11600"/>
    <x v="0"/>
    <n v="20"/>
    <s v="Valid"/>
    <s v="Match"/>
    <n v="11600"/>
    <n v="2320"/>
    <n v="9280"/>
    <n v="8430.01"/>
    <n v="849.99"/>
    <b v="0"/>
    <x v="0"/>
    <x v="0"/>
    <s v="Rohit"/>
    <x v="4"/>
    <n v="5"/>
    <s v="May"/>
    <x v="1"/>
  </r>
  <r>
    <s v="ZAR-10609"/>
    <d v="2025-08-27T00:00:00"/>
    <x v="5"/>
    <d v="1899-12-30T14:41:00"/>
    <x v="4"/>
    <x v="0"/>
    <x v="4"/>
    <x v="3"/>
    <x v="1"/>
    <x v="4"/>
    <n v="3"/>
    <n v="15500"/>
    <x v="3"/>
    <n v="25"/>
    <s v="Valid"/>
    <s v="Match"/>
    <n v="46500"/>
    <n v="11625"/>
    <n v="34875"/>
    <n v="25136.54"/>
    <n v="9738.4599999999991"/>
    <b v="0"/>
    <x v="0"/>
    <x v="0"/>
    <s v="Rohit"/>
    <x v="1"/>
    <n v="3.5"/>
    <s v="Aug"/>
    <x v="1"/>
  </r>
  <r>
    <s v="ZAR-10673"/>
    <d v="2025-03-01T00:00:00"/>
    <x v="5"/>
    <d v="1899-12-30T14:07:00"/>
    <x v="4"/>
    <x v="0"/>
    <x v="7"/>
    <x v="3"/>
    <x v="3"/>
    <x v="3"/>
    <n v="1"/>
    <n v="3650"/>
    <x v="0"/>
    <n v="15"/>
    <s v="Valid"/>
    <s v="Match"/>
    <n v="3650"/>
    <n v="547.5"/>
    <n v="3102.5"/>
    <n v="2339.2800000000002"/>
    <n v="763.22"/>
    <b v="0"/>
    <x v="0"/>
    <x v="2"/>
    <s v="Rohit"/>
    <x v="6"/>
    <n v="4"/>
    <s v="Mar"/>
    <x v="5"/>
  </r>
  <r>
    <s v="ZAR-10375"/>
    <d v="2025-10-25T00:00:00"/>
    <x v="1"/>
    <d v="1899-12-30T01:08:00"/>
    <x v="2"/>
    <x v="0"/>
    <x v="7"/>
    <x v="4"/>
    <x v="5"/>
    <x v="2"/>
    <n v="1"/>
    <n v="1250"/>
    <x v="1"/>
    <n v="5"/>
    <s v="Valid"/>
    <s v="Match"/>
    <n v="1250"/>
    <n v="62.5"/>
    <n v="1187.5"/>
    <n v="770.63"/>
    <n v="416.87"/>
    <b v="0"/>
    <x v="0"/>
    <x v="0"/>
    <s v="Ananya"/>
    <x v="2"/>
    <n v="3.5"/>
    <s v="Oct"/>
    <x v="5"/>
  </r>
  <r>
    <s v="ZAR-10991"/>
    <d v="2025-01-12T00:00:00"/>
    <x v="0"/>
    <d v="1899-12-30T07:46:00"/>
    <x v="2"/>
    <x v="0"/>
    <x v="0"/>
    <x v="7"/>
    <x v="4"/>
    <x v="0"/>
    <n v="1"/>
    <s v="8000.0"/>
    <x v="3"/>
    <n v="30"/>
    <s v="Valid"/>
    <s v="Match"/>
    <n v="8000"/>
    <n v="2400"/>
    <n v="5600"/>
    <n v="5093.42"/>
    <n v="506.58"/>
    <b v="0"/>
    <x v="0"/>
    <x v="1"/>
    <s v="Sanjay"/>
    <x v="5"/>
    <n v="3.5"/>
    <s v="Jan"/>
    <x v="0"/>
  </r>
  <r>
    <s v="ZAR-10850"/>
    <d v="2025-05-20T00:00:00"/>
    <x v="4"/>
    <d v="1899-12-30T21:29:00"/>
    <x v="1"/>
    <x v="0"/>
    <x v="1"/>
    <x v="4"/>
    <x v="3"/>
    <x v="0"/>
    <n v="1"/>
    <n v="3350"/>
    <x v="0"/>
    <n v="15"/>
    <s v="Valid"/>
    <s v="Match"/>
    <n v="3350"/>
    <n v="502.5"/>
    <n v="2847.5"/>
    <n v="1990.75"/>
    <n v="856.75"/>
    <b v="0"/>
    <x v="0"/>
    <x v="3"/>
    <s v="Ananya"/>
    <x v="3"/>
    <n v="4.5"/>
    <s v="May"/>
    <x v="6"/>
  </r>
  <r>
    <s v="ZAR-10235"/>
    <d v="2025-12-02T00:00:00"/>
    <x v="4"/>
    <d v="1899-12-30T21:29:00"/>
    <x v="3"/>
    <x v="0"/>
    <x v="2"/>
    <x v="7"/>
    <x v="2"/>
    <x v="0"/>
    <n v="1"/>
    <n v="106350"/>
    <x v="0"/>
    <n v="20"/>
    <s v="Valid"/>
    <s v="Match"/>
    <n v="106350"/>
    <n v="21270"/>
    <n v="85080"/>
    <n v="68458.899999999994"/>
    <n v="16621.099999999999"/>
    <b v="0"/>
    <x v="0"/>
    <x v="3"/>
    <s v="Meera"/>
    <x v="5"/>
    <n v="4"/>
    <s v="Dec"/>
    <x v="6"/>
  </r>
  <r>
    <s v="ZAR-10678"/>
    <d v="2025-07-16T00:00:00"/>
    <x v="5"/>
    <d v="1899-12-30T15:01:00"/>
    <x v="6"/>
    <x v="0"/>
    <x v="0"/>
    <x v="3"/>
    <x v="3"/>
    <x v="0"/>
    <n v="1"/>
    <n v="7750"/>
    <x v="1"/>
    <n v="10"/>
    <s v="Valid"/>
    <s v="Match"/>
    <n v="7750"/>
    <n v="775"/>
    <n v="6975"/>
    <n v="5487.05"/>
    <n v="1487.95"/>
    <b v="0"/>
    <x v="0"/>
    <x v="1"/>
    <s v="Karan"/>
    <x v="1"/>
    <n v="3.5"/>
    <s v="Jul"/>
    <x v="1"/>
  </r>
  <r>
    <s v="ZAR-10319"/>
    <d v="2025-07-01T00:00:00"/>
    <x v="4"/>
    <d v="1899-12-30T20:19:00"/>
    <x v="0"/>
    <x v="0"/>
    <x v="10"/>
    <x v="6"/>
    <x v="0"/>
    <x v="3"/>
    <n v="1"/>
    <n v="3300"/>
    <x v="1"/>
    <n v="10"/>
    <s v="Valid"/>
    <s v="Match"/>
    <n v="3300"/>
    <n v="330"/>
    <n v="2970"/>
    <n v="2212.81"/>
    <n v="757.19"/>
    <b v="0"/>
    <x v="0"/>
    <x v="0"/>
    <s v="Meera"/>
    <x v="2"/>
    <n v="3"/>
    <s v="Jul"/>
    <x v="6"/>
  </r>
  <r>
    <s v="ZAR-10650"/>
    <d v="2025-06-27T00:00:00"/>
    <x v="3"/>
    <d v="1899-12-30T09:07:00"/>
    <x v="2"/>
    <x v="0"/>
    <x v="12"/>
    <x v="0"/>
    <x v="5"/>
    <x v="0"/>
    <n v="1"/>
    <n v="12950"/>
    <x v="3"/>
    <n v="30"/>
    <s v="Valid"/>
    <s v="Match"/>
    <n v="12950"/>
    <n v="3885"/>
    <n v="9065"/>
    <n v="8030.37"/>
    <n v="1034.6300000000001"/>
    <b v="0"/>
    <x v="0"/>
    <x v="4"/>
    <s v="Sanjay"/>
    <x v="3"/>
    <n v="3.5"/>
    <s v="Jun"/>
    <x v="3"/>
  </r>
  <r>
    <s v="ZAR-10412"/>
    <d v="2025-01-07T00:00:00"/>
    <x v="4"/>
    <d v="1899-12-30T21:31:00"/>
    <x v="1"/>
    <x v="0"/>
    <x v="4"/>
    <x v="5"/>
    <x v="1"/>
    <x v="0"/>
    <n v="2"/>
    <n v="41000"/>
    <x v="3"/>
    <n v="25"/>
    <s v="Valid"/>
    <s v="Match"/>
    <n v="82000"/>
    <n v="20500"/>
    <n v="61500"/>
    <n v="49268.639999999999"/>
    <n v="12231.36"/>
    <b v="0"/>
    <x v="0"/>
    <x v="1"/>
    <s v="Ananya"/>
    <x v="3"/>
    <n v="4"/>
    <s v="Jan"/>
    <x v="6"/>
  </r>
  <r>
    <s v="ZAR-10906"/>
    <d v="2025-05-30T00:00:00"/>
    <x v="4"/>
    <d v="1899-12-30T20:15:00"/>
    <x v="0"/>
    <x v="0"/>
    <x v="10"/>
    <x v="2"/>
    <x v="0"/>
    <x v="1"/>
    <n v="1"/>
    <n v="4450"/>
    <x v="3"/>
    <n v="25"/>
    <s v="Valid"/>
    <s v="Match"/>
    <n v="4450"/>
    <n v="1112.5"/>
    <n v="3337.5"/>
    <n v="3021.56"/>
    <n v="315.94"/>
    <b v="0"/>
    <x v="0"/>
    <x v="4"/>
    <s v="Rohit"/>
    <x v="1"/>
    <n v="3.5"/>
    <s v="May"/>
    <x v="3"/>
  </r>
  <r>
    <s v="ZAR-10711"/>
    <d v="2025-08-31T00:00:00"/>
    <x v="2"/>
    <d v="1899-12-30T16:46:00"/>
    <x v="6"/>
    <x v="0"/>
    <x v="10"/>
    <x v="3"/>
    <x v="5"/>
    <x v="1"/>
    <n v="1"/>
    <n v="4500"/>
    <x v="0"/>
    <n v="15"/>
    <s v="Valid"/>
    <s v="Match"/>
    <n v="4500"/>
    <n v="675"/>
    <n v="3825"/>
    <n v="2950.32"/>
    <n v="874.68"/>
    <b v="0"/>
    <x v="0"/>
    <x v="4"/>
    <s v="Karan"/>
    <x v="3"/>
    <n v="4"/>
    <s v="Aug"/>
    <x v="0"/>
  </r>
  <r>
    <s v="ZAR-10360"/>
    <d v="2025-03-20T00:00:00"/>
    <x v="5"/>
    <d v="1899-12-30T15:48:00"/>
    <x v="5"/>
    <x v="2"/>
    <x v="14"/>
    <x v="0"/>
    <x v="7"/>
    <x v="2"/>
    <n v="4"/>
    <n v="3450"/>
    <x v="0"/>
    <n v="20"/>
    <s v="Valid"/>
    <s v="Match"/>
    <n v="13800"/>
    <n v="2760"/>
    <n v="11040"/>
    <n v="10011.450000000001"/>
    <n v="1028.55"/>
    <b v="0"/>
    <x v="0"/>
    <x v="1"/>
    <s v="Neha"/>
    <x v="4"/>
    <n v="5"/>
    <s v="Mar"/>
    <x v="4"/>
  </r>
  <r>
    <s v="ZAR-10260"/>
    <d v="2025-09-07T00:00:00"/>
    <x v="0"/>
    <d v="1899-12-30T07:04:00"/>
    <x v="7"/>
    <x v="0"/>
    <x v="6"/>
    <x v="7"/>
    <x v="3"/>
    <x v="0"/>
    <n v="1"/>
    <n v="26250"/>
    <x v="1"/>
    <n v="10"/>
    <s v="Valid"/>
    <s v="Match"/>
    <n v="26250"/>
    <n v="2625"/>
    <n v="23625"/>
    <n v="13883.42"/>
    <n v="9741.58"/>
    <b v="0"/>
    <x v="0"/>
    <x v="0"/>
    <s v="Sanjay"/>
    <x v="1"/>
    <n v="4.5"/>
    <s v="Sep"/>
    <x v="0"/>
  </r>
  <r>
    <s v="ZAR-10746"/>
    <d v="2025-04-09T00:00:00"/>
    <x v="2"/>
    <d v="1899-12-30T18:16:00"/>
    <x v="3"/>
    <x v="1"/>
    <x v="18"/>
    <x v="4"/>
    <x v="5"/>
    <x v="1"/>
    <n v="3"/>
    <n v="3650"/>
    <x v="0"/>
    <n v="15"/>
    <s v="Valid"/>
    <s v="Match"/>
    <n v="10950"/>
    <n v="1642.5"/>
    <n v="9307.5"/>
    <n v="8019.07"/>
    <n v="1288.43"/>
    <b v="0"/>
    <x v="0"/>
    <x v="4"/>
    <s v="Neha"/>
    <x v="1"/>
    <n v="5"/>
    <s v="Apr"/>
    <x v="1"/>
  </r>
  <r>
    <s v="ZAR-10629"/>
    <d v="2025-05-20T00:00:00"/>
    <x v="3"/>
    <d v="1899-12-30T10:39:00"/>
    <x v="2"/>
    <x v="0"/>
    <x v="1"/>
    <x v="7"/>
    <x v="4"/>
    <x v="1"/>
    <n v="1"/>
    <n v="4300"/>
    <x v="0"/>
    <n v="15"/>
    <s v="Valid"/>
    <s v="Match"/>
    <n v="4300"/>
    <n v="645"/>
    <n v="3655"/>
    <n v="2636.86"/>
    <n v="1018.14"/>
    <b v="0"/>
    <x v="0"/>
    <x v="2"/>
    <s v="Sanjay"/>
    <x v="6"/>
    <n v="4"/>
    <s v="May"/>
    <x v="6"/>
  </r>
  <r>
    <s v="ZAR-10634"/>
    <d v="2025-05-21T00:00:00"/>
    <x v="3"/>
    <d v="1899-12-30T10:48:00"/>
    <x v="3"/>
    <x v="0"/>
    <x v="2"/>
    <x v="4"/>
    <x v="8"/>
    <x v="0"/>
    <n v="1"/>
    <n v="54100"/>
    <x v="0"/>
    <n v="15"/>
    <s v="Valid"/>
    <s v="Match"/>
    <n v="54100"/>
    <n v="8115"/>
    <n v="45985"/>
    <n v="36740.17"/>
    <n v="9244.83"/>
    <b v="0"/>
    <x v="0"/>
    <x v="0"/>
    <s v="Priya"/>
    <x v="4"/>
    <n v="4"/>
    <s v="May"/>
    <x v="1"/>
  </r>
  <r>
    <s v="ZAR-10284"/>
    <d v="2025-11-07T00:00:00"/>
    <x v="0"/>
    <d v="1899-12-30T06:36:00"/>
    <x v="4"/>
    <x v="0"/>
    <x v="0"/>
    <x v="7"/>
    <x v="0"/>
    <x v="1"/>
    <n v="1"/>
    <n v="4300"/>
    <x v="1"/>
    <n v="10"/>
    <s v="Valid"/>
    <s v="Match"/>
    <n v="4300"/>
    <n v="430"/>
    <n v="3870"/>
    <n v="3056.53"/>
    <n v="813.47"/>
    <b v="0"/>
    <x v="0"/>
    <x v="3"/>
    <s v="Sanjay"/>
    <x v="4"/>
    <n v="4"/>
    <s v="Nov"/>
    <x v="3"/>
  </r>
  <r>
    <s v="ZAR-10378"/>
    <d v="2025-08-31T00:00:00"/>
    <x v="5"/>
    <d v="1899-12-30T15:11:00"/>
    <x v="0"/>
    <x v="0"/>
    <x v="1"/>
    <x v="6"/>
    <x v="2"/>
    <x v="1"/>
    <n v="1"/>
    <n v="1750"/>
    <x v="3"/>
    <n v="30"/>
    <s v="Valid"/>
    <s v="Match"/>
    <n v="1750"/>
    <n v="525"/>
    <n v="1225"/>
    <n v="967.45"/>
    <n v="257.55"/>
    <b v="0"/>
    <x v="0"/>
    <x v="4"/>
    <s v="Neha"/>
    <x v="1"/>
    <n v="4"/>
    <s v="Aug"/>
    <x v="0"/>
  </r>
  <r>
    <s v="ZAR-10386"/>
    <d v="2025-11-10T00:00:00"/>
    <x v="2"/>
    <d v="1899-12-30T17:36:00"/>
    <x v="6"/>
    <x v="0"/>
    <x v="12"/>
    <x v="4"/>
    <x v="4"/>
    <x v="0"/>
    <n v="1"/>
    <n v="9150"/>
    <x v="3"/>
    <n v="30"/>
    <s v="Valid"/>
    <s v="Match"/>
    <n v="9150"/>
    <n v="2745"/>
    <n v="6405"/>
    <n v="5301.09"/>
    <n v="1103.9100000000001"/>
    <b v="0"/>
    <x v="0"/>
    <x v="3"/>
    <s v="Karan"/>
    <x v="3"/>
    <n v="4"/>
    <s v="Nov"/>
    <x v="2"/>
  </r>
  <r>
    <s v="ZAR-10226"/>
    <d v="2025-02-23T00:00:00"/>
    <x v="2"/>
    <d v="1899-12-30T16:46:00"/>
    <x v="4"/>
    <x v="1"/>
    <x v="18"/>
    <x v="6"/>
    <x v="3"/>
    <x v="0"/>
    <n v="2"/>
    <n v="2450"/>
    <x v="3"/>
    <n v="25"/>
    <s v="Valid"/>
    <s v="Match"/>
    <n v="4900"/>
    <n v="1225"/>
    <n v="3675"/>
    <n v="2695.86"/>
    <n v="979.14"/>
    <b v="0"/>
    <x v="0"/>
    <x v="3"/>
    <s v="Rohit"/>
    <x v="3"/>
    <n v="3"/>
    <s v="Feb"/>
    <x v="0"/>
  </r>
  <r>
    <s v="ZAR-10963"/>
    <d v="2025-09-23T00:00:00"/>
    <x v="4"/>
    <d v="1899-12-30T21:17:00"/>
    <x v="5"/>
    <x v="0"/>
    <x v="4"/>
    <x v="3"/>
    <x v="2"/>
    <x v="1"/>
    <n v="1"/>
    <n v="40000"/>
    <x v="0"/>
    <n v="15"/>
    <s v="Valid"/>
    <s v="Match"/>
    <n v="40000"/>
    <n v="6000"/>
    <n v="34000"/>
    <n v="24132.78"/>
    <n v="9867.2199999999993"/>
    <b v="0"/>
    <x v="0"/>
    <x v="4"/>
    <s v="Rohit"/>
    <x v="4"/>
    <n v="3.5"/>
    <s v="Sep"/>
    <x v="6"/>
  </r>
  <r>
    <s v="ZAR-10822"/>
    <d v="2025-10-18T00:00:00"/>
    <x v="2"/>
    <d v="1899-12-30T18:23:00"/>
    <x v="6"/>
    <x v="2"/>
    <x v="15"/>
    <x v="1"/>
    <x v="3"/>
    <x v="0"/>
    <n v="1"/>
    <n v="1850"/>
    <x v="1"/>
    <n v="10"/>
    <s v="Valid"/>
    <s v="Match"/>
    <n v="1850"/>
    <n v="185"/>
    <n v="1665"/>
    <n v="973.25"/>
    <n v="691.75"/>
    <b v="0"/>
    <x v="0"/>
    <x v="4"/>
    <s v="Ananya"/>
    <x v="4"/>
    <n v="3.5"/>
    <s v="Oct"/>
    <x v="5"/>
  </r>
  <r>
    <s v="ZAR-10474"/>
    <d v="2025-08-02T00:00:00"/>
    <x v="5"/>
    <d v="1899-12-30T15:36:00"/>
    <x v="3"/>
    <x v="0"/>
    <x v="10"/>
    <x v="0"/>
    <x v="5"/>
    <x v="1"/>
    <n v="2"/>
    <n v="900"/>
    <x v="2"/>
    <n v="0"/>
    <s v="Valid"/>
    <s v="Match"/>
    <n v="1800"/>
    <n v="0"/>
    <n v="1800"/>
    <n v="1280.69"/>
    <n v="519.30999999999995"/>
    <b v="0"/>
    <x v="0"/>
    <x v="1"/>
    <s v="Neha"/>
    <x v="4"/>
    <n v="4"/>
    <s v="Aug"/>
    <x v="5"/>
  </r>
  <r>
    <s v="ZAR-10349"/>
    <d v="2025-10-31T00:00:00"/>
    <x v="2"/>
    <d v="1899-12-30T19:29:00"/>
    <x v="3"/>
    <x v="0"/>
    <x v="4"/>
    <x v="5"/>
    <x v="2"/>
    <x v="1"/>
    <n v="2"/>
    <n v="35100"/>
    <x v="3"/>
    <n v="30"/>
    <s v="Valid"/>
    <s v="Match"/>
    <n v="70200"/>
    <n v="21060"/>
    <n v="49140"/>
    <n v="44019.519999999997"/>
    <n v="5120.4799999999996"/>
    <b v="0"/>
    <x v="0"/>
    <x v="3"/>
    <s v="Ananya"/>
    <x v="4"/>
    <n v="4"/>
    <s v="Oct"/>
    <x v="3"/>
  </r>
  <r>
    <s v="ZAR-10507"/>
    <d v="2025-10-06T00:00:00"/>
    <x v="3"/>
    <d v="1899-12-30T08:00:00"/>
    <x v="6"/>
    <x v="1"/>
    <x v="18"/>
    <x v="4"/>
    <x v="7"/>
    <x v="0"/>
    <n v="1"/>
    <n v="3500"/>
    <x v="0"/>
    <n v="20"/>
    <s v="Valid"/>
    <s v="Match"/>
    <n v="3500"/>
    <n v="700"/>
    <n v="2800"/>
    <n v="2588.46"/>
    <n v="211.54"/>
    <b v="0"/>
    <x v="0"/>
    <x v="0"/>
    <s v="Karan"/>
    <x v="5"/>
    <n v="4"/>
    <s v="Oct"/>
    <x v="2"/>
  </r>
  <r>
    <s v="ZAR-10641"/>
    <d v="2025-08-24T00:00:00"/>
    <x v="0"/>
    <d v="1899-12-30T05:17:00"/>
    <x v="2"/>
    <x v="1"/>
    <x v="5"/>
    <x v="5"/>
    <x v="1"/>
    <x v="0"/>
    <n v="1"/>
    <n v="4500"/>
    <x v="2"/>
    <n v="0"/>
    <s v="Valid"/>
    <s v="Match"/>
    <n v="4500"/>
    <n v="0"/>
    <n v="4500"/>
    <n v="2578.16"/>
    <n v="1921.84"/>
    <b v="0"/>
    <x v="0"/>
    <x v="3"/>
    <s v="Ananya"/>
    <x v="3"/>
    <n v="4"/>
    <s v="Aug"/>
    <x v="0"/>
  </r>
  <r>
    <s v="ZAR-10997"/>
    <d v="2025-10-22T00:00:00"/>
    <x v="3"/>
    <d v="1899-12-30T09:06:00"/>
    <x v="4"/>
    <x v="0"/>
    <x v="2"/>
    <x v="4"/>
    <x v="3"/>
    <x v="0"/>
    <n v="1"/>
    <n v="26150"/>
    <x v="0"/>
    <n v="20"/>
    <s v="Valid"/>
    <s v="Match"/>
    <n v="26150"/>
    <n v="5230"/>
    <n v="20920"/>
    <n v="17275.830000000002"/>
    <n v="3644.17"/>
    <b v="0"/>
    <x v="0"/>
    <x v="3"/>
    <s v="Rohit"/>
    <x v="1"/>
    <n v="4"/>
    <s v="Oct"/>
    <x v="1"/>
  </r>
  <r>
    <s v="ZAR-10799"/>
    <d v="2025-10-12T00:00:00"/>
    <x v="4"/>
    <d v="1899-12-30T21:19:00"/>
    <x v="0"/>
    <x v="0"/>
    <x v="6"/>
    <x v="3"/>
    <x v="6"/>
    <x v="3"/>
    <n v="1"/>
    <n v="25750"/>
    <x v="2"/>
    <n v="0"/>
    <s v="Valid"/>
    <s v="Match"/>
    <n v="25750"/>
    <n v="0"/>
    <n v="25750"/>
    <n v="14813.78"/>
    <n v="10936.22"/>
    <b v="0"/>
    <x v="0"/>
    <x v="1"/>
    <s v="Rohit"/>
    <x v="1"/>
    <n v="3"/>
    <s v="Oct"/>
    <x v="0"/>
  </r>
  <r>
    <s v="ZAR-10936"/>
    <d v="2025-01-21T00:00:00"/>
    <x v="2"/>
    <d v="1899-12-30T19:00:00"/>
    <x v="6"/>
    <x v="0"/>
    <x v="0"/>
    <x v="5"/>
    <x v="5"/>
    <x v="3"/>
    <n v="1"/>
    <n v="4200"/>
    <x v="0"/>
    <n v="20"/>
    <s v="Valid"/>
    <s v="Match"/>
    <n v="4200"/>
    <n v="840"/>
    <n v="3360"/>
    <n v="2260.09"/>
    <n v="1099.9100000000001"/>
    <b v="0"/>
    <x v="0"/>
    <x v="4"/>
    <s v="Neha"/>
    <x v="3"/>
    <n v="4"/>
    <s v="Jan"/>
    <x v="6"/>
  </r>
  <r>
    <s v="ZAR-10913"/>
    <d v="2025-07-14T00:00:00"/>
    <x v="1"/>
    <d v="1899-12-30T00:34:00"/>
    <x v="6"/>
    <x v="0"/>
    <x v="10"/>
    <x v="7"/>
    <x v="5"/>
    <x v="0"/>
    <n v="2"/>
    <n v="3600"/>
    <x v="0"/>
    <n v="15"/>
    <s v="Valid"/>
    <s v="Match"/>
    <n v="7200"/>
    <n v="1080"/>
    <n v="6120"/>
    <n v="5091.33"/>
    <n v="1028.67"/>
    <b v="0"/>
    <x v="0"/>
    <x v="4"/>
    <s v="Ananya"/>
    <x v="1"/>
    <n v="4"/>
    <s v="Jul"/>
    <x v="2"/>
  </r>
  <r>
    <s v="ZAR-10621"/>
    <d v="2025-01-27T00:00:00"/>
    <x v="2"/>
    <d v="1899-12-30T18:27:00"/>
    <x v="0"/>
    <x v="2"/>
    <x v="17"/>
    <x v="7"/>
    <x v="5"/>
    <x v="3"/>
    <n v="1"/>
    <s v="2250.0"/>
    <x v="0"/>
    <n v="20"/>
    <s v="Valid"/>
    <s v="Match"/>
    <n v="2250"/>
    <n v="450"/>
    <n v="1800"/>
    <n v="1489"/>
    <n v="311"/>
    <b v="0"/>
    <x v="0"/>
    <x v="3"/>
    <s v="Rohit"/>
    <x v="1"/>
    <n v="4"/>
    <s v="Jan"/>
    <x v="2"/>
  </r>
  <r>
    <s v="ZAR-10863"/>
    <d v="2025-07-11T00:00:00"/>
    <x v="4"/>
    <d v="1899-12-30T22:55:00"/>
    <x v="0"/>
    <x v="1"/>
    <x v="9"/>
    <x v="2"/>
    <x v="3"/>
    <x v="0"/>
    <n v="2"/>
    <n v="12550"/>
    <x v="0"/>
    <n v="20"/>
    <s v="Valid"/>
    <s v="Match"/>
    <n v="25100"/>
    <n v="5020"/>
    <n v="20080"/>
    <n v="14608.64"/>
    <n v="5471.36"/>
    <b v="0"/>
    <x v="0"/>
    <x v="4"/>
    <s v="Sanjay"/>
    <x v="6"/>
    <n v="3"/>
    <s v="Jul"/>
    <x v="3"/>
  </r>
  <r>
    <s v="ZAR-10811"/>
    <d v="2025-07-01T00:00:00"/>
    <x v="5"/>
    <d v="1899-12-30T12:08:00"/>
    <x v="5"/>
    <x v="1"/>
    <x v="18"/>
    <x v="5"/>
    <x v="1"/>
    <x v="0"/>
    <n v="1"/>
    <n v="2100"/>
    <x v="3"/>
    <n v="25"/>
    <s v="Valid"/>
    <s v="Match"/>
    <n v="2100"/>
    <n v="525"/>
    <n v="1575"/>
    <n v="1249.1600000000001"/>
    <n v="325.83999999999997"/>
    <b v="0"/>
    <x v="0"/>
    <x v="4"/>
    <s v="Rohit"/>
    <x v="1"/>
    <n v="4.5"/>
    <s v="Jul"/>
    <x v="6"/>
  </r>
  <r>
    <s v="ZAR-10647"/>
    <d v="2025-08-20T00:00:00"/>
    <x v="5"/>
    <d v="1899-12-30T15:47:00"/>
    <x v="3"/>
    <x v="0"/>
    <x v="6"/>
    <x v="4"/>
    <x v="5"/>
    <x v="3"/>
    <n v="1"/>
    <n v="27550"/>
    <x v="3"/>
    <n v="30"/>
    <s v="Valid"/>
    <s v="Match"/>
    <n v="27550"/>
    <n v="8265"/>
    <n v="19285"/>
    <n v="18788.03"/>
    <n v="496.97"/>
    <b v="0"/>
    <x v="0"/>
    <x v="4"/>
    <s v="Priya"/>
    <x v="4"/>
    <n v="4"/>
    <s v="Aug"/>
    <x v="1"/>
  </r>
  <r>
    <s v="ZAR-10854"/>
    <d v="2025-04-06T00:00:00"/>
    <x v="1"/>
    <d v="1899-12-30T02:45:00"/>
    <x v="2"/>
    <x v="0"/>
    <x v="4"/>
    <x v="3"/>
    <x v="2"/>
    <x v="0"/>
    <n v="1"/>
    <n v="9150"/>
    <x v="3"/>
    <n v="25"/>
    <s v="Valid"/>
    <s v="Match"/>
    <n v="9150"/>
    <n v="2287.5"/>
    <n v="6862.5"/>
    <n v="6623.17"/>
    <n v="239.33"/>
    <b v="0"/>
    <x v="0"/>
    <x v="4"/>
    <s v="Karan"/>
    <x v="5"/>
    <n v="2.5"/>
    <s v="Apr"/>
    <x v="0"/>
  </r>
  <r>
    <s v="ZAR-10558"/>
    <d v="2025-04-07T00:00:00"/>
    <x v="0"/>
    <d v="1899-12-30T04:19:00"/>
    <x v="6"/>
    <x v="0"/>
    <x v="1"/>
    <x v="1"/>
    <x v="4"/>
    <x v="4"/>
    <n v="2"/>
    <n v="3300"/>
    <x v="2"/>
    <n v="0"/>
    <s v="Valid"/>
    <s v="Match"/>
    <n v="6600"/>
    <n v="0"/>
    <n v="6600"/>
    <n v="3776.27"/>
    <n v="2823.73"/>
    <b v="0"/>
    <x v="0"/>
    <x v="3"/>
    <s v="Priya"/>
    <x v="3"/>
    <n v="4.5"/>
    <s v="Apr"/>
    <x v="2"/>
  </r>
  <r>
    <s v="ZAR-10967"/>
    <d v="2025-01-11T00:00:00"/>
    <x v="1"/>
    <d v="1899-12-30T02:36:00"/>
    <x v="2"/>
    <x v="1"/>
    <x v="16"/>
    <x v="0"/>
    <x v="5"/>
    <x v="0"/>
    <n v="1"/>
    <n v="6700"/>
    <x v="4"/>
    <s v="10"/>
    <s v="Invalid Discount"/>
    <s v="Match"/>
    <n v="6700"/>
    <n v="670"/>
    <n v="6030"/>
    <n v="4584.2"/>
    <n v="1445.8"/>
    <b v="0"/>
    <x v="0"/>
    <x v="0"/>
    <s v="Neha"/>
    <x v="2"/>
    <n v="5"/>
    <s v="Jan"/>
    <x v="5"/>
  </r>
  <r>
    <s v="ZAR-10579"/>
    <d v="2025-12-02T00:00:00"/>
    <x v="0"/>
    <d v="1899-12-30T06:12:00"/>
    <x v="1"/>
    <x v="2"/>
    <x v="17"/>
    <x v="2"/>
    <x v="1"/>
    <x v="0"/>
    <n v="2"/>
    <n v="2450"/>
    <x v="2"/>
    <n v="0"/>
    <s v="Valid"/>
    <s v="Match"/>
    <n v="4900"/>
    <n v="0"/>
    <n v="4900"/>
    <n v="3180.31"/>
    <n v="1719.69"/>
    <b v="0"/>
    <x v="0"/>
    <x v="1"/>
    <s v="Neha"/>
    <x v="4"/>
    <n v="4"/>
    <s v="Dec"/>
    <x v="6"/>
  </r>
  <r>
    <s v="ZAR-10797"/>
    <d v="2025-09-26T00:00:00"/>
    <x v="1"/>
    <d v="1899-12-30T01:51:00"/>
    <x v="4"/>
    <x v="0"/>
    <x v="12"/>
    <x v="7"/>
    <x v="4"/>
    <x v="0"/>
    <n v="2"/>
    <n v="9050"/>
    <x v="0"/>
    <n v="20"/>
    <s v="Valid"/>
    <s v="Match"/>
    <n v="18100"/>
    <n v="3620"/>
    <n v="14480"/>
    <n v="12836.23"/>
    <n v="1643.77"/>
    <b v="0"/>
    <x v="0"/>
    <x v="1"/>
    <s v="Unknown"/>
    <x v="4"/>
    <n v="3.5"/>
    <s v="Sep"/>
    <x v="3"/>
  </r>
  <r>
    <s v="ZAR-10087"/>
    <d v="2025-12-29T00:00:00"/>
    <x v="1"/>
    <d v="1899-12-30T02:19:00"/>
    <x v="4"/>
    <x v="2"/>
    <x v="14"/>
    <x v="5"/>
    <x v="5"/>
    <x v="0"/>
    <n v="2"/>
    <n v="3400"/>
    <x v="0"/>
    <n v="15"/>
    <s v="Valid"/>
    <s v="Match"/>
    <n v="6800"/>
    <n v="1020"/>
    <n v="5780"/>
    <n v="3728.91"/>
    <n v="2051.09"/>
    <b v="0"/>
    <x v="0"/>
    <x v="0"/>
    <s v="Neha"/>
    <x v="3"/>
    <n v="5"/>
    <s v="Dec"/>
    <x v="2"/>
  </r>
  <r>
    <s v="ZAR-10244"/>
    <d v="2025-04-26T00:00:00"/>
    <x v="4"/>
    <d v="1899-12-30T20:45:00"/>
    <x v="1"/>
    <x v="1"/>
    <x v="5"/>
    <x v="6"/>
    <x v="5"/>
    <x v="1"/>
    <n v="2"/>
    <n v="5550"/>
    <x v="3"/>
    <n v="30"/>
    <s v="Valid"/>
    <s v="Match"/>
    <n v="11100"/>
    <n v="3330"/>
    <n v="7770"/>
    <n v="6853.96"/>
    <n v="916.04"/>
    <b v="0"/>
    <x v="0"/>
    <x v="0"/>
    <s v="Rohit"/>
    <x v="4"/>
    <n v="5"/>
    <s v="Apr"/>
    <x v="5"/>
  </r>
  <r>
    <s v="ZAR-10700"/>
    <d v="2025-04-20T00:00:00"/>
    <x v="1"/>
    <d v="1899-12-30T00:27:00"/>
    <x v="2"/>
    <x v="1"/>
    <x v="16"/>
    <x v="3"/>
    <x v="5"/>
    <x v="0"/>
    <n v="2"/>
    <n v="2550"/>
    <x v="2"/>
    <n v="0"/>
    <s v="Valid"/>
    <s v="Match"/>
    <n v="5100"/>
    <n v="0"/>
    <n v="5100"/>
    <n v="3718.83"/>
    <n v="1381.17"/>
    <b v="0"/>
    <x v="0"/>
    <x v="4"/>
    <s v="Neha"/>
    <x v="1"/>
    <n v="3"/>
    <s v="Apr"/>
    <x v="0"/>
  </r>
  <r>
    <s v="ZAR-10161"/>
    <d v="2025-07-18T00:00:00"/>
    <x v="2"/>
    <d v="1899-12-30T19:25:00"/>
    <x v="4"/>
    <x v="0"/>
    <x v="0"/>
    <x v="5"/>
    <x v="5"/>
    <x v="0"/>
    <n v="1"/>
    <n v="6650"/>
    <x v="3"/>
    <n v="25"/>
    <s v="Valid"/>
    <s v="Match"/>
    <n v="6650"/>
    <n v="1662.5"/>
    <n v="4987.5"/>
    <n v="3916.51"/>
    <n v="1070.99"/>
    <b v="0"/>
    <x v="0"/>
    <x v="1"/>
    <s v="Priya"/>
    <x v="2"/>
    <n v="3.5"/>
    <s v="Jul"/>
    <x v="3"/>
  </r>
  <r>
    <s v="ZAR-10526"/>
    <d v="2025-01-21T00:00:00"/>
    <x v="2"/>
    <d v="1899-12-30T16:50:00"/>
    <x v="5"/>
    <x v="2"/>
    <x v="8"/>
    <x v="7"/>
    <x v="3"/>
    <x v="1"/>
    <n v="1"/>
    <n v="4000"/>
    <x v="1"/>
    <n v="10"/>
    <s v="Valid"/>
    <s v="Match"/>
    <n v="4000"/>
    <n v="400"/>
    <n v="3600"/>
    <n v="2359.4299999999998"/>
    <n v="1240.57"/>
    <b v="0"/>
    <x v="0"/>
    <x v="4"/>
    <s v="Rohit"/>
    <x v="6"/>
    <n v="3.5"/>
    <s v="Jan"/>
    <x v="6"/>
  </r>
  <r>
    <s v="ZAR-10037"/>
    <d v="2025-04-12T00:00:00"/>
    <x v="1"/>
    <d v="1899-12-30T02:37:00"/>
    <x v="1"/>
    <x v="0"/>
    <x v="0"/>
    <x v="5"/>
    <x v="2"/>
    <x v="4"/>
    <n v="3"/>
    <n v="5950"/>
    <x v="0"/>
    <n v="15"/>
    <s v="Valid"/>
    <s v="Match"/>
    <n v="17850"/>
    <n v="2677.5"/>
    <n v="15172.5"/>
    <n v="10839.66"/>
    <n v="4332.84"/>
    <b v="0"/>
    <x v="0"/>
    <x v="3"/>
    <s v="Meera"/>
    <x v="2"/>
    <n v="4"/>
    <s v="Apr"/>
    <x v="5"/>
  </r>
  <r>
    <s v="ZAR-10542"/>
    <d v="2025-09-24T00:00:00"/>
    <x v="2"/>
    <d v="1899-12-30T18:50:00"/>
    <x v="6"/>
    <x v="2"/>
    <x v="11"/>
    <x v="6"/>
    <x v="7"/>
    <x v="2"/>
    <n v="1"/>
    <n v="9500"/>
    <x v="1"/>
    <n v="5"/>
    <s v="Valid"/>
    <s v="Match"/>
    <n v="9500"/>
    <n v="475"/>
    <n v="9025"/>
    <n v="6427.96"/>
    <n v="2597.04"/>
    <b v="0"/>
    <x v="0"/>
    <x v="3"/>
    <s v="Meera"/>
    <x v="1"/>
    <n v="3"/>
    <s v="Sep"/>
    <x v="1"/>
  </r>
  <r>
    <s v="ZAR-10172"/>
    <d v="2025-09-23T00:00:00"/>
    <x v="4"/>
    <d v="1899-12-30T21:28:00"/>
    <x v="2"/>
    <x v="0"/>
    <x v="4"/>
    <x v="0"/>
    <x v="1"/>
    <x v="0"/>
    <n v="1"/>
    <n v="7050"/>
    <x v="1"/>
    <n v="5"/>
    <s v="Valid"/>
    <s v="Match"/>
    <n v="7050"/>
    <n v="352.5"/>
    <n v="6697.5"/>
    <n v="4586.8"/>
    <n v="2110.6999999999998"/>
    <b v="0"/>
    <x v="0"/>
    <x v="0"/>
    <s v="Ananya"/>
    <x v="6"/>
    <n v="4"/>
    <s v="Sep"/>
    <x v="6"/>
  </r>
  <r>
    <s v="ZAR-10656"/>
    <d v="2025-01-04T00:00:00"/>
    <x v="5"/>
    <d v="1899-12-30T14:51:00"/>
    <x v="6"/>
    <x v="2"/>
    <x v="14"/>
    <x v="4"/>
    <x v="3"/>
    <x v="4"/>
    <n v="3"/>
    <n v="1050"/>
    <x v="1"/>
    <n v="5"/>
    <s v="Valid"/>
    <s v="Match"/>
    <n v="3150"/>
    <n v="157.5"/>
    <n v="2992.5"/>
    <n v="1917.24"/>
    <n v="1075.26"/>
    <b v="0"/>
    <x v="0"/>
    <x v="4"/>
    <s v="Meera"/>
    <x v="4"/>
    <n v="3"/>
    <s v="Jan"/>
    <x v="5"/>
  </r>
  <r>
    <s v="ZAR-10898"/>
    <d v="2025-01-06T00:00:00"/>
    <x v="3"/>
    <d v="1899-12-30T11:03:00"/>
    <x v="4"/>
    <x v="0"/>
    <x v="1"/>
    <x v="4"/>
    <x v="2"/>
    <x v="2"/>
    <s v="1"/>
    <n v="1450"/>
    <x v="3"/>
    <n v="25"/>
    <s v="Valid"/>
    <s v="Match"/>
    <n v="1450"/>
    <n v="362.5"/>
    <n v="1087.5"/>
    <n v="977.77"/>
    <n v="109.73"/>
    <b v="0"/>
    <x v="0"/>
    <x v="4"/>
    <s v="Meera"/>
    <x v="6"/>
    <n v="4"/>
    <s v="Jan"/>
    <x v="2"/>
  </r>
  <r>
    <s v="ZAR-10865"/>
    <d v="2025-01-10T00:00:00"/>
    <x v="3"/>
    <d v="1899-12-30T10:32:00"/>
    <x v="2"/>
    <x v="0"/>
    <x v="1"/>
    <x v="2"/>
    <x v="0"/>
    <x v="0"/>
    <n v="1"/>
    <n v="3800"/>
    <x v="0"/>
    <n v="20"/>
    <s v="Valid"/>
    <s v="Match"/>
    <n v="3800"/>
    <n v="760"/>
    <n v="3040"/>
    <n v="2368.71"/>
    <n v="671.29"/>
    <b v="0"/>
    <x v="0"/>
    <x v="0"/>
    <s v="Neha"/>
    <x v="4"/>
    <n v="3"/>
    <s v="Jan"/>
    <x v="3"/>
  </r>
  <r>
    <s v="ZAR-10855"/>
    <d v="2025-05-28T00:00:00"/>
    <x v="4"/>
    <d v="1899-12-30T21:37:00"/>
    <x v="6"/>
    <x v="0"/>
    <x v="1"/>
    <x v="6"/>
    <x v="4"/>
    <x v="4"/>
    <n v="1"/>
    <n v="3400"/>
    <x v="3"/>
    <n v="25"/>
    <s v="Valid"/>
    <s v="Match"/>
    <n v="3400"/>
    <n v="850"/>
    <n v="2550"/>
    <n v="1907.18"/>
    <n v="642.82000000000005"/>
    <b v="0"/>
    <x v="0"/>
    <x v="1"/>
    <s v="Neha"/>
    <x v="5"/>
    <n v="3"/>
    <s v="May"/>
    <x v="1"/>
  </r>
  <r>
    <s v="ZAR-10952"/>
    <d v="2025-04-12T00:00:00"/>
    <x v="1"/>
    <d v="1899-12-30T01:02:00"/>
    <x v="5"/>
    <x v="2"/>
    <x v="8"/>
    <x v="7"/>
    <x v="3"/>
    <x v="0"/>
    <n v="1"/>
    <n v="3300"/>
    <x v="1"/>
    <n v="10"/>
    <s v="Valid"/>
    <s v="Match"/>
    <n v="3300"/>
    <n v="330"/>
    <n v="2970"/>
    <n v="2182.4699999999998"/>
    <n v="787.53"/>
    <b v="0"/>
    <x v="0"/>
    <x v="4"/>
    <s v="Sanjay"/>
    <x v="4"/>
    <n v="5"/>
    <s v="Apr"/>
    <x v="5"/>
  </r>
  <r>
    <s v="ZAR-10735"/>
    <d v="2025-06-27T00:00:00"/>
    <x v="5"/>
    <d v="1899-12-30T14:25:00"/>
    <x v="0"/>
    <x v="1"/>
    <x v="3"/>
    <x v="0"/>
    <x v="2"/>
    <x v="0"/>
    <n v="1"/>
    <n v="43850"/>
    <x v="3"/>
    <n v="30"/>
    <s v="Valid"/>
    <s v="Match"/>
    <n v="43850"/>
    <n v="13155"/>
    <n v="30695"/>
    <n v="24166.67"/>
    <n v="6528.33"/>
    <b v="0"/>
    <x v="0"/>
    <x v="1"/>
    <s v="Meera"/>
    <x v="6"/>
    <n v="2.5"/>
    <s v="Jun"/>
    <x v="3"/>
  </r>
  <r>
    <s v="ZAR-10097"/>
    <d v="2025-02-02T00:00:00"/>
    <x v="4"/>
    <d v="1899-12-30T22:49:00"/>
    <x v="5"/>
    <x v="0"/>
    <x v="10"/>
    <x v="7"/>
    <x v="3"/>
    <x v="0"/>
    <n v="1"/>
    <m/>
    <x v="1"/>
    <n v="5"/>
    <s v="Valid"/>
    <s v="Match"/>
    <n v="6900"/>
    <n v="345"/>
    <n v="6555"/>
    <n v="4819.8500000000004"/>
    <n v="1735.15"/>
    <b v="0"/>
    <x v="0"/>
    <x v="4"/>
    <s v="Neha"/>
    <x v="1"/>
    <n v="3"/>
    <s v="Feb"/>
    <x v="0"/>
  </r>
  <r>
    <s v="ZAR-10565"/>
    <d v="2025-06-10T00:00:00"/>
    <x v="1"/>
    <d v="1899-12-30T02:40:00"/>
    <x v="2"/>
    <x v="2"/>
    <x v="17"/>
    <x v="4"/>
    <x v="3"/>
    <x v="0"/>
    <n v="3"/>
    <n v="1550"/>
    <x v="1"/>
    <n v="10"/>
    <s v="Valid"/>
    <s v="Match"/>
    <n v="4650"/>
    <n v="465"/>
    <n v="4185"/>
    <n v="2833.86"/>
    <n v="1351.14"/>
    <b v="0"/>
    <x v="0"/>
    <x v="2"/>
    <s v="Karan"/>
    <x v="3"/>
    <n v="3.5"/>
    <s v="Jun"/>
    <x v="6"/>
  </r>
  <r>
    <s v="ZAR-10242"/>
    <d v="2025-03-16T00:00:00"/>
    <x v="1"/>
    <d v="1899-12-30T01:44:00"/>
    <x v="6"/>
    <x v="0"/>
    <x v="2"/>
    <x v="2"/>
    <x v="1"/>
    <x v="0"/>
    <n v="2"/>
    <n v="89700"/>
    <x v="1"/>
    <n v="10"/>
    <s v="Valid"/>
    <s v="Match"/>
    <n v="179400"/>
    <n v="17940"/>
    <n v="161460"/>
    <n v="120260.05"/>
    <n v="41199.949999999997"/>
    <b v="0"/>
    <x v="0"/>
    <x v="2"/>
    <s v="Neha"/>
    <x v="4"/>
    <n v="4"/>
    <s v="Mar"/>
    <x v="0"/>
  </r>
  <r>
    <s v="ZAR-10744"/>
    <d v="2025-03-16T00:00:00"/>
    <x v="4"/>
    <d v="1899-12-30T20:31:00"/>
    <x v="5"/>
    <x v="0"/>
    <x v="2"/>
    <x v="1"/>
    <x v="3"/>
    <x v="4"/>
    <n v="1"/>
    <n v="74850"/>
    <x v="1"/>
    <n v="5"/>
    <s v="Valid"/>
    <s v="Match"/>
    <n v="74850"/>
    <n v="3742.5"/>
    <n v="71107.5"/>
    <n v="40997.74"/>
    <n v="30109.759999999998"/>
    <b v="0"/>
    <x v="0"/>
    <x v="3"/>
    <s v="Neha"/>
    <x v="1"/>
    <n v="5"/>
    <s v="Mar"/>
    <x v="0"/>
  </r>
  <r>
    <s v="ZAR-10576"/>
    <d v="2025-11-21T00:00:00"/>
    <x v="0"/>
    <d v="1899-12-30T07:14:00"/>
    <x v="3"/>
    <x v="0"/>
    <x v="4"/>
    <x v="4"/>
    <x v="3"/>
    <x v="0"/>
    <n v="1"/>
    <n v="39850"/>
    <x v="0"/>
    <n v="20"/>
    <s v="Valid"/>
    <s v="Match"/>
    <n v="39850"/>
    <n v="7970"/>
    <n v="31880"/>
    <n v="23408.61"/>
    <n v="8471.39"/>
    <b v="0"/>
    <x v="0"/>
    <x v="4"/>
    <s v="Ananya"/>
    <x v="3"/>
    <n v="5"/>
    <s v="Nov"/>
    <x v="3"/>
  </r>
  <r>
    <s v="ZAR-10692"/>
    <d v="2025-10-30T00:00:00"/>
    <x v="2"/>
    <d v="1899-12-30T19:39:00"/>
    <x v="2"/>
    <x v="0"/>
    <x v="1"/>
    <x v="3"/>
    <x v="2"/>
    <x v="3"/>
    <n v="1"/>
    <n v="3400"/>
    <x v="3"/>
    <n v="30"/>
    <s v="Valid"/>
    <s v="Match"/>
    <n v="3400"/>
    <n v="1020"/>
    <n v="2380"/>
    <n v="2439.9699999999998"/>
    <n v="-59.97"/>
    <b v="0"/>
    <x v="0"/>
    <x v="0"/>
    <s v="Karan"/>
    <x v="1"/>
    <n v="4"/>
    <s v="Oct"/>
    <x v="4"/>
  </r>
  <r>
    <s v="ZAR-10462"/>
    <d v="2025-03-02T00:00:00"/>
    <x v="0"/>
    <d v="1899-12-30T06:58:00"/>
    <x v="3"/>
    <x v="0"/>
    <x v="4"/>
    <x v="2"/>
    <x v="3"/>
    <x v="0"/>
    <n v="1"/>
    <n v="38300"/>
    <x v="2"/>
    <n v="0"/>
    <s v="Valid"/>
    <s v="Match"/>
    <n v="38300"/>
    <n v="0"/>
    <n v="38300"/>
    <n v="21323.53"/>
    <n v="16976.47"/>
    <b v="0"/>
    <x v="0"/>
    <x v="2"/>
    <s v="Rohit"/>
    <x v="4"/>
    <n v="4.5"/>
    <s v="Mar"/>
    <x v="0"/>
  </r>
  <r>
    <s v="ZAR-10555"/>
    <d v="2025-07-27T00:00:00"/>
    <x v="4"/>
    <d v="1899-12-30T22:01:00"/>
    <x v="5"/>
    <x v="0"/>
    <x v="12"/>
    <x v="1"/>
    <x v="4"/>
    <x v="1"/>
    <n v="3"/>
    <n v="3300"/>
    <x v="3"/>
    <n v="30"/>
    <s v="Valid"/>
    <s v="Match"/>
    <n v="9900"/>
    <n v="2970"/>
    <n v="6930"/>
    <n v="6318.7"/>
    <n v="611.29999999999995"/>
    <b v="0"/>
    <x v="0"/>
    <x v="2"/>
    <s v="Rohit"/>
    <x v="5"/>
    <n v="2.5"/>
    <s v="Jul"/>
    <x v="0"/>
  </r>
  <r>
    <s v="ZAR-10886"/>
    <d v="2025-10-06T00:00:00"/>
    <x v="1"/>
    <d v="1899-12-30T01:33:00"/>
    <x v="2"/>
    <x v="1"/>
    <x v="9"/>
    <x v="1"/>
    <x v="5"/>
    <x v="1"/>
    <n v="1"/>
    <n v="5150"/>
    <x v="2"/>
    <n v="0"/>
    <s v="Valid"/>
    <s v="Match"/>
    <n v="5150"/>
    <n v="0"/>
    <n v="5150"/>
    <n v="3800.24"/>
    <n v="1349.76"/>
    <b v="0"/>
    <x v="0"/>
    <x v="4"/>
    <s v="Sanjay"/>
    <x v="2"/>
    <n v="5"/>
    <s v="Oct"/>
    <x v="2"/>
  </r>
  <r>
    <s v="ZAR-10208"/>
    <d v="2025-03-17T00:00:00"/>
    <x v="2"/>
    <d v="1899-12-30T18:37:00"/>
    <x v="4"/>
    <x v="0"/>
    <x v="2"/>
    <x v="5"/>
    <x v="1"/>
    <x v="2"/>
    <n v="2"/>
    <n v="102150"/>
    <x v="1"/>
    <n v="5"/>
    <s v="Valid"/>
    <s v="Match"/>
    <n v="204300"/>
    <n v="10215"/>
    <n v="194085"/>
    <n v="124863.53"/>
    <n v="69221.47"/>
    <b v="0"/>
    <x v="0"/>
    <x v="4"/>
    <s v="Unknown"/>
    <x v="5"/>
    <n v="4.5"/>
    <s v="Mar"/>
    <x v="2"/>
  </r>
  <r>
    <s v="ZAR-10394"/>
    <d v="2025-03-04T00:00:00"/>
    <x v="1"/>
    <d v="1899-12-30T00:25:00"/>
    <x v="5"/>
    <x v="1"/>
    <x v="16"/>
    <x v="4"/>
    <x v="1"/>
    <x v="2"/>
    <n v="1"/>
    <n v="2650"/>
    <x v="1"/>
    <n v="5"/>
    <s v="Valid"/>
    <s v="Match"/>
    <n v="2650"/>
    <n v="132.5"/>
    <n v="2517.5"/>
    <n v="1689.11"/>
    <n v="828.39"/>
    <b v="0"/>
    <x v="0"/>
    <x v="3"/>
    <s v="Neha"/>
    <x v="3"/>
    <n v="3.5"/>
    <s v="Mar"/>
    <x v="6"/>
  </r>
  <r>
    <s v="ZAR-10796"/>
    <d v="2025-02-12T00:00:00"/>
    <x v="2"/>
    <d v="1899-12-30T16:11:00"/>
    <x v="5"/>
    <x v="0"/>
    <x v="0"/>
    <x v="0"/>
    <x v="4"/>
    <x v="4"/>
    <n v="1"/>
    <n v="2700"/>
    <x v="0"/>
    <n v="15"/>
    <s v="Valid"/>
    <s v="Match"/>
    <n v="2700"/>
    <n v="405"/>
    <n v="2295"/>
    <n v="1663.08"/>
    <n v="631.91999999999996"/>
    <b v="0"/>
    <x v="0"/>
    <x v="1"/>
    <s v="Meera"/>
    <x v="2"/>
    <n v="3.5"/>
    <s v="Feb"/>
    <x v="1"/>
  </r>
  <r>
    <s v="ZAR-10399"/>
    <d v="2025-06-21T00:00:00"/>
    <x v="1"/>
    <d v="1899-12-30T02:59:00"/>
    <x v="4"/>
    <x v="0"/>
    <x v="4"/>
    <x v="3"/>
    <x v="3"/>
    <x v="2"/>
    <n v="1"/>
    <n v="12450"/>
    <x v="3"/>
    <n v="30"/>
    <s v="Valid"/>
    <s v="Match"/>
    <n v="12450"/>
    <n v="3735"/>
    <n v="8715"/>
    <n v="7912.8"/>
    <n v="802.2"/>
    <b v="0"/>
    <x v="0"/>
    <x v="1"/>
    <s v="Neha"/>
    <x v="1"/>
    <n v="5"/>
    <s v="Jun"/>
    <x v="5"/>
  </r>
  <r>
    <s v="ZAR-10768"/>
    <d v="2025-04-10T00:00:00"/>
    <x v="2"/>
    <d v="1899-12-30T18:51:00"/>
    <x v="1"/>
    <x v="0"/>
    <x v="7"/>
    <x v="3"/>
    <x v="6"/>
    <x v="1"/>
    <n v="1"/>
    <n v="4400"/>
    <x v="0"/>
    <n v="15"/>
    <s v="Valid"/>
    <s v="Match"/>
    <n v="4400"/>
    <n v="660"/>
    <n v="3740"/>
    <n v="3040.52"/>
    <n v="699.48"/>
    <b v="0"/>
    <x v="0"/>
    <x v="3"/>
    <s v="Priya"/>
    <x v="1"/>
    <n v="4"/>
    <s v="Apr"/>
    <x v="4"/>
  </r>
  <r>
    <s v="ZAR-10856"/>
    <d v="2025-04-27T00:00:00"/>
    <x v="0"/>
    <d v="1899-12-30T05:25:00"/>
    <x v="1"/>
    <x v="2"/>
    <x v="11"/>
    <x v="6"/>
    <x v="7"/>
    <x v="4"/>
    <n v="1"/>
    <n v="9200"/>
    <x v="1"/>
    <n v="5"/>
    <s v="Valid"/>
    <s v="Match"/>
    <n v="9200"/>
    <n v="460"/>
    <n v="8740"/>
    <n v="6501.6"/>
    <n v="2238.4"/>
    <b v="0"/>
    <x v="0"/>
    <x v="1"/>
    <s v="Sanjay"/>
    <x v="3"/>
    <n v="4.5"/>
    <s v="Apr"/>
    <x v="0"/>
  </r>
  <r>
    <s v="ZAR-10219"/>
    <d v="2025-12-02T00:00:00"/>
    <x v="1"/>
    <d v="1899-12-30T02:14:00"/>
    <x v="3"/>
    <x v="1"/>
    <x v="13"/>
    <x v="6"/>
    <x v="7"/>
    <x v="0"/>
    <n v="1"/>
    <n v="5750"/>
    <x v="3"/>
    <n v="25"/>
    <s v="Valid"/>
    <s v="Match"/>
    <n v="5750"/>
    <n v="1437.5"/>
    <n v="4312.5"/>
    <n v="4127.9799999999996"/>
    <n v="184.52"/>
    <b v="0"/>
    <x v="0"/>
    <x v="0"/>
    <s v="Meera"/>
    <x v="2"/>
    <n v="4"/>
    <s v="Dec"/>
    <x v="6"/>
  </r>
  <r>
    <s v="ZAR-10006"/>
    <d v="2025-12-17T00:00:00"/>
    <x v="1"/>
    <m/>
    <x v="6"/>
    <x v="0"/>
    <x v="7"/>
    <x v="5"/>
    <x v="6"/>
    <x v="2"/>
    <n v="3"/>
    <n v="1700"/>
    <x v="3"/>
    <n v="25"/>
    <s v="Valid"/>
    <s v="Match"/>
    <n v="5100"/>
    <n v="1275"/>
    <n v="3825"/>
    <n v="3276.9"/>
    <n v="548.1"/>
    <b v="0"/>
    <x v="0"/>
    <x v="1"/>
    <s v="Neha"/>
    <x v="4"/>
    <n v="4"/>
    <s v="Dec"/>
    <x v="1"/>
  </r>
  <r>
    <s v="ZAR-10770"/>
    <d v="2025-12-11T00:00:00"/>
    <x v="3"/>
    <d v="1899-12-30T09:06:00"/>
    <x v="6"/>
    <x v="2"/>
    <x v="15"/>
    <x v="5"/>
    <x v="2"/>
    <x v="0"/>
    <n v="1"/>
    <n v="3800"/>
    <x v="2"/>
    <n v="0"/>
    <s v="Valid"/>
    <s v="Match"/>
    <n v="3800"/>
    <n v="0"/>
    <n v="3800"/>
    <n v="2611.73"/>
    <n v="1188.27"/>
    <b v="0"/>
    <x v="0"/>
    <x v="1"/>
    <s v="Rohit"/>
    <x v="3"/>
    <n v="3.5"/>
    <s v="Dec"/>
    <x v="4"/>
  </r>
  <r>
    <s v="ZAR-10644"/>
    <d v="2025-12-21T00:00:00"/>
    <x v="3"/>
    <d v="1899-12-30T08:31:00"/>
    <x v="0"/>
    <x v="1"/>
    <x v="9"/>
    <x v="4"/>
    <x v="1"/>
    <x v="0"/>
    <n v="1"/>
    <n v="9500"/>
    <x v="3"/>
    <n v="25"/>
    <s v="Valid"/>
    <s v="Match"/>
    <n v="9500"/>
    <n v="2375"/>
    <n v="7125"/>
    <n v="6662.3"/>
    <n v="462.7"/>
    <b v="0"/>
    <x v="0"/>
    <x v="2"/>
    <s v="Rohit"/>
    <x v="5"/>
    <n v="5"/>
    <s v="Dec"/>
    <x v="0"/>
  </r>
  <r>
    <s v="ZAR-10905"/>
    <d v="2025-12-04T00:00:00"/>
    <x v="0"/>
    <d v="1899-12-30T06:49:00"/>
    <x v="4"/>
    <x v="1"/>
    <x v="13"/>
    <x v="7"/>
    <x v="1"/>
    <x v="4"/>
    <n v="1"/>
    <n v="5300"/>
    <x v="0"/>
    <n v="20"/>
    <s v="Valid"/>
    <s v="Match"/>
    <n v="5300"/>
    <n v="1060"/>
    <n v="4240"/>
    <n v="3250.21"/>
    <n v="989.79"/>
    <b v="0"/>
    <x v="0"/>
    <x v="3"/>
    <s v="Neha"/>
    <x v="3"/>
    <n v="3.5"/>
    <s v="Dec"/>
    <x v="4"/>
  </r>
  <r>
    <s v="ZAR-10614"/>
    <d v="2025-09-13T00:00:00"/>
    <x v="3"/>
    <d v="1899-12-30T10:07:00"/>
    <x v="6"/>
    <x v="1"/>
    <x v="18"/>
    <x v="0"/>
    <x v="3"/>
    <x v="3"/>
    <n v="1"/>
    <n v="3150"/>
    <x v="0"/>
    <n v="15"/>
    <s v="Valid"/>
    <s v="Match"/>
    <n v="3150"/>
    <n v="472.5"/>
    <n v="2677.5"/>
    <n v="2285.14"/>
    <n v="392.36"/>
    <b v="0"/>
    <x v="0"/>
    <x v="0"/>
    <s v="Unknown"/>
    <x v="5"/>
    <n v="4"/>
    <s v="Sep"/>
    <x v="5"/>
  </r>
  <r>
    <s v=" ZAR-10740 "/>
    <d v="2025-06-13T00:00:00"/>
    <x v="0"/>
    <d v="1899-12-30T04:36:00"/>
    <x v="4"/>
    <x v="0"/>
    <x v="4"/>
    <x v="3"/>
    <x v="3"/>
    <x v="0"/>
    <n v="1"/>
    <n v="31900"/>
    <x v="3"/>
    <n v="30"/>
    <s v="Valid"/>
    <s v="Match"/>
    <n v="31900"/>
    <n v="9570"/>
    <n v="22330"/>
    <n v="16673.79"/>
    <n v="5656.21"/>
    <b v="0"/>
    <x v="0"/>
    <x v="0"/>
    <s v="Meera"/>
    <x v="2"/>
    <s v="Not Rated"/>
    <s v="Jun"/>
    <x v="3"/>
  </r>
  <r>
    <s v="ZAR-10548"/>
    <d v="2025-04-21T00:00:00"/>
    <x v="5"/>
    <d v="1899-12-30T15:18:00"/>
    <x v="1"/>
    <x v="0"/>
    <x v="4"/>
    <x v="1"/>
    <x v="8"/>
    <x v="3"/>
    <n v="3"/>
    <n v="17400"/>
    <x v="0"/>
    <n v="20"/>
    <s v="Valid"/>
    <s v="Match"/>
    <n v="52200"/>
    <n v="10440"/>
    <n v="41760"/>
    <n v="32636.6"/>
    <n v="9123.4"/>
    <b v="0"/>
    <x v="0"/>
    <x v="1"/>
    <s v="Karan"/>
    <x v="4"/>
    <n v="3.5"/>
    <s v="Apr"/>
    <x v="2"/>
  </r>
  <r>
    <s v="ZAR-10727"/>
    <d v="2025-08-26T00:00:00"/>
    <x v="1"/>
    <d v="1899-12-30T02:07:00"/>
    <x v="2"/>
    <x v="0"/>
    <x v="12"/>
    <x v="4"/>
    <x v="0"/>
    <x v="0"/>
    <n v="3"/>
    <n v="8350"/>
    <x v="2"/>
    <n v="0"/>
    <s v="Valid"/>
    <s v="Match"/>
    <n v="25050"/>
    <n v="0"/>
    <n v="25050"/>
    <n v="16146.27"/>
    <n v="8903.73"/>
    <b v="0"/>
    <x v="0"/>
    <x v="1"/>
    <s v="Meera"/>
    <x v="2"/>
    <n v="4.5"/>
    <s v="Aug"/>
    <x v="6"/>
  </r>
  <r>
    <s v="ZAR-10685"/>
    <d v="2025-11-25T00:00:00"/>
    <x v="5"/>
    <d v="1899-12-30T13:56:00"/>
    <x v="3"/>
    <x v="0"/>
    <x v="12"/>
    <x v="7"/>
    <x v="0"/>
    <x v="0"/>
    <n v="3"/>
    <n v="9650"/>
    <x v="3"/>
    <n v="25"/>
    <s v="Valid"/>
    <s v="Match"/>
    <n v="28950"/>
    <n v="7237.5"/>
    <n v="21712.5"/>
    <n v="17703.310000000001"/>
    <n v="4009.19"/>
    <b v="0"/>
    <x v="0"/>
    <x v="0"/>
    <s v="Priya"/>
    <x v="5"/>
    <n v="4"/>
    <s v="Nov"/>
    <x v="6"/>
  </r>
  <r>
    <s v="ZAR-10100"/>
    <d v="2025-08-17T00:00:00"/>
    <x v="1"/>
    <d v="1899-12-30T01:46:00"/>
    <x v="6"/>
    <x v="0"/>
    <x v="10"/>
    <x v="4"/>
    <x v="5"/>
    <x v="4"/>
    <n v="1"/>
    <n v="4600"/>
    <x v="3"/>
    <n v="25"/>
    <s v="Valid"/>
    <s v="Match"/>
    <n v="4600"/>
    <n v="1150"/>
    <n v="3450"/>
    <n v="2841.24"/>
    <n v="608.76"/>
    <b v="0"/>
    <x v="0"/>
    <x v="2"/>
    <s v="Karan"/>
    <x v="4"/>
    <n v="4"/>
    <s v="Aug"/>
    <x v="0"/>
  </r>
  <r>
    <s v="ZAR-10806"/>
    <d v="2025-08-14T00:00:00"/>
    <x v="5"/>
    <d v="1899-12-30T14:36:00"/>
    <x v="6"/>
    <x v="2"/>
    <x v="8"/>
    <x v="4"/>
    <x v="7"/>
    <x v="0"/>
    <n v="2"/>
    <n v="4300"/>
    <x v="2"/>
    <n v="0"/>
    <s v="Valid"/>
    <s v="Match"/>
    <n v="8600"/>
    <n v="0"/>
    <n v="8600"/>
    <n v="5129.1000000000004"/>
    <n v="3470.9"/>
    <b v="0"/>
    <x v="0"/>
    <x v="1"/>
    <s v="Neha"/>
    <x v="6"/>
    <n v="5"/>
    <s v="Aug"/>
    <x v="4"/>
  </r>
  <r>
    <s v="ZAR-10729"/>
    <d v="2025-04-13T00:00:00"/>
    <x v="0"/>
    <d v="1899-12-30T05:18:00"/>
    <x v="3"/>
    <x v="0"/>
    <x v="6"/>
    <x v="7"/>
    <x v="5"/>
    <x v="1"/>
    <n v="1"/>
    <n v="20550"/>
    <x v="3"/>
    <n v="30"/>
    <s v="Valid"/>
    <s v="Match"/>
    <n v="20550"/>
    <n v="6165"/>
    <n v="14385"/>
    <n v="11537.06"/>
    <n v="2847.94"/>
    <b v="0"/>
    <x v="0"/>
    <x v="3"/>
    <s v="Sanjay"/>
    <x v="4"/>
    <n v="4"/>
    <s v="Apr"/>
    <x v="0"/>
  </r>
  <r>
    <s v="ZAR-10575"/>
    <d v="2025-10-30T00:00:00"/>
    <x v="4"/>
    <d v="1899-12-30T20:40:00"/>
    <x v="0"/>
    <x v="1"/>
    <x v="3"/>
    <x v="1"/>
    <x v="1"/>
    <x v="0"/>
    <n v="1"/>
    <n v="33650"/>
    <x v="1"/>
    <n v="5"/>
    <s v="Valid"/>
    <s v="Match"/>
    <n v="33650"/>
    <n v="1682.5"/>
    <n v="31967.5"/>
    <n v="18894.72"/>
    <n v="13072.78"/>
    <b v="0"/>
    <x v="0"/>
    <x v="1"/>
    <s v="Sanjay"/>
    <x v="2"/>
    <n v="4"/>
    <s v="Oct"/>
    <x v="4"/>
  </r>
  <r>
    <s v="ZAR-10408"/>
    <d v="2025-06-29T00:00:00"/>
    <x v="1"/>
    <d v="1899-12-30T00:05:00"/>
    <x v="0"/>
    <x v="0"/>
    <x v="2"/>
    <x v="0"/>
    <x v="8"/>
    <x v="4"/>
    <n v="1"/>
    <n v="98750"/>
    <x v="1"/>
    <n v="10"/>
    <s v="Valid"/>
    <s v="Match"/>
    <n v="98750"/>
    <n v="9875"/>
    <n v="88875"/>
    <n v="55364.39"/>
    <n v="33510.61"/>
    <b v="0"/>
    <x v="0"/>
    <x v="3"/>
    <s v="Meera"/>
    <x v="4"/>
    <n v="4"/>
    <s v="Jun"/>
    <x v="0"/>
  </r>
  <r>
    <s v="ZAR-10504"/>
    <d v="2025-08-06T00:00:00"/>
    <x v="5"/>
    <d v="1899-12-30T12:36:00"/>
    <x v="0"/>
    <x v="0"/>
    <x v="2"/>
    <x v="5"/>
    <x v="1"/>
    <x v="3"/>
    <n v="2"/>
    <n v="40150"/>
    <x v="0"/>
    <n v="15"/>
    <s v="Valid"/>
    <s v="Match"/>
    <n v="80300"/>
    <n v="12045"/>
    <n v="68255"/>
    <n v="45617.68"/>
    <n v="22637.32"/>
    <b v="0"/>
    <x v="0"/>
    <x v="4"/>
    <s v="Sanjay"/>
    <x v="5"/>
    <n v="3.5"/>
    <s v="Aug"/>
    <x v="1"/>
  </r>
  <r>
    <s v="ZAR-10049"/>
    <d v="2025-10-22T00:00:00"/>
    <x v="2"/>
    <d v="1899-12-30T18:01:00"/>
    <x v="6"/>
    <x v="2"/>
    <x v="14"/>
    <x v="2"/>
    <x v="3"/>
    <x v="1"/>
    <n v="1"/>
    <n v="2450"/>
    <x v="1"/>
    <n v="5"/>
    <s v="Valid"/>
    <s v="Match"/>
    <n v="2450"/>
    <n v="122.5"/>
    <n v="2327.5"/>
    <n v="1792.47"/>
    <n v="535.03"/>
    <b v="0"/>
    <x v="0"/>
    <x v="3"/>
    <s v="Karan"/>
    <x v="1"/>
    <n v="3.5"/>
    <s v="Oct"/>
    <x v="1"/>
  </r>
  <r>
    <s v="ZAR-10034"/>
    <d v="2025-01-14T00:00:00"/>
    <x v="1"/>
    <d v="1899-12-30T02:41:00"/>
    <x v="5"/>
    <x v="2"/>
    <x v="15"/>
    <x v="3"/>
    <x v="1"/>
    <x v="5"/>
    <n v="3"/>
    <n v="4050"/>
    <x v="0"/>
    <n v="20"/>
    <s v="Valid"/>
    <s v="Match"/>
    <n v="12150"/>
    <n v="2430"/>
    <n v="9720"/>
    <n v="7826.62"/>
    <n v="1893.38"/>
    <b v="0"/>
    <x v="0"/>
    <x v="4"/>
    <s v="Rohit"/>
    <x v="1"/>
    <n v="4"/>
    <s v="Jan"/>
    <x v="6"/>
  </r>
  <r>
    <s v="ZAR-10781"/>
    <d v="2025-07-19T00:00:00"/>
    <x v="1"/>
    <d v="1899-12-30T00:00:00"/>
    <x v="0"/>
    <x v="0"/>
    <x v="7"/>
    <x v="7"/>
    <x v="3"/>
    <x v="0"/>
    <n v="1"/>
    <n v="4500"/>
    <x v="1"/>
    <n v="10"/>
    <s v="Valid"/>
    <s v="Match"/>
    <n v="4500"/>
    <n v="450"/>
    <n v="4050"/>
    <n v="2346.29"/>
    <n v="1703.71"/>
    <b v="0"/>
    <x v="0"/>
    <x v="3"/>
    <s v="Sanjay"/>
    <x v="4"/>
    <n v="4.5"/>
    <s v="Jul"/>
    <x v="5"/>
  </r>
  <r>
    <s v="ZAR-10841"/>
    <d v="2025-05-06T00:00:00"/>
    <x v="0"/>
    <d v="1899-12-30T06:45:00"/>
    <x v="0"/>
    <x v="0"/>
    <x v="12"/>
    <x v="7"/>
    <x v="2"/>
    <x v="1"/>
    <n v="1"/>
    <s v="6600.0"/>
    <x v="3"/>
    <n v="25"/>
    <s v="Valid"/>
    <s v="Match"/>
    <n v="6600"/>
    <n v="1650"/>
    <n v="4950"/>
    <n v="4201.47"/>
    <n v="748.53"/>
    <b v="0"/>
    <x v="0"/>
    <x v="0"/>
    <s v="Neha"/>
    <x v="1"/>
    <n v="5"/>
    <s v="May"/>
    <x v="6"/>
  </r>
  <r>
    <s v="ZAR-10202"/>
    <d v="2025-07-29T00:00:00"/>
    <x v="4"/>
    <d v="1899-12-30T22:35:00"/>
    <x v="1"/>
    <x v="0"/>
    <x v="7"/>
    <x v="6"/>
    <x v="2"/>
    <x v="3"/>
    <n v="1"/>
    <n v="1200"/>
    <x v="1"/>
    <n v="5"/>
    <s v="Valid"/>
    <s v="Match"/>
    <n v="1200"/>
    <n v="60"/>
    <n v="1140"/>
    <n v="881.24"/>
    <n v="258.76"/>
    <b v="0"/>
    <x v="0"/>
    <x v="1"/>
    <s v="Ananya"/>
    <x v="2"/>
    <n v="4"/>
    <s v="Jul"/>
    <x v="6"/>
  </r>
  <r>
    <s v="ZAR-10136"/>
    <d v="2025-08-26T00:00:00"/>
    <x v="1"/>
    <d v="1899-12-30T01:35:00"/>
    <x v="5"/>
    <x v="1"/>
    <x v="9"/>
    <x v="7"/>
    <x v="5"/>
    <x v="3"/>
    <n v="1"/>
    <n v="7350"/>
    <x v="3"/>
    <n v="30"/>
    <s v="Valid"/>
    <s v="Match"/>
    <n v="7350"/>
    <n v="2205"/>
    <n v="5145"/>
    <n v="4966.1499999999996"/>
    <n v="178.85"/>
    <b v="0"/>
    <x v="0"/>
    <x v="2"/>
    <s v="Sanjay"/>
    <x v="3"/>
    <n v="3"/>
    <s v="Aug"/>
    <x v="6"/>
  </r>
  <r>
    <s v="ZAR-10029"/>
    <d v="2025-11-19T00:00:00"/>
    <x v="2"/>
    <d v="1899-12-30T18:12:00"/>
    <x v="1"/>
    <x v="0"/>
    <x v="2"/>
    <x v="4"/>
    <x v="2"/>
    <x v="1"/>
    <n v="2"/>
    <n v="44200"/>
    <x v="0"/>
    <n v="15"/>
    <s v="Valid"/>
    <s v="Match"/>
    <n v="88400"/>
    <n v="13260"/>
    <n v="75140"/>
    <n v="54028.05"/>
    <n v="21111.95"/>
    <b v="0"/>
    <x v="0"/>
    <x v="2"/>
    <s v="Meera"/>
    <x v="1"/>
    <n v="3.5"/>
    <s v="Nov"/>
    <x v="1"/>
  </r>
  <r>
    <s v="ZAR-10888"/>
    <d v="2025-09-11T00:00:00"/>
    <x v="0"/>
    <d v="1899-12-30T04:58:00"/>
    <x v="2"/>
    <x v="2"/>
    <x v="17"/>
    <x v="1"/>
    <x v="7"/>
    <x v="1"/>
    <n v="3"/>
    <n v="2700"/>
    <x v="0"/>
    <n v="20"/>
    <s v="Valid"/>
    <s v="Match"/>
    <n v="8100"/>
    <n v="1620"/>
    <n v="6480"/>
    <n v="5637.48"/>
    <n v="842.52"/>
    <b v="0"/>
    <x v="0"/>
    <x v="3"/>
    <s v="Karan"/>
    <x v="2"/>
    <n v="4"/>
    <s v="Sep"/>
    <x v="4"/>
  </r>
  <r>
    <s v="ZAR-10232"/>
    <d v="2025-12-19T00:00:00"/>
    <x v="4"/>
    <d v="1899-12-30T22:39:00"/>
    <x v="2"/>
    <x v="0"/>
    <x v="1"/>
    <x v="3"/>
    <x v="5"/>
    <x v="0"/>
    <n v="2"/>
    <n v="4400"/>
    <x v="1"/>
    <n v="10"/>
    <s v="Valid"/>
    <s v="Match"/>
    <n v="8800"/>
    <n v="880"/>
    <n v="7920"/>
    <n v="5580.98"/>
    <n v="2339.02"/>
    <b v="0"/>
    <x v="0"/>
    <x v="1"/>
    <s v="Meera"/>
    <x v="5"/>
    <n v="4"/>
    <s v="Dec"/>
    <x v="3"/>
  </r>
  <r>
    <s v="ZAR-10491"/>
    <d v="2025-08-10T00:00:00"/>
    <x v="1"/>
    <d v="1899-12-30T00:37:00"/>
    <x v="6"/>
    <x v="0"/>
    <x v="12"/>
    <x v="5"/>
    <x v="0"/>
    <x v="1"/>
    <n v="2"/>
    <n v="6400"/>
    <x v="2"/>
    <n v="0"/>
    <s v="Valid"/>
    <s v="Match"/>
    <n v="12800"/>
    <n v="0"/>
    <n v="12800"/>
    <n v="6734.49"/>
    <n v="6065.51"/>
    <b v="0"/>
    <x v="0"/>
    <x v="0"/>
    <s v="Rohit"/>
    <x v="3"/>
    <n v="3.5"/>
    <s v="Aug"/>
    <x v="0"/>
  </r>
  <r>
    <s v="ZAR-10774"/>
    <d v="2025-04-21T00:00:00"/>
    <x v="2"/>
    <d v="1899-12-30T19:32:00"/>
    <x v="5"/>
    <x v="0"/>
    <x v="7"/>
    <x v="7"/>
    <x v="3"/>
    <x v="4"/>
    <n v="1"/>
    <n v="4050"/>
    <x v="0"/>
    <n v="20"/>
    <s v="Valid"/>
    <s v="Match"/>
    <n v="4050"/>
    <n v="810"/>
    <n v="3240"/>
    <n v="2764.46"/>
    <n v="475.54"/>
    <b v="0"/>
    <x v="0"/>
    <x v="0"/>
    <s v="Karan"/>
    <x v="5"/>
    <n v="3.5"/>
    <s v="Apr"/>
    <x v="2"/>
  </r>
  <r>
    <s v="ZAR-10380"/>
    <d v="2025-10-27T00:00:00"/>
    <x v="5"/>
    <d v="1899-12-30T15:03:00"/>
    <x v="5"/>
    <x v="0"/>
    <x v="7"/>
    <x v="3"/>
    <x v="5"/>
    <x v="0"/>
    <n v="1"/>
    <n v="4400"/>
    <x v="1"/>
    <n v="5"/>
    <s v="Valid"/>
    <s v="Match"/>
    <n v="4400"/>
    <n v="220"/>
    <n v="4180"/>
    <n v="2359.1799999999998"/>
    <n v="1820.82"/>
    <b v="0"/>
    <x v="0"/>
    <x v="4"/>
    <s v="Rohit"/>
    <x v="1"/>
    <n v="3.5"/>
    <s v="Oct"/>
    <x v="2"/>
  </r>
  <r>
    <s v="ZAR-10290"/>
    <d v="2025-01-06T00:00:00"/>
    <x v="1"/>
    <d v="1899-12-30T00:33:00"/>
    <x v="6"/>
    <x v="0"/>
    <x v="4"/>
    <x v="4"/>
    <x v="8"/>
    <x v="2"/>
    <n v="1"/>
    <n v="23800"/>
    <x v="1"/>
    <n v="10"/>
    <s v="Valid"/>
    <s v="Match"/>
    <n v="23800"/>
    <n v="2380"/>
    <n v="21420"/>
    <n v="13191.34"/>
    <n v="8228.66"/>
    <b v="0"/>
    <x v="0"/>
    <x v="0"/>
    <s v="Meera"/>
    <x v="1"/>
    <n v="4"/>
    <s v="Jan"/>
    <x v="2"/>
  </r>
  <r>
    <s v="ZAR-10420"/>
    <d v="2025-05-17T00:00:00"/>
    <x v="1"/>
    <d v="1899-12-30T00:44:00"/>
    <x v="5"/>
    <x v="0"/>
    <x v="10"/>
    <x v="3"/>
    <x v="5"/>
    <x v="1"/>
    <n v="1"/>
    <n v="4900"/>
    <x v="0"/>
    <n v="20"/>
    <s v="Valid"/>
    <s v="Match"/>
    <n v="4900"/>
    <n v="980"/>
    <n v="3920"/>
    <n v="3519.72"/>
    <n v="400.28"/>
    <b v="0"/>
    <x v="0"/>
    <x v="4"/>
    <s v="Neha"/>
    <x v="2"/>
    <n v="4.5"/>
    <s v="May"/>
    <x v="5"/>
  </r>
  <r>
    <s v="ZAR-10676"/>
    <d v="2025-05-17T00:00:00"/>
    <x v="3"/>
    <d v="1899-12-30T10:44:00"/>
    <x v="4"/>
    <x v="0"/>
    <x v="12"/>
    <x v="2"/>
    <x v="5"/>
    <x v="0"/>
    <n v="1"/>
    <n v="12250"/>
    <x v="3"/>
    <n v="25"/>
    <s v="Valid"/>
    <s v="Match"/>
    <n v="12250"/>
    <n v="3062.5"/>
    <n v="9187.5"/>
    <n v="7028.13"/>
    <n v="2159.37"/>
    <b v="0"/>
    <x v="0"/>
    <x v="4"/>
    <s v="Ananya"/>
    <x v="6"/>
    <n v="5"/>
    <s v="May"/>
    <x v="5"/>
  </r>
  <r>
    <s v="ZAR-10393"/>
    <d v="2025-12-08T00:00:00"/>
    <x v="0"/>
    <d v="1899-12-30T04:10:00"/>
    <x v="0"/>
    <x v="1"/>
    <x v="16"/>
    <x v="1"/>
    <x v="5"/>
    <x v="0"/>
    <n v="1"/>
    <n v="2850"/>
    <x v="3"/>
    <n v="25"/>
    <s v="Valid"/>
    <s v="Match"/>
    <n v="2850"/>
    <n v="712.5"/>
    <n v="2137.5"/>
    <n v="1916.42"/>
    <n v="221.08"/>
    <b v="0"/>
    <x v="0"/>
    <x v="3"/>
    <s v="Karan"/>
    <x v="2"/>
    <n v="3"/>
    <s v="Dec"/>
    <x v="2"/>
  </r>
  <r>
    <s v="ZAR-10594"/>
    <d v="2025-12-01T00:00:00"/>
    <x v="0"/>
    <d v="1899-12-30T07:24:00"/>
    <x v="5"/>
    <x v="1"/>
    <x v="9"/>
    <x v="1"/>
    <x v="7"/>
    <x v="0"/>
    <n v="2"/>
    <n v="12400"/>
    <x v="1"/>
    <n v="5"/>
    <s v="Valid"/>
    <s v="Match"/>
    <n v="24800"/>
    <n v="1240"/>
    <n v="23560"/>
    <n v="17272.48"/>
    <n v="6287.52"/>
    <b v="0"/>
    <x v="0"/>
    <x v="0"/>
    <s v="Ananya"/>
    <x v="5"/>
    <n v="4.5"/>
    <s v="Dec"/>
    <x v="2"/>
  </r>
  <r>
    <s v="ZAR-10500"/>
    <d v="2025-05-15T00:00:00"/>
    <x v="1"/>
    <d v="1899-12-30T03:01:00"/>
    <x v="6"/>
    <x v="1"/>
    <x v="16"/>
    <x v="1"/>
    <x v="3"/>
    <x v="1"/>
    <n v="1"/>
    <n v="6650"/>
    <x v="1"/>
    <n v="5"/>
    <s v="Valid"/>
    <s v="Match"/>
    <n v="6650"/>
    <n v="332.5"/>
    <n v="6317.5"/>
    <n v="3489.44"/>
    <n v="2828.06"/>
    <b v="0"/>
    <x v="0"/>
    <x v="4"/>
    <s v="Sanjay"/>
    <x v="6"/>
    <n v="4"/>
    <s v="May"/>
    <x v="4"/>
  </r>
  <r>
    <s v="ZAR-10140"/>
    <d v="2025-07-14T00:00:00"/>
    <x v="2"/>
    <d v="1899-12-30T18:53:00"/>
    <x v="0"/>
    <x v="2"/>
    <x v="15"/>
    <x v="2"/>
    <x v="8"/>
    <x v="0"/>
    <n v="1"/>
    <n v="4800"/>
    <x v="1"/>
    <n v="5"/>
    <s v="Valid"/>
    <s v="Match"/>
    <n v="4800"/>
    <n v="240"/>
    <n v="4560"/>
    <n v="2844.34"/>
    <n v="1715.66"/>
    <b v="0"/>
    <x v="0"/>
    <x v="0"/>
    <s v="Sanjay"/>
    <x v="6"/>
    <n v="4"/>
    <s v="Jul"/>
    <x v="2"/>
  </r>
  <r>
    <s v="ZAR-10064"/>
    <d v="2025-02-08T00:00:00"/>
    <x v="0"/>
    <d v="1899-12-30T04:48:00"/>
    <x v="0"/>
    <x v="2"/>
    <x v="14"/>
    <x v="7"/>
    <x v="7"/>
    <x v="4"/>
    <n v="1"/>
    <n v="2850"/>
    <x v="2"/>
    <n v="0"/>
    <s v="Valid"/>
    <s v="Match"/>
    <n v="2850"/>
    <n v="0"/>
    <n v="2850"/>
    <n v="1775.64"/>
    <n v="1074.3599999999999"/>
    <b v="0"/>
    <x v="0"/>
    <x v="2"/>
    <s v="Meera"/>
    <x v="1"/>
    <n v="4.5"/>
    <s v="Feb"/>
    <x v="5"/>
  </r>
  <r>
    <s v="ZAR-10473"/>
    <d v="2025-06-06T00:00:00"/>
    <x v="3"/>
    <d v="1899-12-30T11:19:00"/>
    <x v="3"/>
    <x v="0"/>
    <x v="12"/>
    <x v="3"/>
    <x v="3"/>
    <x v="0"/>
    <n v="1"/>
    <n v="9650"/>
    <x v="4"/>
    <s v="5"/>
    <s v="Invalid Discount"/>
    <s v="Match"/>
    <n v="9650"/>
    <n v="482.5"/>
    <n v="9167.5"/>
    <n v="5267.97"/>
    <n v="3899.53"/>
    <b v="0"/>
    <x v="0"/>
    <x v="2"/>
    <s v="Priya"/>
    <x v="3"/>
    <n v="4.5"/>
    <s v="Jun"/>
    <x v="3"/>
  </r>
  <r>
    <s v="ZAR-10649"/>
    <d v="2025-08-19T00:00:00"/>
    <x v="2"/>
    <d v="1899-12-30T16:11:00"/>
    <x v="7"/>
    <x v="0"/>
    <x v="7"/>
    <x v="6"/>
    <x v="0"/>
    <x v="4"/>
    <n v="4"/>
    <n v="3350"/>
    <x v="3"/>
    <n v="25"/>
    <s v="Valid"/>
    <s v="Match"/>
    <n v="13400"/>
    <n v="3350"/>
    <n v="10050"/>
    <n v="8969.11"/>
    <n v="1080.8900000000001"/>
    <b v="0"/>
    <x v="0"/>
    <x v="4"/>
    <s v="Rohit"/>
    <x v="2"/>
    <n v="4"/>
    <s v="Aug"/>
    <x v="6"/>
  </r>
  <r>
    <s v="ZAR-10130"/>
    <d v="2025-10-24T00:00:00"/>
    <x v="1"/>
    <d v="1899-12-30T02:02:00"/>
    <x v="5"/>
    <x v="1"/>
    <x v="18"/>
    <x v="2"/>
    <x v="3"/>
    <x v="0"/>
    <n v="1"/>
    <n v="850"/>
    <x v="2"/>
    <n v="0"/>
    <s v="Valid"/>
    <s v="Match"/>
    <n v="850"/>
    <n v="0"/>
    <n v="850"/>
    <n v="581.47"/>
    <n v="268.52999999999997"/>
    <b v="0"/>
    <x v="0"/>
    <x v="2"/>
    <s v="Priya"/>
    <x v="1"/>
    <n v="3"/>
    <s v="Oct"/>
    <x v="3"/>
  </r>
  <r>
    <s v="ZAR-10986"/>
    <d v="2025-10-13T00:00:00"/>
    <x v="5"/>
    <d v="1899-12-30T14:39:00"/>
    <x v="3"/>
    <x v="1"/>
    <x v="3"/>
    <x v="5"/>
    <x v="2"/>
    <x v="2"/>
    <n v="1"/>
    <n v="22450"/>
    <x v="0"/>
    <n v="20"/>
    <s v="Valid"/>
    <s v="Match"/>
    <n v="22450"/>
    <n v="4490"/>
    <n v="17960"/>
    <n v="15901.91"/>
    <n v="2058.09"/>
    <b v="0"/>
    <x v="0"/>
    <x v="2"/>
    <s v="Priya"/>
    <x v="2"/>
    <n v="3.5"/>
    <s v="Oct"/>
    <x v="2"/>
  </r>
  <r>
    <s v="ZAR-10522"/>
    <d v="2025-04-20T00:00:00"/>
    <x v="1"/>
    <d v="1899-12-30T03:22:00"/>
    <x v="3"/>
    <x v="1"/>
    <x v="13"/>
    <x v="3"/>
    <x v="1"/>
    <x v="0"/>
    <n v="2"/>
    <n v="2900"/>
    <x v="0"/>
    <n v="15"/>
    <s v="Valid"/>
    <s v="Match"/>
    <n v="5800"/>
    <n v="870"/>
    <n v="4930"/>
    <n v="3170.15"/>
    <n v="1759.85"/>
    <b v="0"/>
    <x v="0"/>
    <x v="1"/>
    <s v="Sanjay"/>
    <x v="6"/>
    <n v="3"/>
    <s v="Apr"/>
    <x v="0"/>
  </r>
  <r>
    <s v="ZAR-10840"/>
    <d v="2025-04-27T00:00:00"/>
    <x v="5"/>
    <d v="1899-12-30T12:08:00"/>
    <x v="6"/>
    <x v="0"/>
    <x v="0"/>
    <x v="2"/>
    <x v="5"/>
    <x v="1"/>
    <n v="1"/>
    <n v="2850"/>
    <x v="3"/>
    <n v="25"/>
    <s v="Valid"/>
    <s v="Match"/>
    <n v="2850"/>
    <n v="712.5"/>
    <n v="2137.5"/>
    <n v="2033.64"/>
    <n v="103.86"/>
    <b v="0"/>
    <x v="0"/>
    <x v="0"/>
    <s v="Sanjay"/>
    <x v="1"/>
    <n v="4"/>
    <s v="Apr"/>
    <x v="0"/>
  </r>
  <r>
    <s v="ZAR-10972"/>
    <d v="2025-12-19T00:00:00"/>
    <x v="3"/>
    <d v="1899-12-30T08:34:00"/>
    <x v="0"/>
    <x v="1"/>
    <x v="13"/>
    <x v="1"/>
    <x v="3"/>
    <x v="1"/>
    <n v="3"/>
    <n v="5700"/>
    <x v="1"/>
    <n v="5"/>
    <s v="Valid"/>
    <s v="Match"/>
    <n v="17100"/>
    <n v="855"/>
    <n v="16245"/>
    <n v="9058.17"/>
    <n v="7186.83"/>
    <b v="0"/>
    <x v="0"/>
    <x v="0"/>
    <s v="Priya"/>
    <x v="2"/>
    <n v="4"/>
    <s v="Dec"/>
    <x v="3"/>
  </r>
  <r>
    <s v="ZAR-10814"/>
    <d v="2025-02-09T00:00:00"/>
    <x v="4"/>
    <d v="1899-12-30T22:08:00"/>
    <x v="3"/>
    <x v="0"/>
    <x v="12"/>
    <x v="0"/>
    <x v="3"/>
    <x v="4"/>
    <n v="3"/>
    <n v="13750"/>
    <x v="1"/>
    <n v="10"/>
    <s v="Valid"/>
    <s v="Match"/>
    <n v="41250"/>
    <n v="4125"/>
    <n v="37125"/>
    <n v="26353.85"/>
    <n v="10771.15"/>
    <b v="0"/>
    <x v="0"/>
    <x v="2"/>
    <s v="Meera"/>
    <x v="5"/>
    <n v="4.5"/>
    <s v="Feb"/>
    <x v="0"/>
  </r>
  <r>
    <s v="ZAR-10016"/>
    <d v="2025-08-21T00:00:00"/>
    <x v="3"/>
    <d v="1899-12-30T09:27:00"/>
    <x v="1"/>
    <x v="2"/>
    <x v="11"/>
    <x v="1"/>
    <x v="7"/>
    <x v="3"/>
    <n v="1"/>
    <n v="4050"/>
    <x v="0"/>
    <n v="15"/>
    <s v="Valid"/>
    <s v="Match"/>
    <n v="4050"/>
    <n v="607.5"/>
    <n v="3442.5"/>
    <n v="2342.3000000000002"/>
    <n v="1100.2"/>
    <b v="0"/>
    <x v="0"/>
    <x v="4"/>
    <s v="Rohit"/>
    <x v="2"/>
    <n v="3.5"/>
    <s v="Aug"/>
    <x v="4"/>
  </r>
  <r>
    <s v="ZAR-10158"/>
    <d v="2025-09-01T00:00:00"/>
    <x v="1"/>
    <d v="1899-12-30T03:28:00"/>
    <x v="1"/>
    <x v="0"/>
    <x v="0"/>
    <x v="5"/>
    <x v="0"/>
    <x v="1"/>
    <n v="2"/>
    <n v="4250"/>
    <x v="0"/>
    <n v="20"/>
    <s v="Valid"/>
    <s v="Match"/>
    <n v="8500"/>
    <n v="1700"/>
    <n v="6800"/>
    <n v="5323.07"/>
    <n v="1476.93"/>
    <b v="0"/>
    <x v="0"/>
    <x v="2"/>
    <s v="Meera"/>
    <x v="3"/>
    <n v="3"/>
    <s v="Sep"/>
    <x v="2"/>
  </r>
  <r>
    <s v="ZAR-10042"/>
    <d v="2025-06-11T00:00:00"/>
    <x v="1"/>
    <d v="1899-12-30T03:47:00"/>
    <x v="4"/>
    <x v="0"/>
    <x v="10"/>
    <x v="2"/>
    <x v="3"/>
    <x v="3"/>
    <n v="1"/>
    <n v="2550"/>
    <x v="2"/>
    <n v="0"/>
    <s v="Valid"/>
    <s v="Match"/>
    <n v="2550"/>
    <n v="0"/>
    <n v="2550"/>
    <n v="1730.64"/>
    <n v="819.36"/>
    <b v="0"/>
    <x v="0"/>
    <x v="4"/>
    <s v="Karan"/>
    <x v="5"/>
    <n v="3.5"/>
    <s v="Jun"/>
    <x v="1"/>
  </r>
  <r>
    <s v="ZAR-10494"/>
    <d v="2025-11-30T00:00:00"/>
    <x v="4"/>
    <d v="1899-12-30T21:50:00"/>
    <x v="2"/>
    <x v="0"/>
    <x v="2"/>
    <x v="5"/>
    <x v="2"/>
    <x v="0"/>
    <n v="2"/>
    <n v="66500"/>
    <x v="4"/>
    <s v="20"/>
    <s v="Invalid Discount"/>
    <s v="Match"/>
    <n v="133000"/>
    <n v="26600"/>
    <n v="106400"/>
    <n v="72123.39"/>
    <n v="34276.61"/>
    <b v="0"/>
    <x v="0"/>
    <x v="2"/>
    <s v="Neha"/>
    <x v="4"/>
    <n v="3"/>
    <s v="Nov"/>
    <x v="0"/>
  </r>
  <r>
    <s v="ZAR-10381"/>
    <d v="2025-12-21T00:00:00"/>
    <x v="2"/>
    <d v="1899-12-30T18:03:00"/>
    <x v="3"/>
    <x v="1"/>
    <x v="18"/>
    <x v="0"/>
    <x v="7"/>
    <x v="0"/>
    <n v="1"/>
    <n v="1950"/>
    <x v="1"/>
    <n v="10"/>
    <s v="Valid"/>
    <s v="Match"/>
    <n v="1950"/>
    <n v="195"/>
    <n v="1755"/>
    <n v="1068.57"/>
    <n v="686.43"/>
    <b v="0"/>
    <x v="0"/>
    <x v="4"/>
    <s v="Rohit"/>
    <x v="3"/>
    <n v="4"/>
    <s v="Dec"/>
    <x v="0"/>
  </r>
  <r>
    <s v="ZAR-10189"/>
    <d v="2025-08-25T00:00:00"/>
    <x v="1"/>
    <d v="1899-12-30T03:51:00"/>
    <x v="6"/>
    <x v="0"/>
    <x v="7"/>
    <x v="1"/>
    <x v="3"/>
    <x v="0"/>
    <n v="2"/>
    <n v="4350"/>
    <x v="0"/>
    <n v="20"/>
    <s v="Valid"/>
    <s v="Match"/>
    <n v="8700"/>
    <n v="1740"/>
    <n v="6960"/>
    <n v="5002.22"/>
    <n v="1957.78"/>
    <b v="0"/>
    <x v="0"/>
    <x v="0"/>
    <s v="Priya"/>
    <x v="4"/>
    <n v="3.5"/>
    <s v="Aug"/>
    <x v="2"/>
  </r>
  <r>
    <s v="ZAR-10765"/>
    <d v="2025-10-01T00:00:00"/>
    <x v="2"/>
    <d v="1899-12-30T17:55:00"/>
    <x v="2"/>
    <x v="0"/>
    <x v="4"/>
    <x v="6"/>
    <x v="2"/>
    <x v="3"/>
    <n v="1"/>
    <n v="43200"/>
    <x v="1"/>
    <n v="10"/>
    <s v="Valid"/>
    <s v="Match"/>
    <n v="43200"/>
    <n v="4320"/>
    <n v="38880"/>
    <n v="27722.42"/>
    <n v="11157.58"/>
    <b v="0"/>
    <x v="0"/>
    <x v="1"/>
    <s v="Karan"/>
    <x v="4"/>
    <n v="3.5"/>
    <s v="Oct"/>
    <x v="1"/>
  </r>
  <r>
    <s v="ZAR-10218"/>
    <d v="2025-09-01T00:00:00"/>
    <x v="4"/>
    <d v="1899-12-30T21:22:00"/>
    <x v="4"/>
    <x v="0"/>
    <x v="1"/>
    <x v="2"/>
    <x v="2"/>
    <x v="0"/>
    <n v="2"/>
    <n v="2000"/>
    <x v="3"/>
    <n v="25"/>
    <s v="Valid"/>
    <s v="Match"/>
    <n v="4000"/>
    <n v="1000"/>
    <n v="3000"/>
    <n v="2550.48"/>
    <n v="449.52"/>
    <b v="0"/>
    <x v="0"/>
    <x v="1"/>
    <s v="Karan"/>
    <x v="3"/>
    <n v="2.5"/>
    <s v="Sep"/>
    <x v="2"/>
  </r>
  <r>
    <s v="ZAR-10793"/>
    <d v="2025-11-21T00:00:00"/>
    <x v="1"/>
    <d v="1899-12-30T01:53:00"/>
    <x v="6"/>
    <x v="1"/>
    <x v="9"/>
    <x v="2"/>
    <x v="3"/>
    <x v="0"/>
    <n v="2"/>
    <n v="12850"/>
    <x v="1"/>
    <n v="5"/>
    <s v="Valid"/>
    <s v="Match"/>
    <n v="25700"/>
    <n v="1285"/>
    <n v="24415"/>
    <n v="13444.98"/>
    <n v="10970.02"/>
    <b v="0"/>
    <x v="0"/>
    <x v="0"/>
    <s v="Meera"/>
    <x v="3"/>
    <n v="4.5"/>
    <s v="Nov"/>
    <x v="3"/>
  </r>
  <r>
    <s v="ZAR-10054"/>
    <d v="2025-02-05T00:00:00"/>
    <x v="3"/>
    <d v="1899-12-30T08:49:00"/>
    <x v="6"/>
    <x v="0"/>
    <x v="7"/>
    <x v="6"/>
    <x v="4"/>
    <x v="4"/>
    <n v="2"/>
    <n v="1350"/>
    <x v="3"/>
    <n v="25"/>
    <s v="Valid"/>
    <s v="Match"/>
    <n v="2700"/>
    <n v="675"/>
    <n v="2025"/>
    <n v="1926.32"/>
    <n v="98.68"/>
    <b v="0"/>
    <x v="0"/>
    <x v="4"/>
    <s v="Meera"/>
    <x v="5"/>
    <n v="4"/>
    <s v="Feb"/>
    <x v="1"/>
  </r>
  <r>
    <s v="ZAR-10880"/>
    <d v="2025-02-27T00:00:00"/>
    <x v="1"/>
    <d v="1899-12-30T02:46:00"/>
    <x v="0"/>
    <x v="1"/>
    <x v="18"/>
    <x v="4"/>
    <x v="1"/>
    <x v="0"/>
    <n v="3"/>
    <n v="3350"/>
    <x v="0"/>
    <n v="15"/>
    <s v="Valid"/>
    <s v="Match"/>
    <n v="10050"/>
    <n v="1507.5"/>
    <n v="8542.5"/>
    <n v="5612"/>
    <n v="2930.5"/>
    <b v="0"/>
    <x v="0"/>
    <x v="3"/>
    <s v="Sanjay"/>
    <x v="2"/>
    <n v="4"/>
    <s v="Feb"/>
    <x v="4"/>
  </r>
  <r>
    <s v="ZAR-10339"/>
    <d v="2025-12-30T00:00:00"/>
    <x v="1"/>
    <d v="1899-12-30T01:17:00"/>
    <x v="5"/>
    <x v="0"/>
    <x v="4"/>
    <x v="6"/>
    <x v="8"/>
    <x v="0"/>
    <n v="2"/>
    <n v="39850"/>
    <x v="3"/>
    <n v="25"/>
    <s v="Valid"/>
    <s v="Match"/>
    <n v="79700"/>
    <n v="19925"/>
    <n v="59775"/>
    <n v="56485.01"/>
    <n v="3289.99"/>
    <b v="0"/>
    <x v="0"/>
    <x v="1"/>
    <s v="Neha"/>
    <x v="3"/>
    <n v="4"/>
    <s v="Dec"/>
    <x v="6"/>
  </r>
  <r>
    <s v="ZAR-10750"/>
    <d v="2025-09-29T00:00:00"/>
    <x v="3"/>
    <d v="1899-12-30T11:19:00"/>
    <x v="3"/>
    <x v="0"/>
    <x v="4"/>
    <x v="0"/>
    <x v="3"/>
    <x v="2"/>
    <n v="2"/>
    <n v="31000"/>
    <x v="1"/>
    <n v="10"/>
    <s v="Valid"/>
    <s v="Match"/>
    <n v="62000"/>
    <n v="6200"/>
    <n v="55800"/>
    <n v="33373.370000000003"/>
    <n v="22426.63"/>
    <b v="0"/>
    <x v="0"/>
    <x v="3"/>
    <s v="Neha"/>
    <x v="6"/>
    <n v="3"/>
    <s v="Sep"/>
    <x v="2"/>
  </r>
  <r>
    <s v="ZAR-10721"/>
    <d v="2025-08-11T00:00:00"/>
    <x v="4"/>
    <d v="1899-12-30T20:22:00"/>
    <x v="0"/>
    <x v="0"/>
    <x v="10"/>
    <x v="7"/>
    <x v="5"/>
    <x v="0"/>
    <n v="1"/>
    <n v="5150"/>
    <x v="2"/>
    <n v="0"/>
    <s v="Valid"/>
    <s v="Match"/>
    <n v="5150"/>
    <n v="0"/>
    <n v="5150"/>
    <n v="3310.11"/>
    <n v="1839.89"/>
    <b v="0"/>
    <x v="0"/>
    <x v="0"/>
    <s v="Rohit"/>
    <x v="5"/>
    <n v="5"/>
    <s v="Aug"/>
    <x v="2"/>
  </r>
  <r>
    <s v="ZAR-10726"/>
    <d v="2025-08-16T00:00:00"/>
    <x v="1"/>
    <d v="1899-12-30T01:17:00"/>
    <x v="4"/>
    <x v="0"/>
    <x v="2"/>
    <x v="4"/>
    <x v="2"/>
    <x v="0"/>
    <n v="1"/>
    <n v="24950"/>
    <x v="1"/>
    <n v="10"/>
    <s v="Valid"/>
    <s v="Match"/>
    <n v="24950"/>
    <n v="2495"/>
    <n v="22455"/>
    <n v="13434.9"/>
    <n v="9020.1"/>
    <b v="0"/>
    <x v="0"/>
    <x v="4"/>
    <s v="Priya"/>
    <x v="5"/>
    <n v="5"/>
    <s v="Aug"/>
    <x v="5"/>
  </r>
  <r>
    <s v="ZAR-10297"/>
    <d v="2025-03-27T00:00:00"/>
    <x v="3"/>
    <d v="1899-12-30T08:37:00"/>
    <x v="2"/>
    <x v="2"/>
    <x v="17"/>
    <x v="2"/>
    <x v="3"/>
    <x v="0"/>
    <n v="1"/>
    <n v="3450"/>
    <x v="0"/>
    <n v="15"/>
    <s v="Valid"/>
    <s v="Match"/>
    <n v="3450"/>
    <n v="517.5"/>
    <n v="2932.5"/>
    <n v="2040.31"/>
    <n v="892.19"/>
    <b v="0"/>
    <x v="0"/>
    <x v="3"/>
    <s v="Rohit"/>
    <x v="3"/>
    <n v="4.5"/>
    <s v="Mar"/>
    <x v="4"/>
  </r>
  <r>
    <s v="ZAR-10703"/>
    <d v="2025-07-29T00:00:00"/>
    <x v="1"/>
    <d v="1899-12-30T01:35:00"/>
    <x v="6"/>
    <x v="0"/>
    <x v="1"/>
    <x v="2"/>
    <x v="5"/>
    <x v="0"/>
    <n v="1"/>
    <n v="800"/>
    <x v="1"/>
    <n v="5"/>
    <s v="Valid"/>
    <s v="Match"/>
    <n v="800"/>
    <n v="40"/>
    <n v="760"/>
    <n v="572.61"/>
    <n v="187.39"/>
    <b v="0"/>
    <x v="0"/>
    <x v="0"/>
    <s v="Sanjay"/>
    <x v="3"/>
    <n v="4"/>
    <s v="Jul"/>
    <x v="6"/>
  </r>
  <r>
    <s v="ZAR-10253"/>
    <d v="2025-03-05T00:00:00"/>
    <x v="1"/>
    <d v="1899-12-30T01:00:00"/>
    <x v="4"/>
    <x v="2"/>
    <x v="14"/>
    <x v="1"/>
    <x v="3"/>
    <x v="1"/>
    <n v="1"/>
    <n v="3400"/>
    <x v="3"/>
    <n v="30"/>
    <s v="Valid"/>
    <s v="Match"/>
    <n v="3400"/>
    <n v="1020"/>
    <n v="2380"/>
    <n v="2183.19"/>
    <n v="196.81"/>
    <b v="0"/>
    <x v="0"/>
    <x v="0"/>
    <s v="Karan"/>
    <x v="5"/>
    <n v="3.5"/>
    <s v="Mar"/>
    <x v="1"/>
  </r>
  <r>
    <s v="ZAR-10728"/>
    <d v="2025-12-15T00:00:00"/>
    <x v="4"/>
    <d v="1899-12-30T20:57:00"/>
    <x v="6"/>
    <x v="0"/>
    <x v="12"/>
    <x v="4"/>
    <x v="3"/>
    <x v="0"/>
    <n v="3"/>
    <n v="8250"/>
    <x v="1"/>
    <n v="5"/>
    <s v="Valid"/>
    <s v="Match"/>
    <n v="24750"/>
    <n v="1237.5"/>
    <n v="23512.5"/>
    <n v="14545.87"/>
    <n v="8966.6299999999992"/>
    <b v="0"/>
    <x v="0"/>
    <x v="0"/>
    <s v="Karan"/>
    <x v="3"/>
    <n v="4"/>
    <s v="Dec"/>
    <x v="2"/>
  </r>
  <r>
    <s v="ZAR-10463"/>
    <d v="2025-01-04T00:00:00"/>
    <x v="0"/>
    <d v="1899-12-30T07:53:00"/>
    <x v="6"/>
    <x v="0"/>
    <x v="6"/>
    <x v="6"/>
    <x v="3"/>
    <x v="0"/>
    <n v="1"/>
    <n v="5900"/>
    <x v="0"/>
    <n v="15"/>
    <s v="Valid"/>
    <s v="Match"/>
    <n v="5900"/>
    <n v="885"/>
    <n v="5015"/>
    <n v="4066.45"/>
    <n v="948.55"/>
    <b v="0"/>
    <x v="0"/>
    <x v="4"/>
    <s v="Karan"/>
    <x v="1"/>
    <n v="3"/>
    <s v="Jan"/>
    <x v="5"/>
  </r>
  <r>
    <s v="ZAR-10457"/>
    <d v="2025-08-02T00:00:00"/>
    <x v="5"/>
    <d v="1899-12-30T15:07:00"/>
    <x v="5"/>
    <x v="0"/>
    <x v="7"/>
    <x v="3"/>
    <x v="5"/>
    <x v="7"/>
    <n v="2"/>
    <n v="3100"/>
    <x v="1"/>
    <n v="10"/>
    <s v="Valid"/>
    <s v="Match"/>
    <n v="6200"/>
    <n v="620"/>
    <n v="5580"/>
    <n v="4441.88"/>
    <n v="1138.1199999999999"/>
    <b v="0"/>
    <x v="0"/>
    <x v="2"/>
    <s v="Rohit"/>
    <x v="3"/>
    <n v="5"/>
    <s v="Aug"/>
    <x v="5"/>
  </r>
  <r>
    <s v="ZAR-10817"/>
    <d v="2025-08-09T00:00:00"/>
    <x v="4"/>
    <d v="1899-12-30T22:48:00"/>
    <x v="0"/>
    <x v="0"/>
    <x v="0"/>
    <x v="6"/>
    <x v="5"/>
    <x v="3"/>
    <n v="2"/>
    <n v="8600"/>
    <x v="3"/>
    <n v="25"/>
    <s v="Valid"/>
    <s v="Match"/>
    <n v="17200"/>
    <n v="4300"/>
    <n v="12900"/>
    <n v="11205.84"/>
    <n v="1694.16"/>
    <b v="0"/>
    <x v="0"/>
    <x v="4"/>
    <s v="Rohit"/>
    <x v="5"/>
    <n v="4"/>
    <s v="Aug"/>
    <x v="5"/>
  </r>
  <r>
    <s v="ZAR-10864"/>
    <d v="2025-09-01T00:00:00"/>
    <x v="3"/>
    <d v="1899-12-30T08:35:00"/>
    <x v="3"/>
    <x v="0"/>
    <x v="12"/>
    <x v="7"/>
    <x v="3"/>
    <x v="1"/>
    <n v="3"/>
    <n v="11100"/>
    <x v="1"/>
    <n v="10"/>
    <s v="Valid"/>
    <s v="Match"/>
    <n v="33300"/>
    <n v="3330"/>
    <n v="29970"/>
    <n v="21959.74"/>
    <n v="8010.26"/>
    <b v="0"/>
    <x v="0"/>
    <x v="3"/>
    <s v="Rohit"/>
    <x v="4"/>
    <n v="3.5"/>
    <s v="Sep"/>
    <x v="2"/>
  </r>
  <r>
    <s v="ZAR-10271"/>
    <d v="2025-12-25T00:00:00"/>
    <x v="0"/>
    <d v="1899-12-30T05:06:00"/>
    <x v="0"/>
    <x v="0"/>
    <x v="6"/>
    <x v="4"/>
    <x v="4"/>
    <x v="0"/>
    <n v="2"/>
    <n v="30200"/>
    <x v="3"/>
    <n v="25"/>
    <s v="Valid"/>
    <s v="Match"/>
    <n v="60400"/>
    <n v="15100"/>
    <n v="45300"/>
    <n v="34461.199999999997"/>
    <n v="10838.8"/>
    <b v="0"/>
    <x v="0"/>
    <x v="1"/>
    <s v="Sanjay"/>
    <x v="4"/>
    <n v="4.5"/>
    <s v="Dec"/>
    <x v="4"/>
  </r>
  <r>
    <s v="ZAR-10203"/>
    <d v="2025-12-05T00:00:00"/>
    <x v="4"/>
    <d v="1899-12-30T20:38:00"/>
    <x v="5"/>
    <x v="0"/>
    <x v="10"/>
    <x v="6"/>
    <x v="3"/>
    <x v="0"/>
    <n v="1"/>
    <n v="1850"/>
    <x v="0"/>
    <n v="15"/>
    <s v="Valid"/>
    <s v="Match"/>
    <n v="1850"/>
    <n v="277.5"/>
    <n v="1572.5"/>
    <n v="997.66"/>
    <n v="574.84"/>
    <b v="0"/>
    <x v="0"/>
    <x v="2"/>
    <s v="Sanjay"/>
    <x v="2"/>
    <n v="5"/>
    <s v="Dec"/>
    <x v="3"/>
  </r>
  <r>
    <s v="ZAR-10163"/>
    <d v="2025-04-10T00:00:00"/>
    <x v="5"/>
    <d v="1899-12-30T12:35:00"/>
    <x v="4"/>
    <x v="0"/>
    <x v="10"/>
    <x v="2"/>
    <x v="5"/>
    <x v="1"/>
    <n v="3"/>
    <n v="4700"/>
    <x v="2"/>
    <n v="0"/>
    <s v="Valid"/>
    <s v="Match"/>
    <n v="14100"/>
    <n v="0"/>
    <n v="14100"/>
    <n v="8835.26"/>
    <n v="5264.74"/>
    <b v="0"/>
    <x v="0"/>
    <x v="0"/>
    <s v="Rohit"/>
    <x v="2"/>
    <n v="4"/>
    <s v="Apr"/>
    <x v="4"/>
  </r>
  <r>
    <s v="ZAR-10557"/>
    <d v="2025-01-24T00:00:00"/>
    <x v="2"/>
    <d v="1899-12-30T16:57:00"/>
    <x v="6"/>
    <x v="2"/>
    <x v="17"/>
    <x v="2"/>
    <x v="5"/>
    <x v="0"/>
    <n v="4"/>
    <n v="1900"/>
    <x v="2"/>
    <n v="0"/>
    <s v="Valid"/>
    <s v="Match"/>
    <n v="7600"/>
    <n v="0"/>
    <n v="7600"/>
    <n v="4367.22"/>
    <n v="3232.78"/>
    <b v="0"/>
    <x v="0"/>
    <x v="4"/>
    <s v="Neha"/>
    <x v="3"/>
    <n v="4.5"/>
    <s v="Jan"/>
    <x v="3"/>
  </r>
  <r>
    <s v="ZAR-10731"/>
    <d v="2025-01-17T00:00:00"/>
    <x v="1"/>
    <d v="1899-12-30T03:33:00"/>
    <x v="1"/>
    <x v="1"/>
    <x v="3"/>
    <x v="7"/>
    <x v="3"/>
    <x v="1"/>
    <n v="1"/>
    <n v="26500"/>
    <x v="1"/>
    <n v="5"/>
    <s v="Valid"/>
    <s v="Match"/>
    <n v="26500"/>
    <n v="1325"/>
    <n v="25175"/>
    <n v="16506.62"/>
    <n v="8668.3799999999992"/>
    <b v="0"/>
    <x v="0"/>
    <x v="4"/>
    <s v="Neha"/>
    <x v="1"/>
    <s v="Not Rated"/>
    <s v="Jan"/>
    <x v="3"/>
  </r>
  <r>
    <s v="ZAR-10403"/>
    <d v="2025-09-29T00:00:00"/>
    <x v="4"/>
    <d v="1899-12-30T20:59:00"/>
    <x v="2"/>
    <x v="0"/>
    <x v="7"/>
    <x v="0"/>
    <x v="3"/>
    <x v="0"/>
    <n v="4"/>
    <n v="3350"/>
    <x v="2"/>
    <n v="0"/>
    <s v="Valid"/>
    <s v="Match"/>
    <n v="13400"/>
    <n v="0"/>
    <n v="13400"/>
    <n v="7822.5"/>
    <n v="5577.5"/>
    <b v="0"/>
    <x v="0"/>
    <x v="3"/>
    <s v="Priya"/>
    <x v="3"/>
    <n v="3"/>
    <s v="Sep"/>
    <x v="2"/>
  </r>
  <r>
    <s v="ZAR-10704"/>
    <d v="2025-06-07T00:00:00"/>
    <x v="5"/>
    <d v="1899-12-30T14:26:00"/>
    <x v="0"/>
    <x v="2"/>
    <x v="14"/>
    <x v="0"/>
    <x v="5"/>
    <x v="1"/>
    <n v="1"/>
    <n v="2150"/>
    <x v="3"/>
    <n v="25"/>
    <s v="Valid"/>
    <s v="Match"/>
    <n v="2150"/>
    <n v="537.5"/>
    <n v="1612.5"/>
    <n v="1505.16"/>
    <n v="107.34"/>
    <b v="0"/>
    <x v="0"/>
    <x v="3"/>
    <s v="Neha"/>
    <x v="2"/>
    <n v="3.5"/>
    <s v="Jun"/>
    <x v="5"/>
  </r>
  <r>
    <s v="ZAR-10478"/>
    <d v="2025-02-16T00:00:00"/>
    <x v="1"/>
    <d v="1899-12-30T03:06:00"/>
    <x v="4"/>
    <x v="0"/>
    <x v="6"/>
    <x v="0"/>
    <x v="0"/>
    <x v="0"/>
    <n v="3"/>
    <n v="15600"/>
    <x v="1"/>
    <n v="10"/>
    <s v="Valid"/>
    <s v="Match"/>
    <n v="46800"/>
    <n v="4680"/>
    <n v="42120"/>
    <n v="28269.19"/>
    <n v="13850.81"/>
    <b v="0"/>
    <x v="0"/>
    <x v="4"/>
    <s v="Sanjay"/>
    <x v="4"/>
    <n v="3"/>
    <s v="Feb"/>
    <x v="0"/>
  </r>
  <r>
    <s v="ZAR-10823"/>
    <d v="2025-04-01T00:00:00"/>
    <x v="2"/>
    <d v="1899-12-30T16:09:00"/>
    <x v="6"/>
    <x v="2"/>
    <x v="15"/>
    <x v="5"/>
    <x v="1"/>
    <x v="4"/>
    <n v="1"/>
    <n v="3350"/>
    <x v="0"/>
    <n v="15"/>
    <s v="Valid"/>
    <s v="Match"/>
    <n v="3350"/>
    <n v="502.5"/>
    <n v="2847.5"/>
    <n v="2262.59"/>
    <n v="584.91"/>
    <b v="0"/>
    <x v="0"/>
    <x v="4"/>
    <s v="Priya"/>
    <x v="2"/>
    <n v="4.5"/>
    <s v="Apr"/>
    <x v="6"/>
  </r>
  <r>
    <s v="ZAR-10773"/>
    <d v="2025-03-13T00:00:00"/>
    <x v="5"/>
    <d v="1899-12-30T14:49:00"/>
    <x v="3"/>
    <x v="1"/>
    <x v="3"/>
    <x v="6"/>
    <x v="2"/>
    <x v="5"/>
    <n v="1"/>
    <n v="35950"/>
    <x v="0"/>
    <n v="15"/>
    <s v="Valid"/>
    <s v="Match"/>
    <n v="35950"/>
    <n v="5392.5"/>
    <n v="30557.5"/>
    <n v="21490.720000000001"/>
    <n v="9066.7800000000007"/>
    <b v="0"/>
    <x v="0"/>
    <x v="4"/>
    <s v="Meera"/>
    <x v="3"/>
    <n v="5"/>
    <s v="Mar"/>
    <x v="4"/>
  </r>
  <r>
    <s v="ZAR-10107"/>
    <d v="2025-04-26T00:00:00"/>
    <x v="3"/>
    <d v="1899-12-30T11:33:00"/>
    <x v="3"/>
    <x v="1"/>
    <x v="13"/>
    <x v="6"/>
    <x v="5"/>
    <x v="4"/>
    <n v="1"/>
    <n v="2600"/>
    <x v="1"/>
    <n v="10"/>
    <s v="Valid"/>
    <s v="Match"/>
    <n v="2600"/>
    <n v="260"/>
    <n v="2340"/>
    <n v="1886.67"/>
    <n v="453.33"/>
    <b v="0"/>
    <x v="0"/>
    <x v="3"/>
    <s v="Neha"/>
    <x v="2"/>
    <n v="3.5"/>
    <s v="Apr"/>
    <x v="5"/>
  </r>
  <r>
    <s v="ZAR-10567"/>
    <d v="2025-09-28T00:00:00"/>
    <x v="4"/>
    <d v="1899-12-30T21:38:00"/>
    <x v="2"/>
    <x v="0"/>
    <x v="2"/>
    <x v="7"/>
    <x v="2"/>
    <x v="1"/>
    <n v="1"/>
    <n v="94400"/>
    <x v="3"/>
    <n v="25"/>
    <s v="Valid"/>
    <s v="Match"/>
    <n v="94400"/>
    <n v="23600"/>
    <n v="70800"/>
    <n v="62819.26"/>
    <n v="7980.74"/>
    <b v="0"/>
    <x v="0"/>
    <x v="2"/>
    <s v="Sanjay"/>
    <x v="1"/>
    <n v="3"/>
    <s v="Sep"/>
    <x v="0"/>
  </r>
  <r>
    <s v="ZAR-10391"/>
    <d v="2025-04-29T00:00:00"/>
    <x v="2"/>
    <d v="1899-12-30T16:41:00"/>
    <x v="3"/>
    <x v="0"/>
    <x v="10"/>
    <x v="2"/>
    <x v="5"/>
    <x v="0"/>
    <n v="1"/>
    <n v="5400"/>
    <x v="1"/>
    <n v="5"/>
    <s v="Valid"/>
    <s v="Match"/>
    <n v="5400"/>
    <n v="270"/>
    <n v="5130"/>
    <n v="2882.78"/>
    <n v="2247.2199999999998"/>
    <b v="0"/>
    <x v="0"/>
    <x v="3"/>
    <s v="Karan"/>
    <x v="4"/>
    <n v="4"/>
    <s v="Apr"/>
    <x v="6"/>
  </r>
  <r>
    <s v="ZAR-10003"/>
    <d v="2025-01-04T00:00:00"/>
    <x v="0"/>
    <d v="1899-12-30T05:44:00"/>
    <x v="5"/>
    <x v="1"/>
    <x v="13"/>
    <x v="5"/>
    <x v="1"/>
    <x v="0"/>
    <n v="1"/>
    <n v="4000"/>
    <x v="1"/>
    <n v="10"/>
    <s v="Valid"/>
    <s v="Match"/>
    <n v="4000"/>
    <n v="400"/>
    <n v="3600"/>
    <n v="2792.3"/>
    <n v="807.7"/>
    <b v="0"/>
    <x v="0"/>
    <x v="0"/>
    <s v="Ananya"/>
    <x v="3"/>
    <n v="3"/>
    <s v="Jan"/>
    <x v="5"/>
  </r>
  <r>
    <s v="ZAR-10945"/>
    <d v="2025-12-09T00:00:00"/>
    <x v="2"/>
    <d v="1899-12-30T18:16:00"/>
    <x v="5"/>
    <x v="0"/>
    <x v="0"/>
    <x v="2"/>
    <x v="6"/>
    <x v="0"/>
    <n v="2"/>
    <n v="3950"/>
    <x v="2"/>
    <n v="0"/>
    <s v="Valid"/>
    <s v="Match"/>
    <n v="7900"/>
    <n v="0"/>
    <n v="7900"/>
    <n v="5527.49"/>
    <n v="2372.5100000000002"/>
    <b v="0"/>
    <x v="0"/>
    <x v="1"/>
    <s v="Sanjay"/>
    <x v="2"/>
    <n v="3.5"/>
    <s v="Dec"/>
    <x v="6"/>
  </r>
  <r>
    <s v="ZAR-10992"/>
    <d v="2025-01-30T00:00:00"/>
    <x v="3"/>
    <d v="1899-12-30T09:15:00"/>
    <x v="0"/>
    <x v="1"/>
    <x v="3"/>
    <x v="6"/>
    <x v="8"/>
    <x v="4"/>
    <n v="1"/>
    <n v="32600"/>
    <x v="1"/>
    <n v="10"/>
    <s v="Valid"/>
    <s v="Match"/>
    <n v="32600"/>
    <n v="3260"/>
    <n v="29340"/>
    <n v="21877.93"/>
    <n v="7462.07"/>
    <b v="0"/>
    <x v="0"/>
    <x v="3"/>
    <s v="Priya"/>
    <x v="4"/>
    <n v="3.5"/>
    <s v="Jan"/>
    <x v="4"/>
  </r>
  <r>
    <s v="ZAR-10563"/>
    <d v="2025-07-26T00:00:00"/>
    <x v="5"/>
    <d v="1899-12-30T15:37:00"/>
    <x v="0"/>
    <x v="1"/>
    <x v="18"/>
    <x v="0"/>
    <x v="5"/>
    <x v="0"/>
    <n v="1"/>
    <n v="3900"/>
    <x v="0"/>
    <n v="20"/>
    <s v="Valid"/>
    <s v="Match"/>
    <n v="3900"/>
    <n v="780"/>
    <n v="3120"/>
    <n v="2784.77"/>
    <n v="335.23"/>
    <b v="0"/>
    <x v="0"/>
    <x v="1"/>
    <s v="Sanjay"/>
    <x v="5"/>
    <n v="5"/>
    <s v="Jul"/>
    <x v="5"/>
  </r>
  <r>
    <s v="ZAR-10082"/>
    <d v="2025-11-27T00:00:00"/>
    <x v="0"/>
    <d v="1899-12-30T04:15:00"/>
    <x v="2"/>
    <x v="0"/>
    <x v="4"/>
    <x v="2"/>
    <x v="2"/>
    <x v="0"/>
    <n v="1"/>
    <n v="27150"/>
    <x v="3"/>
    <n v="30"/>
    <s v="Valid"/>
    <s v="Match"/>
    <n v="27150"/>
    <n v="8145"/>
    <n v="19005"/>
    <n v="16204.82"/>
    <n v="2800.18"/>
    <b v="0"/>
    <x v="0"/>
    <x v="3"/>
    <s v="Meera"/>
    <x v="5"/>
    <n v="4"/>
    <s v="Nov"/>
    <x v="4"/>
  </r>
  <r>
    <s v="ZAR-10207"/>
    <d v="2025-11-18T00:00:00"/>
    <x v="0"/>
    <d v="1899-12-30T04:53:00"/>
    <x v="4"/>
    <x v="1"/>
    <x v="5"/>
    <x v="3"/>
    <x v="3"/>
    <x v="0"/>
    <n v="1"/>
    <n v="1800"/>
    <x v="3"/>
    <n v="25"/>
    <s v="Valid"/>
    <s v="Match"/>
    <n v="1800"/>
    <n v="450"/>
    <n v="1350"/>
    <n v="1108.42"/>
    <n v="241.58"/>
    <b v="0"/>
    <x v="0"/>
    <x v="3"/>
    <s v="Priya"/>
    <x v="3"/>
    <n v="3"/>
    <s v="Nov"/>
    <x v="6"/>
  </r>
  <r>
    <s v="ZAR-10036"/>
    <d v="2025-12-09T00:00:00"/>
    <x v="1"/>
    <d v="1899-12-30T03:36:00"/>
    <x v="0"/>
    <x v="2"/>
    <x v="17"/>
    <x v="5"/>
    <x v="1"/>
    <x v="0"/>
    <n v="2"/>
    <n v="3050"/>
    <x v="1"/>
    <n v="5"/>
    <s v="Valid"/>
    <s v="Match"/>
    <n v="6100"/>
    <n v="305"/>
    <n v="5795"/>
    <n v="3341.39"/>
    <n v="2453.61"/>
    <b v="0"/>
    <x v="0"/>
    <x v="1"/>
    <s v="Priya"/>
    <x v="2"/>
    <n v="3.5"/>
    <s v="Dec"/>
    <x v="6"/>
  </r>
  <r>
    <s v="ZAR-10777"/>
    <d v="2025-06-10T00:00:00"/>
    <x v="3"/>
    <d v="1899-12-30T11:57:00"/>
    <x v="6"/>
    <x v="1"/>
    <x v="5"/>
    <x v="2"/>
    <x v="5"/>
    <x v="0"/>
    <n v="1"/>
    <n v="6500"/>
    <x v="3"/>
    <n v="30"/>
    <s v="Valid"/>
    <s v="Match"/>
    <n v="6500"/>
    <n v="1950"/>
    <n v="4550"/>
    <n v="4379.93"/>
    <n v="170.07"/>
    <b v="0"/>
    <x v="0"/>
    <x v="4"/>
    <s v="Priya"/>
    <x v="6"/>
    <n v="4"/>
    <s v="Jun"/>
    <x v="6"/>
  </r>
  <r>
    <s v="ZAR-10510"/>
    <d v="2025-01-17T00:00:00"/>
    <x v="0"/>
    <d v="1899-12-30T04:09:00"/>
    <x v="3"/>
    <x v="1"/>
    <x v="18"/>
    <x v="1"/>
    <x v="7"/>
    <x v="1"/>
    <n v="1"/>
    <n v="2500"/>
    <x v="2"/>
    <n v="0"/>
    <s v="Valid"/>
    <s v="Match"/>
    <n v="2500"/>
    <n v="0"/>
    <n v="2500"/>
    <n v="1612.17"/>
    <n v="887.83"/>
    <b v="0"/>
    <x v="0"/>
    <x v="0"/>
    <s v="Ananya"/>
    <x v="5"/>
    <n v="4"/>
    <s v="Jan"/>
    <x v="3"/>
  </r>
  <r>
    <s v="ZAR-10429"/>
    <d v="2025-05-01T00:00:00"/>
    <x v="5"/>
    <d v="1899-12-30T13:13:00"/>
    <x v="0"/>
    <x v="1"/>
    <x v="16"/>
    <x v="3"/>
    <x v="1"/>
    <x v="0"/>
    <n v="2"/>
    <n v="3700"/>
    <x v="0"/>
    <n v="15"/>
    <s v="Valid"/>
    <s v="Match"/>
    <n v="7400"/>
    <n v="1110"/>
    <n v="6290"/>
    <n v="5159.91"/>
    <n v="1130.0899999999999"/>
    <b v="0"/>
    <x v="0"/>
    <x v="4"/>
    <s v="Meera"/>
    <x v="5"/>
    <n v="4"/>
    <s v="May"/>
    <x v="4"/>
  </r>
  <r>
    <s v="ZAR-10456"/>
    <d v="2025-10-11T00:00:00"/>
    <x v="3"/>
    <d v="1899-12-30T09:02:00"/>
    <x v="5"/>
    <x v="0"/>
    <x v="7"/>
    <x v="2"/>
    <x v="2"/>
    <x v="0"/>
    <s v="3"/>
    <n v="4900"/>
    <x v="3"/>
    <n v="25"/>
    <s v="Valid"/>
    <s v="Match"/>
    <n v="14700"/>
    <n v="3675"/>
    <n v="11025"/>
    <n v="9515.39"/>
    <n v="1509.61"/>
    <b v="0"/>
    <x v="0"/>
    <x v="1"/>
    <s v="Karan"/>
    <x v="2"/>
    <n v="4.5"/>
    <s v="Oct"/>
    <x v="5"/>
  </r>
  <r>
    <s v="ZAR-10368"/>
    <d v="2025-09-09T00:00:00"/>
    <x v="5"/>
    <d v="1899-12-30T15:27:00"/>
    <x v="5"/>
    <x v="0"/>
    <x v="12"/>
    <x v="1"/>
    <x v="6"/>
    <x v="4"/>
    <n v="2"/>
    <n v="13800"/>
    <x v="0"/>
    <n v="20"/>
    <s v="Valid"/>
    <s v="Match"/>
    <n v="27600"/>
    <n v="5520"/>
    <n v="22080"/>
    <n v="18648.580000000002"/>
    <n v="3431.42"/>
    <b v="0"/>
    <x v="0"/>
    <x v="2"/>
    <s v="Sanjay"/>
    <x v="4"/>
    <n v="4.5"/>
    <s v="Sep"/>
    <x v="6"/>
  </r>
  <r>
    <s v="ZAR-10093"/>
    <d v="2025-02-10T00:00:00"/>
    <x v="1"/>
    <d v="1899-12-30T00:16:00"/>
    <x v="0"/>
    <x v="1"/>
    <x v="5"/>
    <x v="6"/>
    <x v="7"/>
    <x v="4"/>
    <n v="1"/>
    <n v="6450"/>
    <x v="0"/>
    <n v="20"/>
    <s v="Valid"/>
    <s v="Match"/>
    <n v="6450"/>
    <n v="1290"/>
    <n v="5160"/>
    <n v="3361.45"/>
    <n v="1798.55"/>
    <b v="0"/>
    <x v="0"/>
    <x v="1"/>
    <s v="Priya"/>
    <x v="2"/>
    <n v="3"/>
    <s v="Feb"/>
    <x v="2"/>
  </r>
  <r>
    <s v="ZAR-10341"/>
    <d v="2025-07-18T00:00:00"/>
    <x v="4"/>
    <d v="1899-12-30T22:55:00"/>
    <x v="4"/>
    <x v="1"/>
    <x v="13"/>
    <x v="5"/>
    <x v="3"/>
    <x v="0"/>
    <n v="1"/>
    <n v="5300"/>
    <x v="3"/>
    <n v="25"/>
    <s v="Valid"/>
    <s v="Match"/>
    <n v="5300"/>
    <n v="1325"/>
    <n v="3975"/>
    <n v="2798.62"/>
    <n v="1176.3800000000001"/>
    <b v="0"/>
    <x v="0"/>
    <x v="4"/>
    <s v="Sanjay"/>
    <x v="2"/>
    <n v="5"/>
    <s v="Jul"/>
    <x v="3"/>
  </r>
  <r>
    <s v="ZAR-10899"/>
    <d v="2025-09-02T00:00:00"/>
    <x v="5"/>
    <d v="1899-12-30T15:13:00"/>
    <x v="2"/>
    <x v="0"/>
    <x v="1"/>
    <x v="5"/>
    <x v="2"/>
    <x v="0"/>
    <n v="2"/>
    <n v="3950"/>
    <x v="1"/>
    <n v="5"/>
    <s v="Valid"/>
    <s v="Match"/>
    <n v="7900"/>
    <n v="395"/>
    <n v="7505"/>
    <n v="5262.1"/>
    <n v="2242.9"/>
    <b v="0"/>
    <x v="0"/>
    <x v="1"/>
    <s v="Karan"/>
    <x v="6"/>
    <n v="4.5"/>
    <s v="Sep"/>
    <x v="6"/>
  </r>
  <r>
    <s v="ZAR-10566"/>
    <d v="2025-03-11T00:00:00"/>
    <x v="5"/>
    <d v="1899-12-30T15:31:00"/>
    <x v="4"/>
    <x v="0"/>
    <x v="10"/>
    <x v="5"/>
    <x v="4"/>
    <x v="1"/>
    <n v="1"/>
    <n v="5850"/>
    <x v="0"/>
    <n v="15"/>
    <s v="Valid"/>
    <s v="Match"/>
    <n v="5850"/>
    <n v="877.5"/>
    <n v="4972.5"/>
    <n v="3913.34"/>
    <n v="1059.1600000000001"/>
    <b v="0"/>
    <x v="0"/>
    <x v="0"/>
    <s v="Ananya"/>
    <x v="5"/>
    <n v="5"/>
    <s v="Mar"/>
    <x v="6"/>
  </r>
  <r>
    <s v="ZAR-10347"/>
    <d v="2025-11-06T00:00:00"/>
    <x v="2"/>
    <d v="1899-12-30T18:08:00"/>
    <x v="4"/>
    <x v="0"/>
    <x v="12"/>
    <x v="5"/>
    <x v="6"/>
    <x v="5"/>
    <n v="0"/>
    <n v="8500"/>
    <x v="1"/>
    <n v="10"/>
    <s v="Valid"/>
    <s v="Match"/>
    <n v="25500"/>
    <n v="2550"/>
    <n v="22950"/>
    <n v="17568.150000000001"/>
    <n v="5381.85"/>
    <b v="0"/>
    <x v="0"/>
    <x v="4"/>
    <s v="Neha"/>
    <x v="1"/>
    <n v="4"/>
    <s v="Nov"/>
    <x v="4"/>
  </r>
  <r>
    <s v="ZAR-10778"/>
    <d v="2025-11-25T00:00:00"/>
    <x v="5"/>
    <d v="1899-12-30T13:27:00"/>
    <x v="5"/>
    <x v="1"/>
    <x v="18"/>
    <x v="7"/>
    <x v="3"/>
    <x v="4"/>
    <n v="2"/>
    <n v="1650"/>
    <x v="2"/>
    <n v="0"/>
    <s v="Valid"/>
    <s v="Match"/>
    <n v="3300"/>
    <n v="0"/>
    <n v="3300"/>
    <n v="1817.84"/>
    <n v="1482.16"/>
    <b v="0"/>
    <x v="0"/>
    <x v="2"/>
    <s v="Neha"/>
    <x v="1"/>
    <n v="4.5"/>
    <s v="Nov"/>
    <x v="6"/>
  </r>
  <r>
    <s v="ZAR-10243"/>
    <d v="2025-12-23T00:00:00"/>
    <x v="3"/>
    <d v="1899-12-30T09:44:00"/>
    <x v="1"/>
    <x v="1"/>
    <x v="5"/>
    <x v="7"/>
    <x v="7"/>
    <x v="0"/>
    <n v="2"/>
    <n v="6350"/>
    <x v="1"/>
    <n v="5"/>
    <s v="Valid"/>
    <s v="Match"/>
    <n v="12700"/>
    <n v="635"/>
    <n v="12065"/>
    <n v="8031.52"/>
    <n v="4033.48"/>
    <b v="0"/>
    <x v="0"/>
    <x v="3"/>
    <s v="Ananya"/>
    <x v="2"/>
    <n v="5"/>
    <s v="Dec"/>
    <x v="6"/>
  </r>
  <r>
    <s v="ZAR-10015"/>
    <d v="2025-11-30T00:00:00"/>
    <x v="2"/>
    <d v="1899-12-30T17:53:00"/>
    <x v="2"/>
    <x v="0"/>
    <x v="4"/>
    <x v="3"/>
    <x v="2"/>
    <x v="3"/>
    <n v="3"/>
    <n v="23850"/>
    <x v="0"/>
    <n v="20"/>
    <s v="Valid"/>
    <s v="Match"/>
    <n v="71550"/>
    <n v="14310"/>
    <n v="57240"/>
    <n v="38747.18"/>
    <n v="18492.82"/>
    <b v="0"/>
    <x v="0"/>
    <x v="0"/>
    <s v="Sanjay"/>
    <x v="6"/>
    <n v="3.5"/>
    <s v="Nov"/>
    <x v="0"/>
  </r>
  <r>
    <s v="ZAR-10317"/>
    <d v="2025-05-19T00:00:00"/>
    <x v="1"/>
    <d v="1899-12-30T01:29:00"/>
    <x v="1"/>
    <x v="0"/>
    <x v="0"/>
    <x v="7"/>
    <x v="2"/>
    <x v="3"/>
    <n v="1"/>
    <n v="3050"/>
    <x v="3"/>
    <n v="30"/>
    <s v="Valid"/>
    <s v="Match"/>
    <n v="3050"/>
    <n v="915"/>
    <n v="2135"/>
    <n v="2053.37"/>
    <n v="81.63"/>
    <b v="0"/>
    <x v="0"/>
    <x v="2"/>
    <s v="Ananya"/>
    <x v="3"/>
    <n v="4"/>
    <s v="May"/>
    <x v="2"/>
  </r>
  <r>
    <s v="ZAR-10602"/>
    <d v="2025-06-11T00:00:00"/>
    <x v="1"/>
    <d v="1899-12-30T02:19:00"/>
    <x v="2"/>
    <x v="2"/>
    <x v="15"/>
    <x v="1"/>
    <x v="3"/>
    <x v="3"/>
    <n v="5"/>
    <n v="2000"/>
    <x v="0"/>
    <n v="15"/>
    <s v="Valid"/>
    <s v="Match"/>
    <n v="10000"/>
    <n v="1500"/>
    <n v="8500"/>
    <n v="5300.5"/>
    <n v="3199.5"/>
    <b v="0"/>
    <x v="0"/>
    <x v="4"/>
    <s v="Meera"/>
    <x v="1"/>
    <n v="4.5"/>
    <s v="Jun"/>
    <x v="1"/>
  </r>
  <r>
    <s v="ZAR-10389"/>
    <d v="2025-08-20T00:00:00"/>
    <x v="2"/>
    <d v="1899-12-30T19:23:00"/>
    <x v="6"/>
    <x v="1"/>
    <x v="9"/>
    <x v="2"/>
    <x v="3"/>
    <x v="1"/>
    <n v="2"/>
    <n v="13950"/>
    <x v="0"/>
    <n v="20"/>
    <s v="Valid"/>
    <s v="Match"/>
    <n v="27900"/>
    <n v="5580"/>
    <n v="22320"/>
    <n v="20028.830000000002"/>
    <n v="2291.17"/>
    <b v="0"/>
    <x v="0"/>
    <x v="2"/>
    <s v="Ananya"/>
    <x v="1"/>
    <n v="3.5"/>
    <s v="Aug"/>
    <x v="1"/>
  </r>
  <r>
    <s v="ZAR-10275"/>
    <d v="2025-10-14T00:00:00"/>
    <x v="1"/>
    <d v="1899-12-30T02:32:00"/>
    <x v="3"/>
    <x v="0"/>
    <x v="7"/>
    <x v="6"/>
    <x v="4"/>
    <x v="0"/>
    <n v="1"/>
    <n v="3100"/>
    <x v="0"/>
    <n v="15"/>
    <s v="Valid"/>
    <s v="Match"/>
    <n v="3100"/>
    <n v="465"/>
    <n v="2635"/>
    <n v="1957.25"/>
    <n v="677.75"/>
    <b v="0"/>
    <x v="0"/>
    <x v="0"/>
    <s v="Sanjay"/>
    <x v="5"/>
    <n v="4"/>
    <s v="Oct"/>
    <x v="6"/>
  </r>
  <r>
    <s v="ZAR-10168"/>
    <d v="2025-12-13T00:00:00"/>
    <x v="5"/>
    <d v="1899-12-30T12:31:00"/>
    <x v="0"/>
    <x v="0"/>
    <x v="6"/>
    <x v="5"/>
    <x v="5"/>
    <x v="1"/>
    <n v="2"/>
    <n v="10100"/>
    <x v="3"/>
    <n v="30"/>
    <s v="Valid"/>
    <s v="Match"/>
    <n v="20200"/>
    <n v="6060"/>
    <n v="14140"/>
    <n v="11604.13"/>
    <n v="2535.87"/>
    <b v="0"/>
    <x v="0"/>
    <x v="0"/>
    <s v="Neha"/>
    <x v="4"/>
    <n v="4"/>
    <s v="Dec"/>
    <x v="5"/>
  </r>
  <r>
    <s v="ZAR-10842"/>
    <d v="2025-08-20T00:00:00"/>
    <x v="1"/>
    <m/>
    <x v="6"/>
    <x v="0"/>
    <x v="0"/>
    <x v="1"/>
    <x v="5"/>
    <x v="3"/>
    <n v="1"/>
    <n v="3350"/>
    <x v="2"/>
    <n v="0"/>
    <s v="Valid"/>
    <s v="Match"/>
    <n v="3350"/>
    <n v="0"/>
    <n v="3350"/>
    <n v="2142.06"/>
    <n v="1207.94"/>
    <b v="0"/>
    <x v="0"/>
    <x v="1"/>
    <s v="Priya"/>
    <x v="5"/>
    <n v="3"/>
    <s v="Aug"/>
    <x v="1"/>
  </r>
  <r>
    <s v="ZAR-10648"/>
    <d v="2025-03-17T00:00:00"/>
    <x v="5"/>
    <d v="1899-12-30T13:54:00"/>
    <x v="0"/>
    <x v="0"/>
    <x v="10"/>
    <x v="7"/>
    <x v="5"/>
    <x v="1"/>
    <n v="2"/>
    <n v="1600"/>
    <x v="3"/>
    <n v="25"/>
    <s v="Valid"/>
    <s v="Match"/>
    <n v="3200"/>
    <n v="800"/>
    <n v="2400"/>
    <n v="2114.42"/>
    <n v="285.58"/>
    <b v="0"/>
    <x v="0"/>
    <x v="1"/>
    <s v="Karan"/>
    <x v="2"/>
    <n v="4"/>
    <s v="Mar"/>
    <x v="2"/>
  </r>
  <r>
    <s v="ZAR-10820"/>
    <d v="2025-06-25T00:00:00"/>
    <x v="0"/>
    <d v="1899-12-30T05:06:00"/>
    <x v="3"/>
    <x v="2"/>
    <x v="8"/>
    <x v="5"/>
    <x v="1"/>
    <x v="0"/>
    <n v="1"/>
    <n v="4250"/>
    <x v="0"/>
    <n v="15"/>
    <s v="Valid"/>
    <s v="Match"/>
    <n v="4250"/>
    <n v="637.5"/>
    <n v="3612.5"/>
    <n v="2339.5100000000002"/>
    <n v="1272.99"/>
    <b v="0"/>
    <x v="0"/>
    <x v="1"/>
    <s v="Priya"/>
    <x v="1"/>
    <n v="4"/>
    <s v="Jun"/>
    <x v="1"/>
  </r>
  <r>
    <s v="ZAR-10486"/>
    <d v="2025-01-05T00:00:00"/>
    <x v="1"/>
    <d v="1899-12-30T03:29:00"/>
    <x v="3"/>
    <x v="1"/>
    <x v="16"/>
    <x v="7"/>
    <x v="5"/>
    <x v="3"/>
    <n v="3"/>
    <n v="4000"/>
    <x v="3"/>
    <n v="30"/>
    <s v="Valid"/>
    <s v="Match"/>
    <n v="12000"/>
    <n v="3600"/>
    <n v="8400"/>
    <n v="8080.16"/>
    <n v="319.83999999999997"/>
    <b v="0"/>
    <x v="0"/>
    <x v="1"/>
    <s v="Ananya"/>
    <x v="5"/>
    <n v="3.5"/>
    <s v="Jan"/>
    <x v="0"/>
  </r>
  <r>
    <s v="ZAR-10990"/>
    <d v="2025-04-28T00:00:00"/>
    <x v="4"/>
    <d v="1899-12-30T21:23:00"/>
    <x v="3"/>
    <x v="0"/>
    <x v="12"/>
    <x v="4"/>
    <x v="3"/>
    <x v="5"/>
    <n v="3"/>
    <n v="11950"/>
    <x v="2"/>
    <n v="0"/>
    <s v="Valid"/>
    <s v="Match"/>
    <n v="35850"/>
    <n v="0"/>
    <n v="35850"/>
    <n v="20113.63"/>
    <n v="15736.37"/>
    <b v="0"/>
    <x v="0"/>
    <x v="2"/>
    <s v="Sanjay"/>
    <x v="1"/>
    <n v="5"/>
    <s v="Apr"/>
    <x v="2"/>
  </r>
  <r>
    <s v="ZAR-10506"/>
    <d v="2025-02-20T00:00:00"/>
    <x v="1"/>
    <d v="1899-12-30T03:04:00"/>
    <x v="3"/>
    <x v="1"/>
    <x v="13"/>
    <x v="7"/>
    <x v="5"/>
    <x v="5"/>
    <n v="1"/>
    <n v="4650"/>
    <x v="1"/>
    <n v="10"/>
    <s v="Valid"/>
    <s v="Match"/>
    <n v="4650"/>
    <n v="465"/>
    <n v="4185"/>
    <n v="3365.92"/>
    <n v="819.08"/>
    <b v="0"/>
    <x v="0"/>
    <x v="4"/>
    <s v="Priya"/>
    <x v="4"/>
    <n v="5"/>
    <s v="Feb"/>
    <x v="4"/>
  </r>
  <r>
    <s v="ZAR-10833"/>
    <d v="2025-10-12T00:00:00"/>
    <x v="5"/>
    <d v="1899-12-30T15:12:00"/>
    <x v="0"/>
    <x v="0"/>
    <x v="4"/>
    <x v="5"/>
    <x v="3"/>
    <x v="0"/>
    <n v="3"/>
    <n v="22000"/>
    <x v="1"/>
    <n v="5"/>
    <s v="Valid"/>
    <s v="Match"/>
    <n v="66000"/>
    <n v="3300"/>
    <n v="62700"/>
    <n v="48117.04"/>
    <n v="14582.96"/>
    <b v="0"/>
    <x v="0"/>
    <x v="1"/>
    <s v="Ananya"/>
    <x v="1"/>
    <n v="3"/>
    <s v="Oct"/>
    <x v="0"/>
  </r>
  <r>
    <s v="ZAR-10245"/>
    <d v="2025-10-12T00:00:00"/>
    <x v="3"/>
    <d v="1899-12-30T08:08:00"/>
    <x v="0"/>
    <x v="0"/>
    <x v="6"/>
    <x v="0"/>
    <x v="0"/>
    <x v="1"/>
    <n v="1"/>
    <n v="26200"/>
    <x v="2"/>
    <n v="0"/>
    <s v="Valid"/>
    <s v="Match"/>
    <n v="26200"/>
    <n v="0"/>
    <n v="26200"/>
    <n v="16093.92"/>
    <n v="10106.08"/>
    <b v="0"/>
    <x v="0"/>
    <x v="2"/>
    <s v="Rohit"/>
    <x v="3"/>
    <n v="4"/>
    <s v="Oct"/>
    <x v="0"/>
  </r>
  <r>
    <s v="ZAR-10568"/>
    <d v="2025-10-04T00:00:00"/>
    <x v="1"/>
    <d v="1899-12-30T03:18:00"/>
    <x v="3"/>
    <x v="0"/>
    <x v="12"/>
    <x v="3"/>
    <x v="6"/>
    <x v="0"/>
    <n v="1"/>
    <n v="14600"/>
    <x v="3"/>
    <n v="25"/>
    <s v="Valid"/>
    <s v="Match"/>
    <n v="14600"/>
    <n v="3650"/>
    <n v="10950"/>
    <n v="8394.25"/>
    <n v="2555.75"/>
    <b v="0"/>
    <x v="0"/>
    <x v="1"/>
    <s v="Priya"/>
    <x v="4"/>
    <n v="5"/>
    <s v="Oct"/>
    <x v="5"/>
  </r>
  <r>
    <s v="ZAR-10877"/>
    <d v="2025-01-07T00:00:00"/>
    <x v="0"/>
    <d v="1899-12-30T06:53:00"/>
    <x v="0"/>
    <x v="0"/>
    <x v="2"/>
    <x v="7"/>
    <x v="3"/>
    <x v="4"/>
    <n v="1"/>
    <n v="87300"/>
    <x v="0"/>
    <n v="20"/>
    <s v="Valid"/>
    <s v="Match"/>
    <n v="87300"/>
    <n v="17460"/>
    <n v="69840"/>
    <n v="45853.34"/>
    <n v="23986.66"/>
    <b v="0"/>
    <x v="0"/>
    <x v="0"/>
    <s v="Sanjay"/>
    <x v="5"/>
    <n v="5"/>
    <s v="Jan"/>
    <x v="6"/>
  </r>
  <r>
    <s v="ZAR-10564"/>
    <d v="2025-05-08T00:00:00"/>
    <x v="4"/>
    <d v="1899-12-30T21:38:00"/>
    <x v="5"/>
    <x v="1"/>
    <x v="3"/>
    <x v="6"/>
    <x v="8"/>
    <x v="2"/>
    <n v="2"/>
    <n v="41900"/>
    <x v="1"/>
    <n v="10"/>
    <s v="Valid"/>
    <s v="Match"/>
    <n v="83800"/>
    <n v="8380"/>
    <n v="75420"/>
    <n v="56619.51"/>
    <n v="18800.490000000002"/>
    <b v="0"/>
    <x v="0"/>
    <x v="4"/>
    <s v="Sanjay"/>
    <x v="5"/>
    <s v="Not Rated"/>
    <s v="May"/>
    <x v="4"/>
  </r>
  <r>
    <s v="ZAR-10962"/>
    <d v="2025-02-27T00:00:00"/>
    <x v="2"/>
    <d v="1899-12-30T18:00:00"/>
    <x v="1"/>
    <x v="0"/>
    <x v="4"/>
    <x v="5"/>
    <x v="1"/>
    <x v="0"/>
    <n v="1"/>
    <n v="33000"/>
    <x v="1"/>
    <n v="5"/>
    <s v="Valid"/>
    <s v="Match"/>
    <n v="33000"/>
    <n v="1650"/>
    <n v="31350"/>
    <n v="19167.75"/>
    <n v="12182.25"/>
    <b v="0"/>
    <x v="0"/>
    <x v="4"/>
    <s v="Rohit"/>
    <x v="1"/>
    <n v="4"/>
    <s v="Feb"/>
    <x v="4"/>
  </r>
  <r>
    <s v="ZAR-10688"/>
    <d v="2025-05-05T00:00:00"/>
    <x v="3"/>
    <d v="1899-12-30T10:15:00"/>
    <x v="6"/>
    <x v="0"/>
    <x v="10"/>
    <x v="5"/>
    <x v="5"/>
    <x v="2"/>
    <n v="1"/>
    <n v="2850"/>
    <x v="0"/>
    <n v="20"/>
    <s v="Valid"/>
    <s v="Match"/>
    <n v="2850"/>
    <n v="570"/>
    <n v="2280"/>
    <n v="1665.75"/>
    <n v="614.25"/>
    <b v="0"/>
    <x v="0"/>
    <x v="1"/>
    <s v="Sanjay"/>
    <x v="4"/>
    <n v="4"/>
    <s v="May"/>
    <x v="2"/>
  </r>
  <r>
    <s v="ZAR-10959"/>
    <d v="2025-07-28T00:00:00"/>
    <x v="1"/>
    <d v="1899-12-30T00:43:00"/>
    <x v="4"/>
    <x v="1"/>
    <x v="5"/>
    <x v="4"/>
    <x v="5"/>
    <x v="4"/>
    <n v="3"/>
    <n v="6300"/>
    <x v="3"/>
    <n v="25"/>
    <s v="Valid"/>
    <s v="Match"/>
    <n v="18900"/>
    <n v="4725"/>
    <n v="14175"/>
    <n v="11947.27"/>
    <n v="2227.73"/>
    <b v="0"/>
    <x v="0"/>
    <x v="0"/>
    <s v="Rohit"/>
    <x v="5"/>
    <n v="4"/>
    <s v="Jul"/>
    <x v="2"/>
  </r>
  <r>
    <s v="ZAR-10191"/>
    <d v="2025-04-20T00:00:00"/>
    <x v="0"/>
    <d v="1899-12-30T05:17:00"/>
    <x v="3"/>
    <x v="1"/>
    <x v="9"/>
    <x v="6"/>
    <x v="5"/>
    <x v="0"/>
    <n v="1"/>
    <n v="10950"/>
    <x v="0"/>
    <n v="15"/>
    <s v="Valid"/>
    <s v="Match"/>
    <n v="10950"/>
    <n v="1642.5"/>
    <n v="9307.5"/>
    <n v="6110.29"/>
    <n v="3197.21"/>
    <b v="0"/>
    <x v="0"/>
    <x v="0"/>
    <s v="Sanjay"/>
    <x v="5"/>
    <n v="5"/>
    <s v="Apr"/>
    <x v="0"/>
  </r>
  <r>
    <s v="ZAR-10784"/>
    <d v="2025-07-14T00:00:00"/>
    <x v="2"/>
    <d v="1899-12-30T18:52:00"/>
    <x v="2"/>
    <x v="2"/>
    <x v="17"/>
    <x v="1"/>
    <x v="3"/>
    <x v="0"/>
    <n v="1"/>
    <n v="1750"/>
    <x v="0"/>
    <n v="15"/>
    <s v="Valid"/>
    <s v="Match"/>
    <n v="1750"/>
    <n v="262.5"/>
    <n v="1487.5"/>
    <n v="986.48"/>
    <n v="501.02"/>
    <b v="0"/>
    <x v="0"/>
    <x v="2"/>
    <s v="Sanjay"/>
    <x v="4"/>
    <n v="3.5"/>
    <s v="Jul"/>
    <x v="2"/>
  </r>
  <r>
    <s v="ZAR-10701"/>
    <d v="2025-06-03T00:00:00"/>
    <x v="0"/>
    <d v="1899-12-30T07:56:00"/>
    <x v="3"/>
    <x v="1"/>
    <x v="5"/>
    <x v="2"/>
    <x v="7"/>
    <x v="1"/>
    <n v="1"/>
    <n v="5650"/>
    <x v="3"/>
    <n v="25"/>
    <s v="Valid"/>
    <s v="Match"/>
    <n v="5650"/>
    <n v="1412.5"/>
    <n v="4237.5"/>
    <n v="4124.24"/>
    <n v="113.26"/>
    <b v="0"/>
    <x v="0"/>
    <x v="4"/>
    <s v="Ananya"/>
    <x v="6"/>
    <n v="4.5"/>
    <s v="Jun"/>
    <x v="6"/>
  </r>
  <r>
    <s v="ZAR-10477"/>
    <d v="2025-12-28T00:00:00"/>
    <x v="2"/>
    <d v="1899-12-30T18:28:00"/>
    <x v="2"/>
    <x v="0"/>
    <x v="6"/>
    <x v="4"/>
    <x v="5"/>
    <x v="4"/>
    <n v="1"/>
    <n v="33750"/>
    <x v="1"/>
    <n v="5"/>
    <s v="Valid"/>
    <s v="Match"/>
    <n v="33750"/>
    <n v="1687.5"/>
    <n v="32062.5"/>
    <n v="19371.25"/>
    <n v="12691.25"/>
    <b v="0"/>
    <x v="0"/>
    <x v="0"/>
    <s v="Meera"/>
    <x v="2"/>
    <n v="4.5"/>
    <s v="Dec"/>
    <x v="0"/>
  </r>
  <r>
    <s v="ZAR-10683"/>
    <d v="2025-09-11T00:00:00"/>
    <x v="0"/>
    <d v="1899-12-30T04:14:00"/>
    <x v="1"/>
    <x v="0"/>
    <x v="4"/>
    <x v="0"/>
    <x v="1"/>
    <x v="0"/>
    <n v="1"/>
    <n v="23750"/>
    <x v="3"/>
    <n v="30"/>
    <s v="Valid"/>
    <s v="Match"/>
    <n v="23750"/>
    <n v="7125"/>
    <n v="16625"/>
    <n v="13792.85"/>
    <n v="2832.15"/>
    <b v="0"/>
    <x v="0"/>
    <x v="3"/>
    <s v="Meera"/>
    <x v="1"/>
    <n v="2.5"/>
    <s v="Sep"/>
    <x v="4"/>
  </r>
  <r>
    <s v="ZAR-10512"/>
    <d v="2025-08-21T00:00:00"/>
    <x v="1"/>
    <d v="1899-12-30T01:23:00"/>
    <x v="4"/>
    <x v="0"/>
    <x v="7"/>
    <x v="0"/>
    <x v="5"/>
    <x v="0"/>
    <n v="1"/>
    <n v="1800"/>
    <x v="3"/>
    <n v="25"/>
    <s v="Valid"/>
    <s v="Match"/>
    <n v="1800"/>
    <n v="450"/>
    <n v="1350"/>
    <n v="1143.6600000000001"/>
    <n v="206.34"/>
    <b v="0"/>
    <x v="0"/>
    <x v="3"/>
    <s v="Sanjay"/>
    <x v="1"/>
    <n v="2.5"/>
    <s v="Aug"/>
    <x v="4"/>
  </r>
  <r>
    <s v="ZAR-10060"/>
    <d v="2025-12-13T00:00:00"/>
    <x v="2"/>
    <d v="1899-12-30T17:10:00"/>
    <x v="2"/>
    <x v="0"/>
    <x v="0"/>
    <x v="3"/>
    <x v="4"/>
    <x v="0"/>
    <n v="3"/>
    <n v="6600"/>
    <x v="0"/>
    <n v="15"/>
    <s v="Valid"/>
    <s v="Match"/>
    <n v="19800"/>
    <n v="2970"/>
    <n v="16830"/>
    <n v="14221.67"/>
    <n v="2608.33"/>
    <b v="0"/>
    <x v="0"/>
    <x v="4"/>
    <s v="Sanjay"/>
    <x v="3"/>
    <n v="4"/>
    <s v="Dec"/>
    <x v="5"/>
  </r>
  <r>
    <s v="ZAR-10476"/>
    <d v="2025-03-05T00:00:00"/>
    <x v="4"/>
    <d v="1899-12-30T20:35:00"/>
    <x v="2"/>
    <x v="1"/>
    <x v="13"/>
    <x v="1"/>
    <x v="3"/>
    <x v="0"/>
    <n v="2"/>
    <n v="5100"/>
    <x v="1"/>
    <n v="10"/>
    <s v="Valid"/>
    <s v="Match"/>
    <n v="10200"/>
    <n v="1020"/>
    <n v="9180"/>
    <n v="6562.98"/>
    <n v="2617.02"/>
    <b v="0"/>
    <x v="0"/>
    <x v="0"/>
    <s v="Neha"/>
    <x v="2"/>
    <n v="4.5"/>
    <s v="Mar"/>
    <x v="1"/>
  </r>
  <r>
    <s v="ZAR-10562"/>
    <d v="2025-12-25T00:00:00"/>
    <x v="2"/>
    <d v="1899-12-30T18:55:00"/>
    <x v="3"/>
    <x v="0"/>
    <x v="0"/>
    <x v="7"/>
    <x v="6"/>
    <x v="7"/>
    <n v="2"/>
    <n v="6050"/>
    <x v="2"/>
    <n v="0"/>
    <s v="Valid"/>
    <s v="Match"/>
    <n v="12100"/>
    <n v="0"/>
    <n v="12100"/>
    <n v="7700.09"/>
    <n v="4399.91"/>
    <b v="0"/>
    <x v="0"/>
    <x v="0"/>
    <s v="Rohit"/>
    <x v="3"/>
    <n v="3.5"/>
    <s v="Dec"/>
    <x v="4"/>
  </r>
  <r>
    <s v="ZAR-10858"/>
    <d v="2025-11-07T00:00:00"/>
    <x v="4"/>
    <d v="1899-12-30T21:04:00"/>
    <x v="4"/>
    <x v="0"/>
    <x v="4"/>
    <x v="2"/>
    <x v="3"/>
    <x v="5"/>
    <n v="2"/>
    <n v="19100"/>
    <x v="1"/>
    <n v="10"/>
    <s v="Valid"/>
    <s v="Match"/>
    <n v="38200"/>
    <n v="3820"/>
    <n v="34380"/>
    <n v="25730.63"/>
    <n v="8649.3700000000008"/>
    <b v="0"/>
    <x v="0"/>
    <x v="4"/>
    <s v="Sanjay"/>
    <x v="3"/>
    <n v="4"/>
    <s v="Nov"/>
    <x v="3"/>
  </r>
  <r>
    <s v="ZAR-10749"/>
    <d v="2025-06-27T00:00:00"/>
    <x v="5"/>
    <d v="1899-12-30T14:09:00"/>
    <x v="5"/>
    <x v="0"/>
    <x v="7"/>
    <x v="0"/>
    <x v="4"/>
    <x v="4"/>
    <n v="2"/>
    <n v="2650"/>
    <x v="1"/>
    <n v="10"/>
    <s v="Valid"/>
    <s v="Match"/>
    <n v="5300"/>
    <n v="530"/>
    <n v="4770"/>
    <n v="3153.13"/>
    <n v="1616.87"/>
    <b v="0"/>
    <x v="0"/>
    <x v="0"/>
    <s v="Priya"/>
    <x v="1"/>
    <n v="5"/>
    <s v="Jun"/>
    <x v="3"/>
  </r>
  <r>
    <s v="ZAR-10254"/>
    <d v="2025-12-10T00:00:00"/>
    <x v="2"/>
    <d v="1899-12-30T18:54:00"/>
    <x v="2"/>
    <x v="0"/>
    <x v="6"/>
    <x v="5"/>
    <x v="4"/>
    <x v="4"/>
    <n v="3"/>
    <n v="9150"/>
    <x v="1"/>
    <n v="5"/>
    <s v="Valid"/>
    <s v="Match"/>
    <n v="27450"/>
    <n v="1372.5"/>
    <n v="26077.5"/>
    <n v="14966.21"/>
    <n v="11111.29"/>
    <b v="0"/>
    <x v="0"/>
    <x v="4"/>
    <s v="Karan"/>
    <x v="2"/>
    <n v="4"/>
    <s v="Dec"/>
    <x v="1"/>
  </r>
  <r>
    <s v="ZAR-10023"/>
    <d v="2025-07-30T00:00:00"/>
    <x v="4"/>
    <d v="1899-12-30T21:55:00"/>
    <x v="1"/>
    <x v="2"/>
    <x v="17"/>
    <x v="2"/>
    <x v="3"/>
    <x v="4"/>
    <n v="1"/>
    <n v="3150"/>
    <x v="3"/>
    <n v="25"/>
    <s v="Valid"/>
    <s v="Match"/>
    <n v="3150"/>
    <n v="787.5"/>
    <n v="2362.5"/>
    <n v="2278.67"/>
    <n v="83.83"/>
    <b v="0"/>
    <x v="0"/>
    <x v="1"/>
    <s v="Rohit"/>
    <x v="1"/>
    <n v="4"/>
    <s v="Jul"/>
    <x v="1"/>
  </r>
  <r>
    <s v="ZAR-10315"/>
    <d v="2025-03-21T00:00:00"/>
    <x v="1"/>
    <d v="1899-12-30T02:07:00"/>
    <x v="1"/>
    <x v="1"/>
    <x v="9"/>
    <x v="4"/>
    <x v="5"/>
    <x v="0"/>
    <n v="2"/>
    <n v="4650"/>
    <x v="1"/>
    <n v="5"/>
    <s v="Valid"/>
    <s v="Match"/>
    <n v="9300"/>
    <n v="465"/>
    <n v="8835"/>
    <n v="6238.24"/>
    <n v="2596.7600000000002"/>
    <b v="0"/>
    <x v="0"/>
    <x v="4"/>
    <s v="Karan"/>
    <x v="2"/>
    <n v="4"/>
    <s v="Mar"/>
    <x v="3"/>
  </r>
  <r>
    <s v="ZAR-10461"/>
    <d v="2025-09-21T00:00:00"/>
    <x v="2"/>
    <d v="1899-12-30T19:42:00"/>
    <x v="2"/>
    <x v="1"/>
    <x v="3"/>
    <x v="5"/>
    <x v="3"/>
    <x v="2"/>
    <n v="2"/>
    <n v="36250"/>
    <x v="1"/>
    <n v="5"/>
    <s v="Valid"/>
    <s v="Match"/>
    <n v="72500"/>
    <n v="3625"/>
    <n v="68875"/>
    <n v="51311.86"/>
    <n v="17563.14"/>
    <b v="0"/>
    <x v="0"/>
    <x v="2"/>
    <s v="Meera"/>
    <x v="5"/>
    <n v="4"/>
    <s v="Sep"/>
    <x v="0"/>
  </r>
  <r>
    <s v="ZAR-10162"/>
    <d v="2025-11-02T00:00:00"/>
    <x v="0"/>
    <d v="1899-12-30T04:36:00"/>
    <x v="5"/>
    <x v="0"/>
    <x v="4"/>
    <x v="0"/>
    <x v="2"/>
    <x v="0"/>
    <n v="2"/>
    <n v="13950"/>
    <x v="0"/>
    <n v="20"/>
    <s v="Valid"/>
    <s v="Match"/>
    <n v="27900"/>
    <n v="5580"/>
    <n v="22320"/>
    <n v="16892.39"/>
    <n v="5427.61"/>
    <b v="0"/>
    <x v="0"/>
    <x v="0"/>
    <s v="Priya"/>
    <x v="6"/>
    <n v="4.5"/>
    <s v="Nov"/>
    <x v="0"/>
  </r>
  <r>
    <s v="ZAR-10278"/>
    <d v="2025-11-13T00:00:00"/>
    <x v="3"/>
    <d v="1899-12-30T11:09:00"/>
    <x v="6"/>
    <x v="0"/>
    <x v="1"/>
    <x v="2"/>
    <x v="2"/>
    <x v="0"/>
    <n v="1"/>
    <n v="4000"/>
    <x v="1"/>
    <n v="5"/>
    <s v="Valid"/>
    <s v="Match"/>
    <n v="4000"/>
    <n v="200"/>
    <n v="3800"/>
    <n v="2814.75"/>
    <n v="985.25"/>
    <b v="0"/>
    <x v="0"/>
    <x v="3"/>
    <s v="Ananya"/>
    <x v="5"/>
    <n v="5"/>
    <s v="Nov"/>
    <x v="4"/>
  </r>
  <r>
    <s v="ZAR-10957"/>
    <d v="2025-06-20T00:00:00"/>
    <x v="3"/>
    <d v="1899-12-30T08:47:00"/>
    <x v="2"/>
    <x v="0"/>
    <x v="7"/>
    <x v="5"/>
    <x v="4"/>
    <x v="0"/>
    <n v="1"/>
    <n v="3900"/>
    <x v="0"/>
    <n v="15"/>
    <s v="Valid"/>
    <s v="Match"/>
    <n v="3900"/>
    <n v="585"/>
    <n v="3315"/>
    <n v="2107.77"/>
    <n v="1207.23"/>
    <b v="0"/>
    <x v="0"/>
    <x v="0"/>
    <s v="Ananya"/>
    <x v="1"/>
    <n v="3"/>
    <s v="Jun"/>
    <x v="3"/>
  </r>
  <r>
    <s v="ZAR-10193"/>
    <d v="2025-01-16T00:00:00"/>
    <x v="3"/>
    <d v="1899-12-30T08:03:00"/>
    <x v="6"/>
    <x v="0"/>
    <x v="12"/>
    <x v="0"/>
    <x v="4"/>
    <x v="3"/>
    <n v="1"/>
    <n v="7350"/>
    <x v="1"/>
    <n v="10"/>
    <s v="Valid"/>
    <s v="Match"/>
    <n v="7350"/>
    <n v="735"/>
    <n v="6615"/>
    <n v="4787.54"/>
    <n v="1827.46"/>
    <b v="0"/>
    <x v="0"/>
    <x v="2"/>
    <s v="Rohit"/>
    <x v="4"/>
    <n v="3.5"/>
    <s v="Jan"/>
    <x v="4"/>
  </r>
  <r>
    <s v="ZAR-10387"/>
    <d v="2025-03-31T00:00:00"/>
    <x v="4"/>
    <d v="1899-12-30T20:35:00"/>
    <x v="1"/>
    <x v="2"/>
    <x v="11"/>
    <x v="7"/>
    <x v="5"/>
    <x v="0"/>
    <n v="1"/>
    <n v="6150"/>
    <x v="2"/>
    <n v="0"/>
    <s v="Valid"/>
    <s v="Match"/>
    <n v="6150"/>
    <n v="0"/>
    <n v="6150"/>
    <n v="3692.62"/>
    <n v="2457.38"/>
    <b v="0"/>
    <x v="0"/>
    <x v="1"/>
    <s v="Neha"/>
    <x v="2"/>
    <n v="3.5"/>
    <s v="Mar"/>
    <x v="2"/>
  </r>
  <r>
    <s v="ZAR-10807"/>
    <d v="2025-08-22T00:00:00"/>
    <x v="3"/>
    <d v="1899-12-30T08:22:00"/>
    <x v="6"/>
    <x v="0"/>
    <x v="12"/>
    <x v="4"/>
    <x v="3"/>
    <x v="1"/>
    <n v="3"/>
    <n v="3750"/>
    <x v="3"/>
    <n v="30"/>
    <s v="Valid"/>
    <s v="Match"/>
    <n v="11250"/>
    <n v="3375"/>
    <n v="7875"/>
    <n v="5920.23"/>
    <n v="1954.77"/>
    <b v="0"/>
    <x v="0"/>
    <x v="4"/>
    <s v="Sanjay"/>
    <x v="4"/>
    <n v="4"/>
    <s v="Aug"/>
    <x v="3"/>
  </r>
  <r>
    <s v="ZAR-10415"/>
    <d v="2025-02-19T00:00:00"/>
    <x v="1"/>
    <d v="1899-12-30T02:42:00"/>
    <x v="6"/>
    <x v="0"/>
    <x v="2"/>
    <x v="6"/>
    <x v="3"/>
    <x v="0"/>
    <n v="1"/>
    <n v="122000"/>
    <x v="1"/>
    <n v="10"/>
    <s v="Valid"/>
    <s v="Match"/>
    <n v="122000"/>
    <n v="12200"/>
    <n v="109800"/>
    <n v="80133.59"/>
    <n v="29666.41"/>
    <b v="0"/>
    <x v="0"/>
    <x v="0"/>
    <s v="Sanjay"/>
    <x v="5"/>
    <n v="3.5"/>
    <s v="Feb"/>
    <x v="1"/>
  </r>
  <r>
    <s v="ZAR-10493"/>
    <d v="2025-11-17T00:00:00"/>
    <x v="5"/>
    <d v="1899-12-30T13:04:00"/>
    <x v="2"/>
    <x v="0"/>
    <x v="6"/>
    <x v="3"/>
    <x v="0"/>
    <x v="1"/>
    <n v="2"/>
    <n v="3850"/>
    <x v="2"/>
    <n v="0"/>
    <s v="Valid"/>
    <s v="Match"/>
    <n v="7700"/>
    <n v="0"/>
    <n v="7700"/>
    <n v="4514.6899999999996"/>
    <n v="3185.31"/>
    <b v="0"/>
    <x v="0"/>
    <x v="2"/>
    <s v="Neha"/>
    <x v="1"/>
    <n v="4"/>
    <s v="Nov"/>
    <x v="2"/>
  </r>
  <r>
    <s v="ZAR-10345"/>
    <d v="2025-08-27T00:00:00"/>
    <x v="2"/>
    <d v="1899-12-30T18:08:00"/>
    <x v="2"/>
    <x v="0"/>
    <x v="1"/>
    <x v="2"/>
    <x v="5"/>
    <x v="4"/>
    <n v="2"/>
    <n v="3400"/>
    <x v="0"/>
    <n v="20"/>
    <s v="Valid"/>
    <s v="Match"/>
    <n v="6800"/>
    <n v="1360"/>
    <n v="5440"/>
    <n v="3653.5"/>
    <n v="1786.5"/>
    <b v="0"/>
    <x v="0"/>
    <x v="4"/>
    <s v="Karan"/>
    <x v="4"/>
    <n v="3"/>
    <s v="Aug"/>
    <x v="1"/>
  </r>
  <r>
    <s v="ZAR-10771"/>
    <d v="2025-11-09T00:00:00"/>
    <x v="0"/>
    <d v="1899-12-30T06:36:00"/>
    <x v="1"/>
    <x v="0"/>
    <x v="12"/>
    <x v="0"/>
    <x v="5"/>
    <x v="0"/>
    <n v="1"/>
    <n v="12100"/>
    <x v="3"/>
    <n v="25"/>
    <s v="Valid"/>
    <s v="Match"/>
    <n v="12100"/>
    <n v="3025"/>
    <n v="9075"/>
    <n v="7090.76"/>
    <n v="1984.24"/>
    <b v="0"/>
    <x v="0"/>
    <x v="4"/>
    <s v="Neha"/>
    <x v="1"/>
    <n v="3.5"/>
    <s v="Nov"/>
    <x v="0"/>
  </r>
  <r>
    <s v="ZAR-10310"/>
    <d v="2025-06-03T00:00:00"/>
    <x v="1"/>
    <d v="1899-12-30T01:46:00"/>
    <x v="6"/>
    <x v="1"/>
    <x v="18"/>
    <x v="7"/>
    <x v="3"/>
    <x v="1"/>
    <n v="2"/>
    <n v="3050"/>
    <x v="2"/>
    <n v="0"/>
    <s v="Valid"/>
    <s v="Match"/>
    <n v="6100"/>
    <n v="0"/>
    <n v="6100"/>
    <n v="3970.8"/>
    <n v="2129.1999999999998"/>
    <b v="0"/>
    <x v="0"/>
    <x v="0"/>
    <s v="Sanjay"/>
    <x v="2"/>
    <n v="4"/>
    <s v="Jun"/>
    <x v="6"/>
  </r>
  <r>
    <s v="ZAR-10663"/>
    <d v="2025-07-12T00:00:00"/>
    <x v="5"/>
    <d v="1899-12-30T15:38:00"/>
    <x v="1"/>
    <x v="0"/>
    <x v="0"/>
    <x v="0"/>
    <x v="4"/>
    <x v="0"/>
    <n v="1"/>
    <n v="8450"/>
    <x v="3"/>
    <n v="30"/>
    <s v="Valid"/>
    <s v="Match"/>
    <n v="8450"/>
    <n v="2535"/>
    <n v="5915"/>
    <n v="5593.3"/>
    <n v="321.7"/>
    <b v="0"/>
    <x v="0"/>
    <x v="4"/>
    <s v="Neha"/>
    <x v="5"/>
    <n v="5"/>
    <s v="Jul"/>
    <x v="5"/>
  </r>
  <r>
    <s v="ZAR-10132"/>
    <d v="2025-01-12T00:00:00"/>
    <x v="3"/>
    <d v="1899-12-30T09:29:00"/>
    <x v="1"/>
    <x v="2"/>
    <x v="8"/>
    <x v="1"/>
    <x v="7"/>
    <x v="2"/>
    <n v="2"/>
    <n v="3200"/>
    <x v="1"/>
    <n v="5"/>
    <s v="Valid"/>
    <s v="Match"/>
    <n v="6400"/>
    <n v="320"/>
    <n v="6080"/>
    <n v="4503.43"/>
    <n v="1576.57"/>
    <b v="0"/>
    <x v="0"/>
    <x v="0"/>
    <s v="Priya"/>
    <x v="6"/>
    <n v="3.5"/>
    <s v="Jan"/>
    <x v="0"/>
  </r>
  <r>
    <s v="ZAR-10665"/>
    <d v="2025-02-07T00:00:00"/>
    <x v="5"/>
    <d v="1899-12-30T14:48:00"/>
    <x v="3"/>
    <x v="1"/>
    <x v="9"/>
    <x v="5"/>
    <x v="5"/>
    <x v="1"/>
    <n v="1"/>
    <n v="16900"/>
    <x v="1"/>
    <n v="10"/>
    <s v="Valid"/>
    <s v="Match"/>
    <n v="16900"/>
    <n v="1690"/>
    <n v="15210"/>
    <n v="9213.61"/>
    <n v="5996.39"/>
    <b v="0"/>
    <x v="0"/>
    <x v="0"/>
    <s v="Sanjay"/>
    <x v="6"/>
    <n v="4"/>
    <s v="Feb"/>
    <x v="3"/>
  </r>
  <r>
    <s v="ZAR-10873"/>
    <d v="2025-03-20T00:00:00"/>
    <x v="0"/>
    <d v="1899-12-30T04:32:00"/>
    <x v="7"/>
    <x v="1"/>
    <x v="18"/>
    <x v="6"/>
    <x v="7"/>
    <x v="0"/>
    <n v="1"/>
    <n v="1500"/>
    <x v="1"/>
    <n v="5"/>
    <s v="Valid"/>
    <s v="Match"/>
    <n v="1500"/>
    <n v="75"/>
    <n v="1425"/>
    <n v="1030.31"/>
    <n v="394.69"/>
    <b v="0"/>
    <x v="0"/>
    <x v="0"/>
    <s v="Ananya"/>
    <x v="4"/>
    <n v="3"/>
    <s v="Mar"/>
    <x v="4"/>
  </r>
  <r>
    <s v="ZAR-10101"/>
    <d v="2025-08-13T00:00:00"/>
    <x v="1"/>
    <d v="1899-12-30T01:08:00"/>
    <x v="2"/>
    <x v="0"/>
    <x v="6"/>
    <x v="4"/>
    <x v="0"/>
    <x v="0"/>
    <n v="1"/>
    <n v="33450"/>
    <x v="0"/>
    <n v="20"/>
    <s v="Valid"/>
    <s v="Match"/>
    <n v="33450"/>
    <n v="6690"/>
    <n v="26760"/>
    <n v="22384.06"/>
    <n v="4375.9399999999996"/>
    <b v="0"/>
    <x v="0"/>
    <x v="3"/>
    <s v="Rohit"/>
    <x v="4"/>
    <n v="4"/>
    <s v="Aug"/>
    <x v="1"/>
  </r>
  <r>
    <s v="ZAR-10374"/>
    <d v="2025-06-16T00:00:00"/>
    <x v="1"/>
    <d v="1899-12-30T03:43:00"/>
    <x v="4"/>
    <x v="0"/>
    <x v="1"/>
    <x v="7"/>
    <x v="3"/>
    <x v="0"/>
    <n v="2"/>
    <n v="2300"/>
    <x v="3"/>
    <n v="25"/>
    <s v="Valid"/>
    <s v="Match"/>
    <n v="4600"/>
    <n v="1150"/>
    <n v="3450"/>
    <n v="3078.54"/>
    <n v="371.46"/>
    <b v="0"/>
    <x v="0"/>
    <x v="2"/>
    <s v="Ananya"/>
    <x v="3"/>
    <n v="3"/>
    <s v="Jun"/>
    <x v="2"/>
  </r>
  <r>
    <s v="ZAR-10089"/>
    <d v="2025-03-26T00:00:00"/>
    <x v="5"/>
    <d v="1899-12-30T14:02:00"/>
    <x v="5"/>
    <x v="0"/>
    <x v="7"/>
    <x v="1"/>
    <x v="5"/>
    <x v="0"/>
    <n v="1"/>
    <n v="1200"/>
    <x v="3"/>
    <n v="25"/>
    <s v="Valid"/>
    <s v="Match"/>
    <n v="1200"/>
    <n v="300"/>
    <n v="900"/>
    <n v="827.57"/>
    <n v="72.430000000000007"/>
    <b v="0"/>
    <x v="0"/>
    <x v="3"/>
    <s v="Rohit"/>
    <x v="3"/>
    <n v="4"/>
    <s v="Mar"/>
    <x v="1"/>
  </r>
  <r>
    <s v="ZAR-10460"/>
    <d v="2025-09-15T00:00:00"/>
    <x v="1"/>
    <d v="1899-12-30T01:51:00"/>
    <x v="2"/>
    <x v="0"/>
    <x v="2"/>
    <x v="1"/>
    <x v="2"/>
    <x v="0"/>
    <n v="1"/>
    <n v="124900"/>
    <x v="1"/>
    <n v="10"/>
    <s v="Valid"/>
    <s v="Match"/>
    <n v="124900"/>
    <n v="12490"/>
    <n v="112410"/>
    <n v="69748.81"/>
    <n v="42661.19"/>
    <b v="0"/>
    <x v="0"/>
    <x v="0"/>
    <s v="Priya"/>
    <x v="3"/>
    <n v="3"/>
    <s v="Sep"/>
    <x v="2"/>
  </r>
  <r>
    <s v="ZAR-10332"/>
    <d v="2025-06-19T00:00:00"/>
    <x v="1"/>
    <d v="1899-12-30T02:03:00"/>
    <x v="2"/>
    <x v="0"/>
    <x v="6"/>
    <x v="0"/>
    <x v="2"/>
    <x v="0"/>
    <n v="2"/>
    <n v="30150"/>
    <x v="3"/>
    <n v="30"/>
    <s v="Valid"/>
    <s v="Match"/>
    <n v="60300"/>
    <n v="18090"/>
    <n v="42210"/>
    <n v="39359.18"/>
    <n v="2850.82"/>
    <b v="0"/>
    <x v="0"/>
    <x v="0"/>
    <s v="Karan"/>
    <x v="5"/>
    <n v="4"/>
    <s v="Jun"/>
    <x v="4"/>
  </r>
  <r>
    <s v="ZAR-10216"/>
    <d v="2025-02-25T00:00:00"/>
    <x v="5"/>
    <d v="1899-12-30T15:04:00"/>
    <x v="3"/>
    <x v="0"/>
    <x v="12"/>
    <x v="6"/>
    <x v="0"/>
    <x v="3"/>
    <n v="2"/>
    <n v="9500"/>
    <x v="1"/>
    <n v="10"/>
    <s v="Valid"/>
    <s v="Match"/>
    <n v="19000"/>
    <n v="1900"/>
    <n v="17100"/>
    <n v="11127.63"/>
    <n v="5972.37"/>
    <b v="0"/>
    <x v="0"/>
    <x v="1"/>
    <s v="Rohit"/>
    <x v="5"/>
    <n v="4"/>
    <s v="Feb"/>
    <x v="6"/>
  </r>
  <r>
    <s v="ZAR-10468"/>
    <d v="2025-08-05T00:00:00"/>
    <x v="2"/>
    <d v="1899-12-30T16:07:00"/>
    <x v="1"/>
    <x v="2"/>
    <x v="15"/>
    <x v="2"/>
    <x v="8"/>
    <x v="0"/>
    <n v="1"/>
    <n v="4300"/>
    <x v="3"/>
    <n v="30"/>
    <s v="Valid"/>
    <s v="Match"/>
    <n v="4300"/>
    <n v="1290"/>
    <n v="3010"/>
    <n v="2523.5300000000002"/>
    <n v="486.47"/>
    <b v="0"/>
    <x v="0"/>
    <x v="4"/>
    <s v="Neha"/>
    <x v="4"/>
    <n v="2.5"/>
    <s v="Aug"/>
    <x v="6"/>
  </r>
  <r>
    <s v="ZAR-10123"/>
    <d v="2025-07-23T00:00:00"/>
    <x v="5"/>
    <d v="1899-12-30T15:11:00"/>
    <x v="1"/>
    <x v="0"/>
    <x v="2"/>
    <x v="6"/>
    <x v="1"/>
    <x v="3"/>
    <n v="1"/>
    <n v="115700"/>
    <x v="4"/>
    <s v="5"/>
    <s v="Invalid Discount"/>
    <s v="Match"/>
    <n v="115700"/>
    <n v="5785"/>
    <n v="109915"/>
    <n v="85546.01"/>
    <n v="24368.99"/>
    <b v="0"/>
    <x v="0"/>
    <x v="3"/>
    <s v="Neha"/>
    <x v="2"/>
    <n v="3"/>
    <s v="Jul"/>
    <x v="1"/>
  </r>
  <r>
    <s v="ZAR-10616"/>
    <d v="2025-08-22T00:00:00"/>
    <x v="5"/>
    <d v="1899-12-30T13:26:00"/>
    <x v="3"/>
    <x v="2"/>
    <x v="15"/>
    <x v="0"/>
    <x v="8"/>
    <x v="0"/>
    <n v="1"/>
    <n v="5250"/>
    <x v="0"/>
    <n v="15"/>
    <s v="Valid"/>
    <s v="Match"/>
    <n v="5250"/>
    <n v="787.5"/>
    <n v="4462.5"/>
    <n v="3479.49"/>
    <n v="983.01"/>
    <b v="0"/>
    <x v="0"/>
    <x v="0"/>
    <s v="Sanjay"/>
    <x v="3"/>
    <n v="3"/>
    <s v="Aug"/>
    <x v="3"/>
  </r>
  <r>
    <s v="ZAR-10022"/>
    <d v="2025-01-21T00:00:00"/>
    <x v="3"/>
    <d v="1899-12-30T11:13:00"/>
    <x v="1"/>
    <x v="1"/>
    <x v="13"/>
    <x v="0"/>
    <x v="7"/>
    <x v="0"/>
    <n v="1"/>
    <n v="4650"/>
    <x v="2"/>
    <n v="0"/>
    <s v="Valid"/>
    <s v="Match"/>
    <n v="4650"/>
    <n v="0"/>
    <n v="4650"/>
    <n v="2733.35"/>
    <n v="1916.65"/>
    <b v="0"/>
    <x v="0"/>
    <x v="1"/>
    <s v="Meera"/>
    <x v="6"/>
    <n v="4.5"/>
    <s v="Jan"/>
    <x v="6"/>
  </r>
  <r>
    <s v="ZAR-10702"/>
    <d v="2025-03-01T00:00:00"/>
    <x v="0"/>
    <d v="1899-12-30T05:29:00"/>
    <x v="3"/>
    <x v="0"/>
    <x v="0"/>
    <x v="0"/>
    <x v="5"/>
    <x v="1"/>
    <n v="1"/>
    <n v="4800"/>
    <x v="1"/>
    <n v="5"/>
    <s v="Valid"/>
    <s v="Match"/>
    <n v="4800"/>
    <n v="240"/>
    <n v="4560"/>
    <n v="3195.51"/>
    <n v="1364.49"/>
    <b v="0"/>
    <x v="0"/>
    <x v="0"/>
    <s v="Meera"/>
    <x v="1"/>
    <n v="5"/>
    <s v="Mar"/>
    <x v="5"/>
  </r>
  <r>
    <s v="ZAR-10073"/>
    <d v="2025-02-18T00:00:00"/>
    <x v="3"/>
    <d v="1899-12-30T10:27:00"/>
    <x v="3"/>
    <x v="0"/>
    <x v="1"/>
    <x v="2"/>
    <x v="3"/>
    <x v="1"/>
    <n v="3"/>
    <n v="2250"/>
    <x v="0"/>
    <n v="15"/>
    <s v="Valid"/>
    <s v="Match"/>
    <n v="6750"/>
    <n v="1012.5"/>
    <n v="5737.5"/>
    <n v="4127.74"/>
    <n v="1609.76"/>
    <b v="0"/>
    <x v="0"/>
    <x v="2"/>
    <s v="Ananya"/>
    <x v="2"/>
    <n v="5"/>
    <s v="Feb"/>
    <x v="6"/>
  </r>
  <r>
    <s v="ZAR-10108"/>
    <d v="2025-11-06T00:00:00"/>
    <x v="3"/>
    <d v="1899-12-30T10:53:00"/>
    <x v="4"/>
    <x v="0"/>
    <x v="6"/>
    <x v="6"/>
    <x v="6"/>
    <x v="0"/>
    <n v="2"/>
    <n v="21450"/>
    <x v="1"/>
    <n v="5"/>
    <s v="Valid"/>
    <s v="Match"/>
    <n v="42900"/>
    <n v="2145"/>
    <n v="40755"/>
    <n v="28525.119999999999"/>
    <n v="12229.88"/>
    <b v="0"/>
    <x v="0"/>
    <x v="1"/>
    <s v="Meera"/>
    <x v="5"/>
    <n v="3"/>
    <s v="Nov"/>
    <x v="4"/>
  </r>
  <r>
    <s v="ZAR-10272"/>
    <d v="2025-02-02T00:00:00"/>
    <x v="3"/>
    <d v="1899-12-30T08:14:00"/>
    <x v="3"/>
    <x v="0"/>
    <x v="4"/>
    <x v="6"/>
    <x v="3"/>
    <x v="0"/>
    <n v="1"/>
    <n v="38300"/>
    <x v="0"/>
    <n v="20"/>
    <s v="Valid"/>
    <s v="Match"/>
    <n v="38300"/>
    <n v="7660"/>
    <n v="30640"/>
    <n v="23584.49"/>
    <n v="7055.51"/>
    <b v="0"/>
    <x v="0"/>
    <x v="3"/>
    <s v="Ananya"/>
    <x v="6"/>
    <n v="4"/>
    <s v="Feb"/>
    <x v="0"/>
  </r>
  <r>
    <s v="ZAR-10862"/>
    <d v="2025-03-14T00:00:00"/>
    <x v="0"/>
    <d v="1899-12-30T07:33:00"/>
    <x v="5"/>
    <x v="0"/>
    <x v="4"/>
    <x v="0"/>
    <x v="1"/>
    <x v="4"/>
    <n v="1"/>
    <n v="9550"/>
    <x v="0"/>
    <n v="15"/>
    <s v="Valid"/>
    <s v="Match"/>
    <n v="9550"/>
    <n v="1432.5"/>
    <n v="8117.5"/>
    <n v="6243.02"/>
    <n v="1874.48"/>
    <b v="0"/>
    <x v="0"/>
    <x v="4"/>
    <s v="Unknown"/>
    <x v="3"/>
    <n v="4"/>
    <s v="Mar"/>
    <x v="3"/>
  </r>
  <r>
    <s v="ZAR-10437"/>
    <d v="2025-08-21T00:00:00"/>
    <x v="4"/>
    <d v="1899-12-30T21:31:00"/>
    <x v="2"/>
    <x v="0"/>
    <x v="4"/>
    <x v="3"/>
    <x v="8"/>
    <x v="0"/>
    <n v="1"/>
    <n v="7550"/>
    <x v="3"/>
    <n v="30"/>
    <s v="Valid"/>
    <s v="Match"/>
    <n v="7550"/>
    <n v="2265"/>
    <n v="5285"/>
    <n v="5454.1"/>
    <n v="-169.1"/>
    <b v="1"/>
    <x v="8"/>
    <x v="1"/>
    <s v="Sanjay"/>
    <x v="6"/>
    <n v="4"/>
    <s v="Aug"/>
    <x v="4"/>
  </r>
  <r>
    <s v="ZAR-10104"/>
    <d v="2025-06-03T00:00:00"/>
    <x v="0"/>
    <d v="1899-12-30T05:45:00"/>
    <x v="1"/>
    <x v="2"/>
    <x v="14"/>
    <x v="1"/>
    <x v="1"/>
    <x v="3"/>
    <n v="2"/>
    <n v="2650"/>
    <x v="0"/>
    <n v="20"/>
    <s v="Valid"/>
    <s v="Match"/>
    <n v="5300"/>
    <n v="1060"/>
    <n v="4240"/>
    <n v="3388.17"/>
    <n v="851.83"/>
    <b v="0"/>
    <x v="0"/>
    <x v="2"/>
    <s v="Rohit"/>
    <x v="6"/>
    <n v="4.5"/>
    <s v="Jun"/>
    <x v="6"/>
  </r>
  <r>
    <m/>
    <m/>
    <x v="6"/>
    <m/>
    <x v="8"/>
    <x v="3"/>
    <x v="19"/>
    <x v="8"/>
    <x v="9"/>
    <x v="8"/>
    <m/>
    <m/>
    <x v="6"/>
    <m/>
    <m/>
    <m/>
    <m/>
    <m/>
    <m/>
    <m/>
    <m/>
    <m/>
    <x v="9"/>
    <x v="5"/>
    <m/>
    <x v="7"/>
    <m/>
    <m/>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36F588-F983-4B4D-AEF6-D3C462F49C92}" name="PivotTable1"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D23" firstHeaderRow="0" firstDataRow="1" firstDataCol="1"/>
  <pivotFields count="29">
    <pivotField dataField="1" showAll="0"/>
    <pivotField showAll="0"/>
    <pivotField showAll="0"/>
    <pivotField showAll="0"/>
    <pivotField showAll="0">
      <items count="11">
        <item x="1"/>
        <item x="4"/>
        <item x="2"/>
        <item x="0"/>
        <item m="1" x="9"/>
        <item x="6"/>
        <item x="5"/>
        <item x="3"/>
        <item x="7"/>
        <item x="8"/>
        <item t="default"/>
      </items>
    </pivotField>
    <pivotField showAll="0">
      <items count="5">
        <item x="2"/>
        <item x="1"/>
        <item x="0"/>
        <item x="3"/>
        <item t="default"/>
      </items>
    </pivotField>
    <pivotField axis="axisRow" showAll="0">
      <items count="21">
        <item x="10"/>
        <item x="2"/>
        <item x="13"/>
        <item x="7"/>
        <item x="12"/>
        <item x="9"/>
        <item x="8"/>
        <item x="17"/>
        <item x="11"/>
        <item x="14"/>
        <item x="15"/>
        <item x="5"/>
        <item x="1"/>
        <item x="4"/>
        <item x="16"/>
        <item x="0"/>
        <item x="6"/>
        <item x="3"/>
        <item x="18"/>
        <item x="1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7">
        <item x="1"/>
        <item x="4"/>
        <item x="3"/>
        <item x="0"/>
        <item x="2"/>
        <item x="5"/>
        <item t="default"/>
      </items>
    </pivotField>
    <pivotField showAll="0"/>
    <pivotField showAll="0"/>
    <pivotField showAll="0"/>
    <pivotField showAll="0"/>
    <pivotField showAll="0"/>
  </pivotFields>
  <rowFields count="1">
    <field x="6"/>
  </rowFields>
  <rowItems count="20">
    <i>
      <x/>
    </i>
    <i>
      <x v="1"/>
    </i>
    <i>
      <x v="2"/>
    </i>
    <i>
      <x v="3"/>
    </i>
    <i>
      <x v="4"/>
    </i>
    <i>
      <x v="5"/>
    </i>
    <i>
      <x v="6"/>
    </i>
    <i>
      <x v="7"/>
    </i>
    <i>
      <x v="8"/>
    </i>
    <i>
      <x v="9"/>
    </i>
    <i>
      <x v="10"/>
    </i>
    <i>
      <x v="11"/>
    </i>
    <i>
      <x v="12"/>
    </i>
    <i>
      <x v="13"/>
    </i>
    <i>
      <x v="14"/>
    </i>
    <i>
      <x v="15"/>
    </i>
    <i>
      <x v="16"/>
    </i>
    <i>
      <x v="17"/>
    </i>
    <i>
      <x v="18"/>
    </i>
    <i>
      <x v="19"/>
    </i>
  </rowItems>
  <colFields count="1">
    <field x="-2"/>
  </colFields>
  <colItems count="3">
    <i>
      <x/>
    </i>
    <i i="1">
      <x v="1"/>
    </i>
    <i i="2">
      <x v="2"/>
    </i>
  </colItems>
  <dataFields count="3">
    <dataField name="Profit" fld="20" baseField="0" baseItem="0" numFmtId="166"/>
    <dataField name="Net Sales" fld="18" baseField="0" baseItem="0" numFmtId="166"/>
    <dataField name="Total Orders" fld="0" subtotal="count" baseField="0" baseItem="0"/>
  </dataFields>
  <formats count="1">
    <format dxfId="24">
      <pivotArea outline="0" collapsedLevelsAreSubtotals="1" fieldPosition="0">
        <references count="1">
          <reference field="4294967294" count="2" selected="0">
            <x v="0"/>
            <x v="1"/>
          </reference>
        </references>
      </pivotArea>
    </format>
  </formats>
  <chartFormats count="3">
    <chartFormat chart="23" format="6"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345FFD-CF85-40F4-A38C-7E6C2B3BBE3C}" name="PivotTable2"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A3:C8" firstHeaderRow="0" firstDataRow="1" firstDataCol="1"/>
  <pivotFields count="29">
    <pivotField showAll="0"/>
    <pivotField showAll="0"/>
    <pivotField showAll="0"/>
    <pivotField showAll="0"/>
    <pivotField showAll="0">
      <items count="11">
        <item x="1"/>
        <item x="4"/>
        <item x="2"/>
        <item x="0"/>
        <item m="1" x="9"/>
        <item x="6"/>
        <item x="5"/>
        <item x="3"/>
        <item x="7"/>
        <item x="8"/>
        <item t="default"/>
      </items>
    </pivotField>
    <pivotField showAll="0">
      <items count="5">
        <item x="2"/>
        <item x="1"/>
        <item x="0"/>
        <item x="3"/>
        <item t="default"/>
      </items>
    </pivotField>
    <pivotField showAll="0">
      <items count="21">
        <item x="10"/>
        <item x="2"/>
        <item x="13"/>
        <item x="7"/>
        <item x="12"/>
        <item x="9"/>
        <item x="8"/>
        <item x="17"/>
        <item x="11"/>
        <item x="14"/>
        <item x="15"/>
        <item x="5"/>
        <item x="1"/>
        <item x="4"/>
        <item x="16"/>
        <item x="0"/>
        <item x="6"/>
        <item x="3"/>
        <item x="18"/>
        <item x="19"/>
        <item t="default"/>
      </items>
    </pivotField>
    <pivotField axis="axisRow" showAll="0" measureFilter="1" sortType="descending">
      <items count="10">
        <item x="1"/>
        <item x="6"/>
        <item x="2"/>
        <item x="7"/>
        <item x="3"/>
        <item x="0"/>
        <item x="5"/>
        <item x="4"/>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7">
        <item x="1"/>
        <item x="4"/>
        <item x="3"/>
        <item x="0"/>
        <item x="2"/>
        <item x="5"/>
        <item t="default"/>
      </items>
    </pivotField>
    <pivotField showAll="0"/>
    <pivotField showAll="0"/>
    <pivotField showAll="0"/>
    <pivotField showAll="0"/>
    <pivotField showAll="0"/>
  </pivotFields>
  <rowFields count="1">
    <field x="7"/>
  </rowFields>
  <rowItems count="5">
    <i>
      <x v="7"/>
    </i>
    <i>
      <x v="6"/>
    </i>
    <i>
      <x v="2"/>
    </i>
    <i>
      <x v="5"/>
    </i>
    <i>
      <x v="1"/>
    </i>
  </rowItems>
  <colFields count="1">
    <field x="-2"/>
  </colFields>
  <colItems count="2">
    <i>
      <x/>
    </i>
    <i i="1">
      <x v="1"/>
    </i>
  </colItems>
  <dataFields count="2">
    <dataField name="Profit" fld="20" baseField="0" baseItem="0" numFmtId="166"/>
    <dataField name="Units Sold" fld="10" subtotal="count" baseField="0" baseItem="0"/>
  </dataFields>
  <formats count="1">
    <format dxfId="23">
      <pivotArea outline="0" collapsedLevelsAreSubtotals="1" fieldPosition="0">
        <references count="1">
          <reference field="4294967294" count="1" selected="0">
            <x v="0"/>
          </reference>
        </references>
      </pivotArea>
    </format>
  </formats>
  <chartFormats count="2">
    <chartFormat chart="29" format="8" series="1">
      <pivotArea type="data" outline="0" fieldPosition="0">
        <references count="1">
          <reference field="4294967294" count="1" selected="0">
            <x v="0"/>
          </reference>
        </references>
      </pivotArea>
    </chartFormat>
    <chartFormat chart="29"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E5E8E7-706B-4FDA-B8E3-C1942EA35096}" name="PivotTable3"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8" firstHeaderRow="1" firstDataRow="1" firstDataCol="1"/>
  <pivotFields count="29">
    <pivotField showAll="0"/>
    <pivotField showAll="0"/>
    <pivotField showAll="0"/>
    <pivotField showAll="0"/>
    <pivotField showAll="0">
      <items count="11">
        <item x="1"/>
        <item x="4"/>
        <item x="2"/>
        <item x="0"/>
        <item m="1" x="9"/>
        <item x="6"/>
        <item x="5"/>
        <item x="3"/>
        <item x="7"/>
        <item x="8"/>
        <item t="default"/>
      </items>
    </pivotField>
    <pivotField showAll="0">
      <items count="5">
        <item x="2"/>
        <item x="1"/>
        <item x="0"/>
        <item x="3"/>
        <item t="default"/>
      </items>
    </pivotField>
    <pivotField showAll="0">
      <items count="21">
        <item x="10"/>
        <item x="2"/>
        <item x="13"/>
        <item x="7"/>
        <item x="12"/>
        <item x="9"/>
        <item x="8"/>
        <item x="17"/>
        <item x="11"/>
        <item x="14"/>
        <item x="15"/>
        <item x="5"/>
        <item x="1"/>
        <item x="4"/>
        <item x="16"/>
        <item x="0"/>
        <item x="6"/>
        <item x="3"/>
        <item x="18"/>
        <item x="19"/>
        <item t="default"/>
      </items>
    </pivotField>
    <pivotField axis="axisRow" showAll="0" measureFilter="1" sortType="descending">
      <items count="10">
        <item x="1"/>
        <item x="6"/>
        <item x="2"/>
        <item x="7"/>
        <item x="3"/>
        <item x="0"/>
        <item x="5"/>
        <item x="4"/>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7">
        <item x="1"/>
        <item x="4"/>
        <item x="3"/>
        <item x="0"/>
        <item x="2"/>
        <item x="5"/>
        <item t="default"/>
      </items>
    </pivotField>
    <pivotField showAll="0"/>
    <pivotField showAll="0"/>
    <pivotField showAll="0"/>
    <pivotField showAll="0"/>
    <pivotField showAll="0"/>
  </pivotFields>
  <rowFields count="1">
    <field x="7"/>
  </rowFields>
  <rowItems count="5">
    <i>
      <x v="7"/>
    </i>
    <i>
      <x v="6"/>
    </i>
    <i>
      <x v="5"/>
    </i>
    <i>
      <x v="2"/>
    </i>
    <i>
      <x v="1"/>
    </i>
  </rowItems>
  <colItems count="1">
    <i/>
  </colItems>
  <dataFields count="1">
    <dataField name="Sum of Net_Sales" fld="18" baseField="0" baseItem="0" numFmtId="166"/>
  </dataFields>
  <formats count="1">
    <format dxfId="2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981074-D728-4321-8E29-6B3BFE14A9B5}" name="PivotTable4"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D12" firstHeaderRow="0" firstDataRow="1" firstDataCol="1"/>
  <pivotFields count="29">
    <pivotField showAll="0"/>
    <pivotField showAll="0"/>
    <pivotField showAll="0"/>
    <pivotField showAll="0"/>
    <pivotField axis="axisRow" showAll="0" sortType="descending">
      <items count="11">
        <item x="1"/>
        <item x="4"/>
        <item x="2"/>
        <item x="0"/>
        <item m="1" x="9"/>
        <item x="6"/>
        <item x="5"/>
        <item x="3"/>
        <item x="7"/>
        <item x="8"/>
        <item t="default"/>
      </items>
      <autoSortScope>
        <pivotArea dataOnly="0" outline="0" fieldPosition="0">
          <references count="1">
            <reference field="4294967294" count="1" selected="0">
              <x v="1"/>
            </reference>
          </references>
        </pivotArea>
      </autoSortScope>
    </pivotField>
    <pivotField showAll="0">
      <items count="5">
        <item x="2"/>
        <item x="1"/>
        <item x="0"/>
        <item x="3"/>
        <item t="default"/>
      </items>
    </pivotField>
    <pivotField showAll="0">
      <items count="21">
        <item x="10"/>
        <item x="2"/>
        <item x="13"/>
        <item x="7"/>
        <item x="12"/>
        <item x="9"/>
        <item x="8"/>
        <item x="17"/>
        <item x="11"/>
        <item x="14"/>
        <item x="15"/>
        <item x="5"/>
        <item x="1"/>
        <item x="4"/>
        <item x="16"/>
        <item x="0"/>
        <item x="6"/>
        <item x="3"/>
        <item x="18"/>
        <item x="19"/>
        <item t="default"/>
      </items>
    </pivotField>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7">
        <item x="1"/>
        <item x="4"/>
        <item x="3"/>
        <item x="0"/>
        <item x="2"/>
        <item x="5"/>
        <item t="default"/>
      </items>
    </pivotField>
    <pivotField showAll="0"/>
    <pivotField showAll="0"/>
    <pivotField showAll="0"/>
    <pivotField showAll="0"/>
    <pivotField showAll="0"/>
  </pivotFields>
  <rowFields count="1">
    <field x="4"/>
  </rowFields>
  <rowItems count="9">
    <i>
      <x v="2"/>
    </i>
    <i>
      <x v="7"/>
    </i>
    <i>
      <x v="1"/>
    </i>
    <i>
      <x v="5"/>
    </i>
    <i>
      <x v="6"/>
    </i>
    <i>
      <x/>
    </i>
    <i>
      <x v="3"/>
    </i>
    <i>
      <x v="8"/>
    </i>
    <i>
      <x v="9"/>
    </i>
  </rowItems>
  <colFields count="1">
    <field x="-2"/>
  </colFields>
  <colItems count="3">
    <i>
      <x/>
    </i>
    <i i="1">
      <x v="1"/>
    </i>
    <i i="2">
      <x v="2"/>
    </i>
  </colItems>
  <dataFields count="3">
    <dataField name="Count of Quantity" fld="10" subtotal="count" baseField="0" baseItem="0"/>
    <dataField name="Sum of Net_Sales" fld="18" baseField="0" baseItem="0" numFmtId="166"/>
    <dataField name="Sum of Profit" fld="20" baseField="0" baseItem="0" numFmtId="166"/>
  </dataFields>
  <formats count="1">
    <format dxfId="21">
      <pivotArea outline="0" collapsedLevelsAreSubtotals="1" fieldPosition="0">
        <references count="1">
          <reference field="4294967294" count="2" selected="0">
            <x v="1"/>
            <x v="2"/>
          </reference>
        </references>
      </pivotArea>
    </format>
  </formats>
  <chartFormats count="30">
    <chartFormat chart="3" format="33" series="1">
      <pivotArea type="data" outline="0" fieldPosition="0">
        <references count="1">
          <reference field="4294967294" count="1" selected="0">
            <x v="0"/>
          </reference>
        </references>
      </pivotArea>
    </chartFormat>
    <chartFormat chart="3" format="34">
      <pivotArea type="data" outline="0" fieldPosition="0">
        <references count="2">
          <reference field="4294967294" count="1" selected="0">
            <x v="0"/>
          </reference>
          <reference field="4" count="1" selected="0">
            <x v="2"/>
          </reference>
        </references>
      </pivotArea>
    </chartFormat>
    <chartFormat chart="3" format="35">
      <pivotArea type="data" outline="0" fieldPosition="0">
        <references count="2">
          <reference field="4294967294" count="1" selected="0">
            <x v="0"/>
          </reference>
          <reference field="4" count="1" selected="0">
            <x v="7"/>
          </reference>
        </references>
      </pivotArea>
    </chartFormat>
    <chartFormat chart="3" format="36">
      <pivotArea type="data" outline="0" fieldPosition="0">
        <references count="2">
          <reference field="4294967294" count="1" selected="0">
            <x v="0"/>
          </reference>
          <reference field="4" count="1" selected="0">
            <x v="1"/>
          </reference>
        </references>
      </pivotArea>
    </chartFormat>
    <chartFormat chart="3" format="37">
      <pivotArea type="data" outline="0" fieldPosition="0">
        <references count="2">
          <reference field="4294967294" count="1" selected="0">
            <x v="0"/>
          </reference>
          <reference field="4" count="1" selected="0">
            <x v="5"/>
          </reference>
        </references>
      </pivotArea>
    </chartFormat>
    <chartFormat chart="3" format="38">
      <pivotArea type="data" outline="0" fieldPosition="0">
        <references count="2">
          <reference field="4294967294" count="1" selected="0">
            <x v="0"/>
          </reference>
          <reference field="4" count="1" selected="0">
            <x v="6"/>
          </reference>
        </references>
      </pivotArea>
    </chartFormat>
    <chartFormat chart="3" format="39">
      <pivotArea type="data" outline="0" fieldPosition="0">
        <references count="2">
          <reference field="4294967294" count="1" selected="0">
            <x v="0"/>
          </reference>
          <reference field="4" count="1" selected="0">
            <x v="0"/>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 chart="3" format="41">
      <pivotArea type="data" outline="0" fieldPosition="0">
        <references count="2">
          <reference field="4294967294" count="1" selected="0">
            <x v="0"/>
          </reference>
          <reference field="4" count="1" selected="0">
            <x v="8"/>
          </reference>
        </references>
      </pivotArea>
    </chartFormat>
    <chartFormat chart="3" format="42">
      <pivotArea type="data" outline="0" fieldPosition="0">
        <references count="2">
          <reference field="4294967294" count="1" selected="0">
            <x v="0"/>
          </reference>
          <reference field="4" count="1" selected="0">
            <x v="4"/>
          </reference>
        </references>
      </pivotArea>
    </chartFormat>
    <chartFormat chart="3" format="43" series="1">
      <pivotArea type="data" outline="0" fieldPosition="0">
        <references count="1">
          <reference field="4294967294" count="1" selected="0">
            <x v="1"/>
          </reference>
        </references>
      </pivotArea>
    </chartFormat>
    <chartFormat chart="3" format="44">
      <pivotArea type="data" outline="0" fieldPosition="0">
        <references count="2">
          <reference field="4294967294" count="1" selected="0">
            <x v="1"/>
          </reference>
          <reference field="4" count="1" selected="0">
            <x v="2"/>
          </reference>
        </references>
      </pivotArea>
    </chartFormat>
    <chartFormat chart="3" format="45">
      <pivotArea type="data" outline="0" fieldPosition="0">
        <references count="2">
          <reference field="4294967294" count="1" selected="0">
            <x v="1"/>
          </reference>
          <reference field="4" count="1" selected="0">
            <x v="7"/>
          </reference>
        </references>
      </pivotArea>
    </chartFormat>
    <chartFormat chart="3" format="46">
      <pivotArea type="data" outline="0" fieldPosition="0">
        <references count="2">
          <reference field="4294967294" count="1" selected="0">
            <x v="1"/>
          </reference>
          <reference field="4" count="1" selected="0">
            <x v="1"/>
          </reference>
        </references>
      </pivotArea>
    </chartFormat>
    <chartFormat chart="3" format="47">
      <pivotArea type="data" outline="0" fieldPosition="0">
        <references count="2">
          <reference field="4294967294" count="1" selected="0">
            <x v="1"/>
          </reference>
          <reference field="4" count="1" selected="0">
            <x v="5"/>
          </reference>
        </references>
      </pivotArea>
    </chartFormat>
    <chartFormat chart="3" format="48">
      <pivotArea type="data" outline="0" fieldPosition="0">
        <references count="2">
          <reference field="4294967294" count="1" selected="0">
            <x v="1"/>
          </reference>
          <reference field="4" count="1" selected="0">
            <x v="6"/>
          </reference>
        </references>
      </pivotArea>
    </chartFormat>
    <chartFormat chart="3" format="49">
      <pivotArea type="data" outline="0" fieldPosition="0">
        <references count="2">
          <reference field="4294967294" count="1" selected="0">
            <x v="1"/>
          </reference>
          <reference field="4" count="1" selected="0">
            <x v="0"/>
          </reference>
        </references>
      </pivotArea>
    </chartFormat>
    <chartFormat chart="3" format="50">
      <pivotArea type="data" outline="0" fieldPosition="0">
        <references count="2">
          <reference field="4294967294" count="1" selected="0">
            <x v="1"/>
          </reference>
          <reference field="4" count="1" selected="0">
            <x v="3"/>
          </reference>
        </references>
      </pivotArea>
    </chartFormat>
    <chartFormat chart="3" format="51">
      <pivotArea type="data" outline="0" fieldPosition="0">
        <references count="2">
          <reference field="4294967294" count="1" selected="0">
            <x v="1"/>
          </reference>
          <reference field="4" count="1" selected="0">
            <x v="8"/>
          </reference>
        </references>
      </pivotArea>
    </chartFormat>
    <chartFormat chart="3" format="52">
      <pivotArea type="data" outline="0" fieldPosition="0">
        <references count="2">
          <reference field="4294967294" count="1" selected="0">
            <x v="1"/>
          </reference>
          <reference field="4" count="1" selected="0">
            <x v="4"/>
          </reference>
        </references>
      </pivotArea>
    </chartFormat>
    <chartFormat chart="3" format="53" series="1">
      <pivotArea type="data" outline="0" fieldPosition="0">
        <references count="1">
          <reference field="4294967294" count="1" selected="0">
            <x v="2"/>
          </reference>
        </references>
      </pivotArea>
    </chartFormat>
    <chartFormat chart="3" format="54">
      <pivotArea type="data" outline="0" fieldPosition="0">
        <references count="2">
          <reference field="4294967294" count="1" selected="0">
            <x v="2"/>
          </reference>
          <reference field="4" count="1" selected="0">
            <x v="2"/>
          </reference>
        </references>
      </pivotArea>
    </chartFormat>
    <chartFormat chart="3" format="55">
      <pivotArea type="data" outline="0" fieldPosition="0">
        <references count="2">
          <reference field="4294967294" count="1" selected="0">
            <x v="2"/>
          </reference>
          <reference field="4" count="1" selected="0">
            <x v="7"/>
          </reference>
        </references>
      </pivotArea>
    </chartFormat>
    <chartFormat chart="3" format="56">
      <pivotArea type="data" outline="0" fieldPosition="0">
        <references count="2">
          <reference field="4294967294" count="1" selected="0">
            <x v="2"/>
          </reference>
          <reference field="4" count="1" selected="0">
            <x v="1"/>
          </reference>
        </references>
      </pivotArea>
    </chartFormat>
    <chartFormat chart="3" format="57">
      <pivotArea type="data" outline="0" fieldPosition="0">
        <references count="2">
          <reference field="4294967294" count="1" selected="0">
            <x v="2"/>
          </reference>
          <reference field="4" count="1" selected="0">
            <x v="5"/>
          </reference>
        </references>
      </pivotArea>
    </chartFormat>
    <chartFormat chart="3" format="58">
      <pivotArea type="data" outline="0" fieldPosition="0">
        <references count="2">
          <reference field="4294967294" count="1" selected="0">
            <x v="2"/>
          </reference>
          <reference field="4" count="1" selected="0">
            <x v="6"/>
          </reference>
        </references>
      </pivotArea>
    </chartFormat>
    <chartFormat chart="3" format="59">
      <pivotArea type="data" outline="0" fieldPosition="0">
        <references count="2">
          <reference field="4294967294" count="1" selected="0">
            <x v="2"/>
          </reference>
          <reference field="4" count="1" selected="0">
            <x v="0"/>
          </reference>
        </references>
      </pivotArea>
    </chartFormat>
    <chartFormat chart="3" format="60">
      <pivotArea type="data" outline="0" fieldPosition="0">
        <references count="2">
          <reference field="4294967294" count="1" selected="0">
            <x v="2"/>
          </reference>
          <reference field="4" count="1" selected="0">
            <x v="3"/>
          </reference>
        </references>
      </pivotArea>
    </chartFormat>
    <chartFormat chart="3" format="61">
      <pivotArea type="data" outline="0" fieldPosition="0">
        <references count="2">
          <reference field="4294967294" count="1" selected="0">
            <x v="2"/>
          </reference>
          <reference field="4" count="1" selected="0">
            <x v="8"/>
          </reference>
        </references>
      </pivotArea>
    </chartFormat>
    <chartFormat chart="3" format="62">
      <pivotArea type="data" outline="0" fieldPosition="0">
        <references count="2">
          <reference field="4294967294" count="1" selected="0">
            <x v="2"/>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DA2606-CE90-48FA-8A34-A8374ECD6710}" name="PivotTable5"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D12" firstHeaderRow="0" firstDataRow="1" firstDataCol="1"/>
  <pivotFields count="29">
    <pivotField dataField="1" showAll="0"/>
    <pivotField showAll="0"/>
    <pivotField showAll="0"/>
    <pivotField showAll="0"/>
    <pivotField showAll="0">
      <items count="11">
        <item x="1"/>
        <item x="4"/>
        <item x="2"/>
        <item x="0"/>
        <item m="1" x="9"/>
        <item x="6"/>
        <item x="5"/>
        <item x="3"/>
        <item x="7"/>
        <item x="8"/>
        <item t="default"/>
      </items>
    </pivotField>
    <pivotField showAll="0">
      <items count="5">
        <item x="2"/>
        <item x="1"/>
        <item x="0"/>
        <item x="3"/>
        <item t="default"/>
      </items>
    </pivotField>
    <pivotField showAll="0">
      <items count="21">
        <item x="10"/>
        <item x="2"/>
        <item x="13"/>
        <item x="7"/>
        <item x="12"/>
        <item x="9"/>
        <item x="8"/>
        <item x="17"/>
        <item x="11"/>
        <item x="14"/>
        <item x="15"/>
        <item x="5"/>
        <item x="1"/>
        <item x="4"/>
        <item x="16"/>
        <item x="0"/>
        <item x="6"/>
        <item x="3"/>
        <item x="18"/>
        <item x="19"/>
        <item t="default"/>
      </items>
    </pivotField>
    <pivotField showAll="0"/>
    <pivotField axis="axisRow" showAll="0" sortType="descending">
      <items count="11">
        <item x="5"/>
        <item x="8"/>
        <item x="7"/>
        <item x="3"/>
        <item x="0"/>
        <item x="4"/>
        <item x="2"/>
        <item x="1"/>
        <item x="6"/>
        <item h="1"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7">
        <item x="1"/>
        <item x="4"/>
        <item x="3"/>
        <item x="0"/>
        <item x="2"/>
        <item x="5"/>
        <item t="default"/>
      </items>
    </pivotField>
    <pivotField showAll="0"/>
    <pivotField showAll="0"/>
    <pivotField showAll="0"/>
    <pivotField showAll="0"/>
    <pivotField showAll="0"/>
  </pivotFields>
  <rowFields count="1">
    <field x="8"/>
  </rowFields>
  <rowItems count="9">
    <i>
      <x v="3"/>
    </i>
    <i>
      <x/>
    </i>
    <i>
      <x v="6"/>
    </i>
    <i>
      <x v="7"/>
    </i>
    <i>
      <x v="5"/>
    </i>
    <i>
      <x v="2"/>
    </i>
    <i>
      <x v="4"/>
    </i>
    <i>
      <x v="8"/>
    </i>
    <i>
      <x v="1"/>
    </i>
  </rowItems>
  <colFields count="1">
    <field x="-2"/>
  </colFields>
  <colItems count="3">
    <i>
      <x/>
    </i>
    <i i="1">
      <x v="1"/>
    </i>
    <i i="2">
      <x v="2"/>
    </i>
  </colItems>
  <dataFields count="3">
    <dataField name="Count of Order_ID" fld="0" subtotal="count" baseField="0" baseItem="0"/>
    <dataField name="Sum of Net_Sales" fld="18" baseField="0" baseItem="0" numFmtId="166"/>
    <dataField name="Sum of Profit" fld="20" baseField="0" baseItem="0" numFmtId="166"/>
  </dataFields>
  <formats count="1">
    <format dxfId="20">
      <pivotArea outline="0" collapsedLevelsAreSubtotals="1" fieldPosition="0">
        <references count="1">
          <reference field="4294967294" count="2" selected="0">
            <x v="1"/>
            <x v="2"/>
          </reference>
        </references>
      </pivotArea>
    </format>
  </formats>
  <chartFormats count="3">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0FB794-1DD7-480D-A3CD-465FE7D63507}" name="PivotTable6"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C11" firstHeaderRow="0" firstDataRow="1" firstDataCol="1"/>
  <pivotFields count="29">
    <pivotField dataField="1" showAll="0"/>
    <pivotField showAll="0"/>
    <pivotField showAll="0"/>
    <pivotField showAll="0"/>
    <pivotField showAll="0">
      <items count="11">
        <item x="1"/>
        <item x="4"/>
        <item x="2"/>
        <item x="0"/>
        <item m="1" x="9"/>
        <item x="6"/>
        <item x="5"/>
        <item x="3"/>
        <item x="7"/>
        <item x="8"/>
        <item t="default"/>
      </items>
    </pivotField>
    <pivotField showAll="0">
      <items count="5">
        <item x="2"/>
        <item x="1"/>
        <item x="0"/>
        <item x="3"/>
        <item t="default"/>
      </items>
    </pivotField>
    <pivotField showAll="0"/>
    <pivotField showAll="0"/>
    <pivotField showAll="0"/>
    <pivotField axis="axisRow" showAll="0" sortType="ascending">
      <items count="10">
        <item x="6"/>
        <item x="7"/>
        <item x="1"/>
        <item x="3"/>
        <item x="0"/>
        <item x="5"/>
        <item x="4"/>
        <item x="2"/>
        <item h="1" x="8"/>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7">
        <item x="1"/>
        <item x="4"/>
        <item x="3"/>
        <item x="0"/>
        <item x="2"/>
        <item x="5"/>
        <item t="default"/>
      </items>
    </pivotField>
    <pivotField showAll="0"/>
    <pivotField showAll="0"/>
    <pivotField showAll="0"/>
    <pivotField showAll="0"/>
    <pivotField showAll="0"/>
  </pivotFields>
  <rowFields count="1">
    <field x="9"/>
  </rowFields>
  <rowItems count="8">
    <i>
      <x/>
    </i>
    <i>
      <x v="1"/>
    </i>
    <i>
      <x v="5"/>
    </i>
    <i>
      <x v="3"/>
    </i>
    <i>
      <x v="7"/>
    </i>
    <i>
      <x v="6"/>
    </i>
    <i>
      <x v="2"/>
    </i>
    <i>
      <x v="4"/>
    </i>
  </rowItems>
  <colFields count="1">
    <field x="-2"/>
  </colFields>
  <colItems count="2">
    <i>
      <x/>
    </i>
    <i i="1">
      <x v="1"/>
    </i>
  </colItems>
  <dataFields count="2">
    <dataField name="Total Orders" fld="0" subtotal="count" baseField="0" baseItem="0"/>
    <dataField name="Total Profit" fld="20" baseField="0" baseItem="0" numFmtId="166"/>
  </dataFields>
  <formats count="1">
    <format dxfId="19">
      <pivotArea outline="0" collapsedLevelsAreSubtotals="1" fieldPosition="0">
        <references count="1">
          <reference field="4294967294" count="1" selected="0">
            <x v="1"/>
          </reference>
        </references>
      </pivotArea>
    </format>
  </formats>
  <chartFormats count="18">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0"/>
          </reference>
          <reference field="9" count="1" selected="0">
            <x v="0"/>
          </reference>
        </references>
      </pivotArea>
    </chartFormat>
    <chartFormat chart="6" format="7">
      <pivotArea type="data" outline="0" fieldPosition="0">
        <references count="2">
          <reference field="4294967294" count="1" selected="0">
            <x v="0"/>
          </reference>
          <reference field="9" count="1" selected="0">
            <x v="1"/>
          </reference>
        </references>
      </pivotArea>
    </chartFormat>
    <chartFormat chart="6" format="8">
      <pivotArea type="data" outline="0" fieldPosition="0">
        <references count="2">
          <reference field="4294967294" count="1" selected="0">
            <x v="0"/>
          </reference>
          <reference field="9" count="1" selected="0">
            <x v="5"/>
          </reference>
        </references>
      </pivotArea>
    </chartFormat>
    <chartFormat chart="6" format="9">
      <pivotArea type="data" outline="0" fieldPosition="0">
        <references count="2">
          <reference field="4294967294" count="1" selected="0">
            <x v="0"/>
          </reference>
          <reference field="9" count="1" selected="0">
            <x v="3"/>
          </reference>
        </references>
      </pivotArea>
    </chartFormat>
    <chartFormat chart="6" format="10">
      <pivotArea type="data" outline="0" fieldPosition="0">
        <references count="2">
          <reference field="4294967294" count="1" selected="0">
            <x v="0"/>
          </reference>
          <reference field="9" count="1" selected="0">
            <x v="7"/>
          </reference>
        </references>
      </pivotArea>
    </chartFormat>
    <chartFormat chart="6" format="11">
      <pivotArea type="data" outline="0" fieldPosition="0">
        <references count="2">
          <reference field="4294967294" count="1" selected="0">
            <x v="0"/>
          </reference>
          <reference field="9" count="1" selected="0">
            <x v="6"/>
          </reference>
        </references>
      </pivotArea>
    </chartFormat>
    <chartFormat chart="6" format="12">
      <pivotArea type="data" outline="0" fieldPosition="0">
        <references count="2">
          <reference field="4294967294" count="1" selected="0">
            <x v="0"/>
          </reference>
          <reference field="9" count="1" selected="0">
            <x v="2"/>
          </reference>
        </references>
      </pivotArea>
    </chartFormat>
    <chartFormat chart="6" format="13">
      <pivotArea type="data" outline="0" fieldPosition="0">
        <references count="2">
          <reference field="4294967294" count="1" selected="0">
            <x v="0"/>
          </reference>
          <reference field="9" count="1" selected="0">
            <x v="4"/>
          </reference>
        </references>
      </pivotArea>
    </chartFormat>
    <chartFormat chart="6" format="14">
      <pivotArea type="data" outline="0" fieldPosition="0">
        <references count="2">
          <reference field="4294967294" count="1" selected="0">
            <x v="1"/>
          </reference>
          <reference field="9" count="1" selected="0">
            <x v="0"/>
          </reference>
        </references>
      </pivotArea>
    </chartFormat>
    <chartFormat chart="6" format="15">
      <pivotArea type="data" outline="0" fieldPosition="0">
        <references count="2">
          <reference field="4294967294" count="1" selected="0">
            <x v="1"/>
          </reference>
          <reference field="9" count="1" selected="0">
            <x v="1"/>
          </reference>
        </references>
      </pivotArea>
    </chartFormat>
    <chartFormat chart="6" format="16">
      <pivotArea type="data" outline="0" fieldPosition="0">
        <references count="2">
          <reference field="4294967294" count="1" selected="0">
            <x v="1"/>
          </reference>
          <reference field="9" count="1" selected="0">
            <x v="5"/>
          </reference>
        </references>
      </pivotArea>
    </chartFormat>
    <chartFormat chart="6" format="17">
      <pivotArea type="data" outline="0" fieldPosition="0">
        <references count="2">
          <reference field="4294967294" count="1" selected="0">
            <x v="1"/>
          </reference>
          <reference field="9" count="1" selected="0">
            <x v="3"/>
          </reference>
        </references>
      </pivotArea>
    </chartFormat>
    <chartFormat chart="6" format="18">
      <pivotArea type="data" outline="0" fieldPosition="0">
        <references count="2">
          <reference field="4294967294" count="1" selected="0">
            <x v="1"/>
          </reference>
          <reference field="9" count="1" selected="0">
            <x v="7"/>
          </reference>
        </references>
      </pivotArea>
    </chartFormat>
    <chartFormat chart="6" format="19">
      <pivotArea type="data" outline="0" fieldPosition="0">
        <references count="2">
          <reference field="4294967294" count="1" selected="0">
            <x v="1"/>
          </reference>
          <reference field="9" count="1" selected="0">
            <x v="6"/>
          </reference>
        </references>
      </pivotArea>
    </chartFormat>
    <chartFormat chart="6" format="20">
      <pivotArea type="data" outline="0" fieldPosition="0">
        <references count="2">
          <reference field="4294967294" count="1" selected="0">
            <x v="1"/>
          </reference>
          <reference field="9" count="1" selected="0">
            <x v="2"/>
          </reference>
        </references>
      </pivotArea>
    </chartFormat>
    <chartFormat chart="6" format="21">
      <pivotArea type="data" outline="0" fieldPosition="0">
        <references count="2">
          <reference field="4294967294" count="1" selected="0">
            <x v="1"/>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1A78DD-B53C-47E6-8834-33BB6F9F6602}" name="PivotTable7"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D8" firstHeaderRow="0" firstDataRow="1" firstDataCol="1"/>
  <pivotFields count="29">
    <pivotField showAll="0"/>
    <pivotField showAll="0"/>
    <pivotField showAll="0"/>
    <pivotField showAll="0"/>
    <pivotField showAll="0">
      <items count="11">
        <item x="1"/>
        <item x="4"/>
        <item x="2"/>
        <item x="0"/>
        <item m="1" x="9"/>
        <item x="6"/>
        <item x="5"/>
        <item x="3"/>
        <item x="7"/>
        <item x="8"/>
        <item t="default"/>
      </items>
    </pivotField>
    <pivotField showAll="0">
      <items count="5">
        <item x="2"/>
        <item x="1"/>
        <item x="0"/>
        <item x="3"/>
        <item t="default"/>
      </items>
    </pivotField>
    <pivotField showAll="0">
      <items count="21">
        <item x="10"/>
        <item x="2"/>
        <item x="13"/>
        <item x="7"/>
        <item x="12"/>
        <item x="9"/>
        <item x="8"/>
        <item x="17"/>
        <item x="11"/>
        <item x="14"/>
        <item x="15"/>
        <item x="5"/>
        <item x="1"/>
        <item x="4"/>
        <item x="16"/>
        <item x="0"/>
        <item x="6"/>
        <item x="3"/>
        <item x="18"/>
        <item x="19"/>
        <item t="default"/>
      </items>
    </pivotField>
    <pivotField showAll="0"/>
    <pivotField showAll="0"/>
    <pivotField showAll="0"/>
    <pivotField showAll="0"/>
    <pivotField showAll="0"/>
    <pivotField axis="axisRow" showAll="0">
      <items count="8">
        <item x="2"/>
        <item x="1"/>
        <item x="0"/>
        <item x="3"/>
        <item x="4"/>
        <item h="1" x="5"/>
        <item h="1" x="6"/>
        <item t="default"/>
      </items>
    </pivotField>
    <pivotField showAll="0"/>
    <pivotField showAll="0"/>
    <pivotField showAll="0"/>
    <pivotField showAll="0"/>
    <pivotField dataField="1" showAll="0"/>
    <pivotField dataField="1" showAll="0"/>
    <pivotField showAll="0"/>
    <pivotField dataField="1" showAll="0"/>
    <pivotField showAll="0"/>
    <pivotField showAll="0"/>
    <pivotField showAll="0">
      <items count="7">
        <item x="1"/>
        <item x="4"/>
        <item x="3"/>
        <item x="0"/>
        <item x="2"/>
        <item x="5"/>
        <item t="default"/>
      </items>
    </pivotField>
    <pivotField showAll="0"/>
    <pivotField showAll="0"/>
    <pivotField showAll="0"/>
    <pivotField showAll="0"/>
    <pivotField showAll="0"/>
  </pivotFields>
  <rowFields count="1">
    <field x="12"/>
  </rowFields>
  <rowItems count="5">
    <i>
      <x/>
    </i>
    <i>
      <x v="1"/>
    </i>
    <i>
      <x v="2"/>
    </i>
    <i>
      <x v="3"/>
    </i>
    <i>
      <x v="4"/>
    </i>
  </rowItems>
  <colFields count="1">
    <field x="-2"/>
  </colFields>
  <colItems count="3">
    <i>
      <x/>
    </i>
    <i i="1">
      <x v="1"/>
    </i>
    <i i="2">
      <x v="2"/>
    </i>
  </colItems>
  <dataFields count="3">
    <dataField name="Net Sales" fld="18" baseField="0" baseItem="0"/>
    <dataField name="Total Profit" fld="20" baseField="0" baseItem="0"/>
    <dataField name="Discount Amount" fld="17" baseField="0" baseItem="0"/>
  </dataFields>
  <formats count="1">
    <format dxfId="18">
      <pivotArea outline="0" collapsedLevelsAreSubtotals="1" fieldPosition="0"/>
    </format>
  </formats>
  <chartFormats count="3">
    <chartFormat chart="8"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 chart="8"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613501-CBFB-4A57-BC89-5754AB1A9AB5}" name="PivotTable9"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B18:C25" firstHeaderRow="1" firstDataRow="1" firstDataCol="1"/>
  <pivotFields count="31">
    <pivotField showAll="0"/>
    <pivotField showAll="0"/>
    <pivotField showAll="0"/>
    <pivotField showAll="0">
      <items count="691">
        <item x="611"/>
        <item x="310"/>
        <item x="609"/>
        <item x="265"/>
        <item x="302"/>
        <item x="655"/>
        <item x="81"/>
        <item x="224"/>
        <item x="489"/>
        <item x="8"/>
        <item x="600"/>
        <item x="587"/>
        <item x="377"/>
        <item x="238"/>
        <item x="103"/>
        <item x="619"/>
        <item x="581"/>
        <item x="59"/>
        <item x="105"/>
        <item x="409"/>
        <item x="477"/>
        <item x="620"/>
        <item x="453"/>
        <item x="342"/>
        <item x="505"/>
        <item x="221"/>
        <item x="418"/>
        <item x="639"/>
        <item x="252"/>
        <item x="593"/>
        <item x="85"/>
        <item x="552"/>
        <item x="451"/>
        <item x="566"/>
        <item x="539"/>
        <item x="371"/>
        <item x="480"/>
        <item x="636"/>
        <item x="413"/>
        <item x="275"/>
        <item x="671"/>
        <item x="74"/>
        <item x="563"/>
        <item x="659"/>
        <item x="148"/>
        <item x="598"/>
        <item x="614"/>
        <item x="53"/>
        <item x="257"/>
        <item x="410"/>
        <item x="370"/>
        <item x="596"/>
        <item x="606"/>
        <item x="473"/>
        <item x="429"/>
        <item x="557"/>
        <item x="475"/>
        <item x="102"/>
        <item x="478"/>
        <item x="253"/>
        <item x="164"/>
        <item x="625"/>
        <item x="122"/>
        <item x="187"/>
        <item x="110"/>
        <item x="605"/>
        <item x="47"/>
        <item x="561"/>
        <item x="559"/>
        <item x="72"/>
        <item x="142"/>
        <item x="494"/>
        <item x="41"/>
        <item x="586"/>
        <item x="204"/>
        <item x="330"/>
        <item x="406"/>
        <item x="227"/>
        <item x="661"/>
        <item x="435"/>
        <item x="194"/>
        <item x="1"/>
        <item x="117"/>
        <item x="137"/>
        <item x="175"/>
        <item x="319"/>
        <item x="678"/>
        <item x="133"/>
        <item x="635"/>
        <item x="171"/>
        <item x="411"/>
        <item x="466"/>
        <item x="361"/>
        <item x="602"/>
        <item x="412"/>
        <item x="366"/>
        <item x="665"/>
        <item x="647"/>
        <item x="273"/>
        <item x="205"/>
        <item x="536"/>
        <item x="472"/>
        <item x="382"/>
        <item x="538"/>
        <item x="34"/>
        <item x="626"/>
        <item x="444"/>
        <item x="357"/>
        <item x="270"/>
        <item x="629"/>
        <item x="663"/>
        <item x="398"/>
        <item x="644"/>
        <item x="251"/>
        <item x="533"/>
        <item x="456"/>
        <item x="682"/>
        <item x="268"/>
        <item x="5"/>
        <item x="543"/>
        <item x="632"/>
        <item x="395"/>
        <item x="394"/>
        <item x="266"/>
        <item x="108"/>
        <item x="622"/>
        <item x="308"/>
        <item x="564"/>
        <item x="670"/>
        <item x="652"/>
        <item x="360"/>
        <item x="470"/>
        <item x="585"/>
        <item x="98"/>
        <item x="97"/>
        <item x="195"/>
        <item x="27"/>
        <item x="681"/>
        <item x="26"/>
        <item x="123"/>
        <item x="383"/>
        <item x="448"/>
        <item x="262"/>
        <item x="240"/>
        <item x="352"/>
        <item x="158"/>
        <item x="338"/>
        <item x="297"/>
        <item x="653"/>
        <item x="228"/>
        <item x="616"/>
        <item x="219"/>
        <item x="87"/>
        <item x="358"/>
        <item x="271"/>
        <item x="540"/>
        <item x="140"/>
        <item x="485"/>
        <item x="438"/>
        <item x="106"/>
        <item x="210"/>
        <item x="127"/>
        <item x="513"/>
        <item x="608"/>
        <item x="83"/>
        <item x="0"/>
        <item x="52"/>
        <item x="535"/>
        <item x="686"/>
        <item x="291"/>
        <item x="304"/>
        <item x="50"/>
        <item x="476"/>
        <item x="651"/>
        <item x="124"/>
        <item x="64"/>
        <item x="454"/>
        <item x="80"/>
        <item x="460"/>
        <item x="351"/>
        <item x="200"/>
        <item x="542"/>
        <item x="420"/>
        <item x="425"/>
        <item x="350"/>
        <item x="367"/>
        <item x="506"/>
        <item x="188"/>
        <item x="376"/>
        <item x="443"/>
        <item x="139"/>
        <item x="549"/>
        <item x="486"/>
        <item x="322"/>
        <item x="571"/>
        <item x="267"/>
        <item x="301"/>
        <item x="482"/>
        <item x="432"/>
        <item x="612"/>
        <item x="328"/>
        <item x="230"/>
        <item x="272"/>
        <item x="39"/>
        <item x="312"/>
        <item x="180"/>
        <item x="428"/>
        <item x="36"/>
        <item x="340"/>
        <item x="134"/>
        <item x="42"/>
        <item x="568"/>
        <item x="51"/>
        <item x="553"/>
        <item x="402"/>
        <item x="121"/>
        <item x="173"/>
        <item x="261"/>
        <item x="510"/>
        <item x="201"/>
        <item x="165"/>
        <item x="147"/>
        <item x="515"/>
        <item x="23"/>
        <item x="623"/>
        <item x="220"/>
        <item x="277"/>
        <item x="498"/>
        <item x="170"/>
        <item x="384"/>
        <item x="284"/>
        <item x="40"/>
        <item x="285"/>
        <item x="144"/>
        <item x="471"/>
        <item x="203"/>
        <item x="329"/>
        <item x="414"/>
        <item x="225"/>
        <item x="282"/>
        <item x="254"/>
        <item x="668"/>
        <item x="46"/>
        <item x="218"/>
        <item x="577"/>
        <item x="434"/>
        <item x="677"/>
        <item x="667"/>
        <item x="509"/>
        <item x="524"/>
        <item x="689"/>
        <item x="99"/>
        <item x="496"/>
        <item x="416"/>
        <item x="153"/>
        <item x="22"/>
        <item x="468"/>
        <item x="364"/>
        <item x="603"/>
        <item x="141"/>
        <item x="627"/>
        <item x="458"/>
        <item x="90"/>
        <item x="638"/>
        <item x="125"/>
        <item x="242"/>
        <item x="427"/>
        <item x="676"/>
        <item x="38"/>
        <item x="634"/>
        <item x="232"/>
        <item x="37"/>
        <item x="189"/>
        <item x="250"/>
        <item x="283"/>
        <item x="300"/>
        <item x="236"/>
        <item x="390"/>
        <item x="578"/>
        <item x="567"/>
        <item x="234"/>
        <item x="334"/>
        <item x="343"/>
        <item x="179"/>
        <item x="177"/>
        <item x="159"/>
        <item x="305"/>
        <item x="628"/>
        <item x="531"/>
        <item x="680"/>
        <item x="157"/>
        <item x="385"/>
        <item x="116"/>
        <item x="487"/>
        <item x="3"/>
        <item x="18"/>
        <item x="392"/>
        <item x="185"/>
        <item x="222"/>
        <item x="65"/>
        <item x="551"/>
        <item x="263"/>
        <item x="442"/>
        <item x="132"/>
        <item x="216"/>
        <item x="555"/>
        <item x="44"/>
        <item x="507"/>
        <item x="490"/>
        <item x="500"/>
        <item x="289"/>
        <item x="327"/>
        <item x="514"/>
        <item x="135"/>
        <item x="687"/>
        <item x="526"/>
        <item x="592"/>
        <item x="32"/>
        <item x="182"/>
        <item x="404"/>
        <item x="84"/>
        <item x="258"/>
        <item x="621"/>
        <item x="143"/>
        <item x="359"/>
        <item x="570"/>
        <item x="457"/>
        <item x="688"/>
        <item x="89"/>
        <item x="237"/>
        <item x="118"/>
        <item x="12"/>
        <item x="554"/>
        <item x="591"/>
        <item x="48"/>
        <item x="527"/>
        <item x="181"/>
        <item x="547"/>
        <item x="332"/>
        <item x="685"/>
        <item x="303"/>
        <item x="29"/>
        <item x="33"/>
        <item x="91"/>
        <item x="146"/>
        <item x="381"/>
        <item x="21"/>
        <item x="558"/>
        <item x="190"/>
        <item x="521"/>
        <item x="648"/>
        <item x="298"/>
        <item x="101"/>
        <item x="292"/>
        <item x="464"/>
        <item x="58"/>
        <item x="14"/>
        <item x="278"/>
        <item x="445"/>
        <item x="107"/>
        <item x="63"/>
        <item x="15"/>
        <item x="239"/>
        <item x="184"/>
        <item x="60"/>
        <item x="373"/>
        <item x="502"/>
        <item x="67"/>
        <item x="400"/>
        <item x="16"/>
        <item x="35"/>
        <item x="174"/>
        <item x="229"/>
        <item x="662"/>
        <item x="138"/>
        <item x="154"/>
        <item x="642"/>
        <item x="11"/>
        <item x="131"/>
        <item x="75"/>
        <item x="346"/>
        <item x="78"/>
        <item x="70"/>
        <item x="545"/>
        <item x="309"/>
        <item x="45"/>
        <item x="56"/>
        <item x="337"/>
        <item x="528"/>
        <item x="269"/>
        <item x="61"/>
        <item x="455"/>
        <item x="469"/>
        <item x="474"/>
        <item x="111"/>
        <item x="192"/>
        <item x="317"/>
        <item x="152"/>
        <item x="276"/>
        <item x="440"/>
        <item x="55"/>
        <item x="313"/>
        <item x="199"/>
        <item x="296"/>
        <item x="353"/>
        <item x="529"/>
        <item x="202"/>
        <item x="525"/>
        <item x="293"/>
        <item x="683"/>
        <item x="295"/>
        <item x="441"/>
        <item x="673"/>
        <item x="499"/>
        <item x="172"/>
        <item x="391"/>
        <item x="520"/>
        <item x="355"/>
        <item x="594"/>
        <item x="646"/>
        <item x="193"/>
        <item x="331"/>
        <item x="86"/>
        <item x="299"/>
        <item x="415"/>
        <item x="244"/>
        <item x="607"/>
        <item x="25"/>
        <item x="387"/>
        <item x="10"/>
        <item x="211"/>
        <item x="565"/>
        <item x="315"/>
        <item x="119"/>
        <item x="503"/>
        <item x="320"/>
        <item x="94"/>
        <item x="150"/>
        <item x="467"/>
        <item x="497"/>
        <item x="449"/>
        <item x="341"/>
        <item x="208"/>
        <item x="316"/>
        <item x="618"/>
        <item x="684"/>
        <item x="311"/>
        <item x="517"/>
        <item x="640"/>
        <item x="572"/>
        <item x="666"/>
        <item x="656"/>
        <item x="447"/>
        <item x="264"/>
        <item x="235"/>
        <item x="604"/>
        <item x="249"/>
        <item x="483"/>
        <item x="246"/>
        <item x="495"/>
        <item x="7"/>
        <item x="654"/>
        <item x="73"/>
        <item x="657"/>
        <item x="436"/>
        <item x="576"/>
        <item x="247"/>
        <item x="679"/>
        <item x="183"/>
        <item x="126"/>
        <item x="155"/>
        <item x="584"/>
        <item x="546"/>
        <item x="162"/>
        <item x="215"/>
        <item x="450"/>
        <item x="54"/>
        <item x="344"/>
        <item x="493"/>
        <item x="492"/>
        <item x="279"/>
        <item x="19"/>
        <item x="424"/>
        <item x="260"/>
        <item x="168"/>
        <item x="601"/>
        <item x="465"/>
        <item x="68"/>
        <item x="160"/>
        <item x="166"/>
        <item x="109"/>
        <item x="207"/>
        <item x="339"/>
        <item x="365"/>
        <item x="306"/>
        <item x="115"/>
        <item x="333"/>
        <item x="212"/>
        <item x="386"/>
        <item x="196"/>
        <item x="650"/>
        <item x="363"/>
        <item x="214"/>
        <item x="335"/>
        <item x="544"/>
        <item x="43"/>
        <item x="589"/>
        <item x="120"/>
        <item x="643"/>
        <item x="556"/>
        <item x="401"/>
        <item x="13"/>
        <item x="362"/>
        <item x="130"/>
        <item x="290"/>
        <item x="149"/>
        <item x="17"/>
        <item x="186"/>
        <item x="163"/>
        <item x="255"/>
        <item x="511"/>
        <item x="318"/>
        <item x="439"/>
        <item x="129"/>
        <item x="573"/>
        <item x="550"/>
        <item x="151"/>
        <item x="379"/>
        <item x="197"/>
        <item x="57"/>
        <item x="2"/>
        <item x="481"/>
        <item x="512"/>
        <item x="156"/>
        <item x="658"/>
        <item x="633"/>
        <item x="501"/>
        <item x="256"/>
        <item x="610"/>
        <item x="241"/>
        <item x="631"/>
        <item x="348"/>
        <item x="419"/>
        <item x="522"/>
        <item x="615"/>
        <item x="243"/>
        <item x="569"/>
        <item x="66"/>
        <item x="28"/>
        <item x="575"/>
        <item x="161"/>
        <item x="582"/>
        <item x="669"/>
        <item x="430"/>
        <item x="336"/>
        <item x="504"/>
        <item x="288"/>
        <item x="287"/>
        <item x="599"/>
        <item x="77"/>
        <item x="479"/>
        <item x="314"/>
        <item x="4"/>
        <item x="169"/>
        <item x="590"/>
        <item x="231"/>
        <item x="213"/>
        <item x="624"/>
        <item x="674"/>
        <item x="145"/>
        <item x="534"/>
        <item x="580"/>
        <item x="560"/>
        <item x="461"/>
        <item x="176"/>
        <item x="280"/>
        <item x="114"/>
        <item x="518"/>
        <item x="660"/>
        <item x="463"/>
        <item x="588"/>
        <item x="462"/>
        <item x="378"/>
        <item x="9"/>
        <item x="388"/>
        <item x="128"/>
        <item x="82"/>
        <item x="597"/>
        <item x="675"/>
        <item x="326"/>
        <item x="491"/>
        <item x="136"/>
        <item x="281"/>
        <item x="96"/>
        <item x="548"/>
        <item x="209"/>
        <item x="93"/>
        <item x="100"/>
        <item x="307"/>
        <item x="71"/>
        <item x="206"/>
        <item x="393"/>
        <item x="405"/>
        <item x="422"/>
        <item x="399"/>
        <item x="433"/>
        <item x="519"/>
        <item x="167"/>
        <item x="88"/>
        <item x="637"/>
        <item x="95"/>
        <item x="408"/>
        <item x="324"/>
        <item x="407"/>
        <item x="523"/>
        <item x="672"/>
        <item x="191"/>
        <item x="79"/>
        <item x="104"/>
        <item x="49"/>
        <item x="286"/>
        <item x="372"/>
        <item x="459"/>
        <item x="541"/>
        <item x="374"/>
        <item x="488"/>
        <item x="345"/>
        <item x="537"/>
        <item x="645"/>
        <item x="325"/>
        <item x="380"/>
        <item x="76"/>
        <item x="403"/>
        <item x="92"/>
        <item x="375"/>
        <item x="30"/>
        <item x="574"/>
        <item x="417"/>
        <item x="579"/>
        <item x="62"/>
        <item x="423"/>
        <item x="664"/>
        <item x="217"/>
        <item x="349"/>
        <item x="354"/>
        <item x="368"/>
        <item x="226"/>
        <item x="112"/>
        <item x="649"/>
        <item x="437"/>
        <item x="431"/>
        <item x="508"/>
        <item x="562"/>
        <item x="397"/>
        <item x="630"/>
        <item x="259"/>
        <item x="323"/>
        <item x="321"/>
        <item x="484"/>
        <item x="396"/>
        <item x="532"/>
        <item x="369"/>
        <item x="294"/>
        <item x="24"/>
        <item x="6"/>
        <item x="530"/>
        <item x="426"/>
        <item x="421"/>
        <item x="178"/>
        <item x="245"/>
        <item x="347"/>
        <item x="446"/>
        <item x="613"/>
        <item x="113"/>
        <item x="617"/>
        <item x="389"/>
        <item x="452"/>
        <item x="516"/>
        <item x="356"/>
        <item x="233"/>
        <item x="248"/>
        <item x="641"/>
        <item x="595"/>
        <item x="274"/>
        <item x="198"/>
        <item x="223"/>
        <item x="69"/>
        <item x="583"/>
        <item x="31"/>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numFmtId="166" showAll="0"/>
    <pivotField dataField="1" numFmtId="166" showAll="0"/>
    <pivotField numFmtId="166" showAll="0"/>
    <pivotField numFmtId="166" showAll="0"/>
    <pivotField showAll="0"/>
    <pivotField numFmtId="166" showAll="0"/>
    <pivotField showAll="0"/>
    <pivotField showAll="0"/>
    <pivotField showAll="0"/>
    <pivotField showAll="0"/>
    <pivotField showAll="0"/>
    <pivotField axis="axisRow" showAll="0">
      <items count="8">
        <item x="0"/>
        <item x="2"/>
        <item x="6"/>
        <item x="1"/>
        <item x="4"/>
        <item x="3"/>
        <item x="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8"/>
  </rowFields>
  <rowItems count="7">
    <i>
      <x/>
    </i>
    <i>
      <x v="1"/>
    </i>
    <i>
      <x v="2"/>
    </i>
    <i>
      <x v="3"/>
    </i>
    <i>
      <x v="4"/>
    </i>
    <i>
      <x v="5"/>
    </i>
    <i>
      <x v="6"/>
    </i>
  </rowItems>
  <colItems count="1">
    <i/>
  </colItems>
  <dataFields count="1">
    <dataField name="Sum of Net_Sales" fld="18" baseField="0" baseItem="0" numFmtId="166"/>
  </dataFields>
  <chartFormats count="3">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E0912C-8A6D-4F16-9A5D-0CF58B4EE81D}" name="PivotTable8" cacheId="56"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6">
  <location ref="A3:C15" firstHeaderRow="0" firstDataRow="1" firstDataCol="1"/>
  <pivotFields count="31">
    <pivotField showAll="0"/>
    <pivotField showAll="0"/>
    <pivotField showAll="0"/>
    <pivotField showAll="0">
      <items count="691">
        <item x="611"/>
        <item x="310"/>
        <item x="609"/>
        <item x="265"/>
        <item x="302"/>
        <item x="655"/>
        <item x="81"/>
        <item x="224"/>
        <item x="489"/>
        <item x="8"/>
        <item x="600"/>
        <item x="587"/>
        <item x="377"/>
        <item x="238"/>
        <item x="103"/>
        <item x="619"/>
        <item x="581"/>
        <item x="59"/>
        <item x="105"/>
        <item x="409"/>
        <item x="477"/>
        <item x="620"/>
        <item x="453"/>
        <item x="342"/>
        <item x="505"/>
        <item x="221"/>
        <item x="418"/>
        <item x="639"/>
        <item x="252"/>
        <item x="593"/>
        <item x="85"/>
        <item x="552"/>
        <item x="451"/>
        <item x="566"/>
        <item x="539"/>
        <item x="371"/>
        <item x="480"/>
        <item x="636"/>
        <item x="413"/>
        <item x="275"/>
        <item x="671"/>
        <item x="74"/>
        <item x="563"/>
        <item x="659"/>
        <item x="148"/>
        <item x="598"/>
        <item x="614"/>
        <item x="53"/>
        <item x="257"/>
        <item x="410"/>
        <item x="370"/>
        <item x="596"/>
        <item x="606"/>
        <item x="473"/>
        <item x="429"/>
        <item x="557"/>
        <item x="475"/>
        <item x="102"/>
        <item x="478"/>
        <item x="253"/>
        <item x="164"/>
        <item x="625"/>
        <item x="122"/>
        <item x="187"/>
        <item x="110"/>
        <item x="605"/>
        <item x="47"/>
        <item x="561"/>
        <item x="559"/>
        <item x="72"/>
        <item x="142"/>
        <item x="494"/>
        <item x="41"/>
        <item x="586"/>
        <item x="204"/>
        <item x="330"/>
        <item x="406"/>
        <item x="227"/>
        <item x="661"/>
        <item x="435"/>
        <item x="194"/>
        <item x="1"/>
        <item x="117"/>
        <item x="137"/>
        <item x="175"/>
        <item x="319"/>
        <item x="678"/>
        <item x="133"/>
        <item x="635"/>
        <item x="171"/>
        <item x="411"/>
        <item x="466"/>
        <item x="361"/>
        <item x="602"/>
        <item x="412"/>
        <item x="366"/>
        <item x="665"/>
        <item x="647"/>
        <item x="273"/>
        <item x="205"/>
        <item x="536"/>
        <item x="472"/>
        <item x="382"/>
        <item x="538"/>
        <item x="34"/>
        <item x="626"/>
        <item x="444"/>
        <item x="357"/>
        <item x="270"/>
        <item x="629"/>
        <item x="663"/>
        <item x="398"/>
        <item x="644"/>
        <item x="251"/>
        <item x="533"/>
        <item x="456"/>
        <item x="682"/>
        <item x="268"/>
        <item x="5"/>
        <item x="543"/>
        <item x="632"/>
        <item x="395"/>
        <item x="394"/>
        <item x="266"/>
        <item x="108"/>
        <item x="622"/>
        <item x="308"/>
        <item x="564"/>
        <item x="670"/>
        <item x="652"/>
        <item x="360"/>
        <item x="470"/>
        <item x="585"/>
        <item x="98"/>
        <item x="97"/>
        <item x="195"/>
        <item x="27"/>
        <item x="681"/>
        <item x="26"/>
        <item x="123"/>
        <item x="383"/>
        <item x="448"/>
        <item x="262"/>
        <item x="240"/>
        <item x="352"/>
        <item x="158"/>
        <item x="338"/>
        <item x="297"/>
        <item x="653"/>
        <item x="228"/>
        <item x="616"/>
        <item x="219"/>
        <item x="87"/>
        <item x="358"/>
        <item x="271"/>
        <item x="540"/>
        <item x="140"/>
        <item x="485"/>
        <item x="438"/>
        <item x="106"/>
        <item x="210"/>
        <item x="127"/>
        <item x="513"/>
        <item x="608"/>
        <item x="83"/>
        <item x="0"/>
        <item x="52"/>
        <item x="535"/>
        <item x="686"/>
        <item x="291"/>
        <item x="304"/>
        <item x="50"/>
        <item x="476"/>
        <item x="651"/>
        <item x="124"/>
        <item x="64"/>
        <item x="454"/>
        <item x="80"/>
        <item x="460"/>
        <item x="351"/>
        <item x="200"/>
        <item x="542"/>
        <item x="420"/>
        <item x="425"/>
        <item x="350"/>
        <item x="367"/>
        <item x="506"/>
        <item x="188"/>
        <item x="376"/>
        <item x="443"/>
        <item x="139"/>
        <item x="549"/>
        <item x="486"/>
        <item x="322"/>
        <item x="571"/>
        <item x="267"/>
        <item x="301"/>
        <item x="482"/>
        <item x="432"/>
        <item x="612"/>
        <item x="328"/>
        <item x="230"/>
        <item x="272"/>
        <item x="39"/>
        <item x="312"/>
        <item x="180"/>
        <item x="428"/>
        <item x="36"/>
        <item x="340"/>
        <item x="134"/>
        <item x="42"/>
        <item x="568"/>
        <item x="51"/>
        <item x="553"/>
        <item x="402"/>
        <item x="121"/>
        <item x="173"/>
        <item x="261"/>
        <item x="510"/>
        <item x="201"/>
        <item x="165"/>
        <item x="147"/>
        <item x="515"/>
        <item x="23"/>
        <item x="623"/>
        <item x="220"/>
        <item x="277"/>
        <item x="498"/>
        <item x="170"/>
        <item x="384"/>
        <item x="284"/>
        <item x="40"/>
        <item x="285"/>
        <item x="144"/>
        <item x="471"/>
        <item x="203"/>
        <item x="329"/>
        <item x="414"/>
        <item x="225"/>
        <item x="282"/>
        <item x="254"/>
        <item x="668"/>
        <item x="46"/>
        <item x="218"/>
        <item x="577"/>
        <item x="434"/>
        <item x="677"/>
        <item x="667"/>
        <item x="509"/>
        <item x="524"/>
        <item x="689"/>
        <item x="99"/>
        <item x="496"/>
        <item x="416"/>
        <item x="153"/>
        <item x="22"/>
        <item x="468"/>
        <item x="364"/>
        <item x="603"/>
        <item x="141"/>
        <item x="627"/>
        <item x="458"/>
        <item x="90"/>
        <item x="638"/>
        <item x="125"/>
        <item x="242"/>
        <item x="427"/>
        <item x="676"/>
        <item x="38"/>
        <item x="634"/>
        <item x="232"/>
        <item x="37"/>
        <item x="189"/>
        <item x="250"/>
        <item x="283"/>
        <item x="300"/>
        <item x="236"/>
        <item x="390"/>
        <item x="578"/>
        <item x="567"/>
        <item x="234"/>
        <item x="334"/>
        <item x="343"/>
        <item x="179"/>
        <item x="177"/>
        <item x="159"/>
        <item x="305"/>
        <item x="628"/>
        <item x="531"/>
        <item x="680"/>
        <item x="157"/>
        <item x="385"/>
        <item x="116"/>
        <item x="487"/>
        <item x="3"/>
        <item x="18"/>
        <item x="392"/>
        <item x="185"/>
        <item x="222"/>
        <item x="65"/>
        <item x="551"/>
        <item x="263"/>
        <item x="442"/>
        <item x="132"/>
        <item x="216"/>
        <item x="555"/>
        <item x="44"/>
        <item x="507"/>
        <item x="490"/>
        <item x="500"/>
        <item x="289"/>
        <item x="327"/>
        <item x="514"/>
        <item x="135"/>
        <item x="687"/>
        <item x="526"/>
        <item x="592"/>
        <item x="32"/>
        <item x="182"/>
        <item x="404"/>
        <item x="84"/>
        <item x="258"/>
        <item x="621"/>
        <item x="143"/>
        <item x="359"/>
        <item x="570"/>
        <item x="457"/>
        <item x="688"/>
        <item x="89"/>
        <item x="237"/>
        <item x="118"/>
        <item x="12"/>
        <item x="554"/>
        <item x="591"/>
        <item x="48"/>
        <item x="527"/>
        <item x="181"/>
        <item x="547"/>
        <item x="332"/>
        <item x="685"/>
        <item x="303"/>
        <item x="29"/>
        <item x="33"/>
        <item x="91"/>
        <item x="146"/>
        <item x="381"/>
        <item x="21"/>
        <item x="558"/>
        <item x="190"/>
        <item x="521"/>
        <item x="648"/>
        <item x="298"/>
        <item x="101"/>
        <item x="292"/>
        <item x="464"/>
        <item x="58"/>
        <item x="14"/>
        <item x="278"/>
        <item x="445"/>
        <item x="107"/>
        <item x="63"/>
        <item x="15"/>
        <item x="239"/>
        <item x="184"/>
        <item x="60"/>
        <item x="373"/>
        <item x="502"/>
        <item x="67"/>
        <item x="400"/>
        <item x="16"/>
        <item x="35"/>
        <item x="174"/>
        <item x="229"/>
        <item x="662"/>
        <item x="138"/>
        <item x="154"/>
        <item x="642"/>
        <item x="11"/>
        <item x="131"/>
        <item x="75"/>
        <item x="346"/>
        <item x="78"/>
        <item x="70"/>
        <item x="545"/>
        <item x="309"/>
        <item x="45"/>
        <item x="56"/>
        <item x="337"/>
        <item x="528"/>
        <item x="269"/>
        <item x="61"/>
        <item x="455"/>
        <item x="469"/>
        <item x="474"/>
        <item x="111"/>
        <item x="192"/>
        <item x="317"/>
        <item x="152"/>
        <item x="276"/>
        <item x="440"/>
        <item x="55"/>
        <item x="313"/>
        <item x="199"/>
        <item x="296"/>
        <item x="353"/>
        <item x="529"/>
        <item x="202"/>
        <item x="525"/>
        <item x="293"/>
        <item x="683"/>
        <item x="295"/>
        <item x="441"/>
        <item x="673"/>
        <item x="499"/>
        <item x="172"/>
        <item x="391"/>
        <item x="520"/>
        <item x="355"/>
        <item x="594"/>
        <item x="646"/>
        <item x="193"/>
        <item x="331"/>
        <item x="86"/>
        <item x="299"/>
        <item x="415"/>
        <item x="244"/>
        <item x="607"/>
        <item x="25"/>
        <item x="387"/>
        <item x="10"/>
        <item x="211"/>
        <item x="565"/>
        <item x="315"/>
        <item x="119"/>
        <item x="503"/>
        <item x="320"/>
        <item x="94"/>
        <item x="150"/>
        <item x="467"/>
        <item x="497"/>
        <item x="449"/>
        <item x="341"/>
        <item x="208"/>
        <item x="316"/>
        <item x="618"/>
        <item x="684"/>
        <item x="311"/>
        <item x="517"/>
        <item x="640"/>
        <item x="572"/>
        <item x="666"/>
        <item x="656"/>
        <item x="447"/>
        <item x="264"/>
        <item x="235"/>
        <item x="604"/>
        <item x="249"/>
        <item x="483"/>
        <item x="246"/>
        <item x="495"/>
        <item x="7"/>
        <item x="654"/>
        <item x="73"/>
        <item x="657"/>
        <item x="436"/>
        <item x="576"/>
        <item x="247"/>
        <item x="679"/>
        <item x="183"/>
        <item x="126"/>
        <item x="155"/>
        <item x="584"/>
        <item x="546"/>
        <item x="162"/>
        <item x="215"/>
        <item x="450"/>
        <item x="54"/>
        <item x="344"/>
        <item x="493"/>
        <item x="492"/>
        <item x="279"/>
        <item x="19"/>
        <item x="424"/>
        <item x="260"/>
        <item x="168"/>
        <item x="601"/>
        <item x="465"/>
        <item x="68"/>
        <item x="160"/>
        <item x="166"/>
        <item x="109"/>
        <item x="207"/>
        <item x="339"/>
        <item x="365"/>
        <item x="306"/>
        <item x="115"/>
        <item x="333"/>
        <item x="212"/>
        <item x="386"/>
        <item x="196"/>
        <item x="650"/>
        <item x="363"/>
        <item x="214"/>
        <item x="335"/>
        <item x="544"/>
        <item x="43"/>
        <item x="589"/>
        <item x="120"/>
        <item x="643"/>
        <item x="556"/>
        <item x="401"/>
        <item x="13"/>
        <item x="362"/>
        <item x="130"/>
        <item x="290"/>
        <item x="149"/>
        <item x="17"/>
        <item x="186"/>
        <item x="163"/>
        <item x="255"/>
        <item x="511"/>
        <item x="318"/>
        <item x="439"/>
        <item x="129"/>
        <item x="573"/>
        <item x="550"/>
        <item x="151"/>
        <item x="379"/>
        <item x="197"/>
        <item x="57"/>
        <item x="2"/>
        <item x="481"/>
        <item x="512"/>
        <item x="156"/>
        <item x="658"/>
        <item x="633"/>
        <item x="501"/>
        <item x="256"/>
        <item x="610"/>
        <item x="241"/>
        <item x="631"/>
        <item x="348"/>
        <item x="419"/>
        <item x="522"/>
        <item x="615"/>
        <item x="243"/>
        <item x="569"/>
        <item x="66"/>
        <item x="28"/>
        <item x="575"/>
        <item x="161"/>
        <item x="582"/>
        <item x="669"/>
        <item x="430"/>
        <item x="336"/>
        <item x="504"/>
        <item x="288"/>
        <item x="287"/>
        <item x="599"/>
        <item x="77"/>
        <item x="479"/>
        <item x="314"/>
        <item x="4"/>
        <item x="169"/>
        <item x="590"/>
        <item x="231"/>
        <item x="213"/>
        <item x="624"/>
        <item x="674"/>
        <item x="145"/>
        <item x="534"/>
        <item x="580"/>
        <item x="560"/>
        <item x="461"/>
        <item x="176"/>
        <item x="280"/>
        <item x="114"/>
        <item x="518"/>
        <item x="660"/>
        <item x="463"/>
        <item x="588"/>
        <item x="462"/>
        <item x="378"/>
        <item x="9"/>
        <item x="388"/>
        <item x="128"/>
        <item x="82"/>
        <item x="597"/>
        <item x="675"/>
        <item x="326"/>
        <item x="491"/>
        <item x="136"/>
        <item x="281"/>
        <item x="96"/>
        <item x="548"/>
        <item x="209"/>
        <item x="93"/>
        <item x="100"/>
        <item x="307"/>
        <item x="71"/>
        <item x="206"/>
        <item x="393"/>
        <item x="405"/>
        <item x="422"/>
        <item x="399"/>
        <item x="433"/>
        <item x="519"/>
        <item x="167"/>
        <item x="88"/>
        <item x="637"/>
        <item x="95"/>
        <item x="408"/>
        <item x="324"/>
        <item x="407"/>
        <item x="523"/>
        <item x="672"/>
        <item x="191"/>
        <item x="79"/>
        <item x="104"/>
        <item x="49"/>
        <item x="286"/>
        <item x="372"/>
        <item x="459"/>
        <item x="541"/>
        <item x="374"/>
        <item x="488"/>
        <item x="345"/>
        <item x="537"/>
        <item x="645"/>
        <item x="325"/>
        <item x="380"/>
        <item x="76"/>
        <item x="403"/>
        <item x="92"/>
        <item x="375"/>
        <item x="30"/>
        <item x="574"/>
        <item x="417"/>
        <item x="579"/>
        <item x="62"/>
        <item x="423"/>
        <item x="664"/>
        <item x="217"/>
        <item x="349"/>
        <item x="354"/>
        <item x="368"/>
        <item x="226"/>
        <item x="112"/>
        <item x="649"/>
        <item x="437"/>
        <item x="431"/>
        <item x="508"/>
        <item x="562"/>
        <item x="397"/>
        <item x="630"/>
        <item x="259"/>
        <item x="323"/>
        <item x="321"/>
        <item x="484"/>
        <item x="396"/>
        <item x="532"/>
        <item x="369"/>
        <item x="294"/>
        <item x="24"/>
        <item x="6"/>
        <item x="530"/>
        <item x="426"/>
        <item x="421"/>
        <item x="178"/>
        <item x="245"/>
        <item x="347"/>
        <item x="446"/>
        <item x="613"/>
        <item x="113"/>
        <item x="617"/>
        <item x="389"/>
        <item x="452"/>
        <item x="516"/>
        <item x="356"/>
        <item x="233"/>
        <item x="248"/>
        <item x="641"/>
        <item x="595"/>
        <item x="274"/>
        <item x="198"/>
        <item x="223"/>
        <item x="69"/>
        <item x="583"/>
        <item x="31"/>
        <item x="2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numFmtId="166" showAll="0"/>
    <pivotField numFmtId="166" showAll="0"/>
    <pivotField dataField="1" numFmtId="166" showAll="0"/>
    <pivotField numFmtId="166" showAll="0"/>
    <pivotField numFmtId="166" showAll="0"/>
    <pivotField showAll="0"/>
    <pivotField numFmtId="166" showAll="0"/>
    <pivotField showAll="0"/>
    <pivotField showAll="0"/>
    <pivotField showAll="0"/>
    <pivotField showAll="0"/>
    <pivotField axis="axisRow" showAll="0">
      <items count="13">
        <item x="10"/>
        <item x="4"/>
        <item x="9"/>
        <item x="7"/>
        <item x="8"/>
        <item x="2"/>
        <item x="0"/>
        <item x="6"/>
        <item x="11"/>
        <item x="3"/>
        <item x="5"/>
        <item x="1"/>
        <item t="default"/>
      </items>
    </pivotField>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7"/>
  </rowFields>
  <rowItems count="12">
    <i>
      <x/>
    </i>
    <i>
      <x v="1"/>
    </i>
    <i>
      <x v="2"/>
    </i>
    <i>
      <x v="3"/>
    </i>
    <i>
      <x v="4"/>
    </i>
    <i>
      <x v="5"/>
    </i>
    <i>
      <x v="6"/>
    </i>
    <i>
      <x v="7"/>
    </i>
    <i>
      <x v="8"/>
    </i>
    <i>
      <x v="9"/>
    </i>
    <i>
      <x v="10"/>
    </i>
    <i>
      <x v="11"/>
    </i>
  </rowItems>
  <colFields count="1">
    <field x="-2"/>
  </colFields>
  <colItems count="2">
    <i>
      <x/>
    </i>
    <i i="1">
      <x v="1"/>
    </i>
  </colItems>
  <dataFields count="2">
    <dataField name="Count of Quantity" fld="10" subtotal="count" baseField="0" baseItem="0"/>
    <dataField name="Sum of Net_Sales" fld="18" baseField="0" baseItem="0" numFmtId="166"/>
  </dataFields>
  <chartFormats count="14">
    <chartFormat chart="6" format="35" series="1">
      <pivotArea type="data" outline="0" fieldPosition="0">
        <references count="2">
          <reference field="4294967294" count="1" selected="0">
            <x v="0"/>
          </reference>
          <reference field="27" count="1" selected="0">
            <x v="6"/>
          </reference>
        </references>
      </pivotArea>
    </chartFormat>
    <chartFormat chart="6" format="36" series="1">
      <pivotArea type="data" outline="0" fieldPosition="0">
        <references count="2">
          <reference field="4294967294" count="1" selected="0">
            <x v="0"/>
          </reference>
          <reference field="27" count="1" selected="0">
            <x v="7"/>
          </reference>
        </references>
      </pivotArea>
    </chartFormat>
    <chartFormat chart="6" format="37" series="1">
      <pivotArea type="data" outline="0" fieldPosition="0">
        <references count="2">
          <reference field="4294967294" count="1" selected="0">
            <x v="0"/>
          </reference>
          <reference field="27" count="1" selected="0">
            <x v="8"/>
          </reference>
        </references>
      </pivotArea>
    </chartFormat>
    <chartFormat chart="6" format="38" series="1">
      <pivotArea type="data" outline="0" fieldPosition="0">
        <references count="2">
          <reference field="4294967294" count="1" selected="0">
            <x v="0"/>
          </reference>
          <reference field="27" count="1" selected="0">
            <x v="9"/>
          </reference>
        </references>
      </pivotArea>
    </chartFormat>
    <chartFormat chart="6" format="39" series="1">
      <pivotArea type="data" outline="0" fieldPosition="0">
        <references count="2">
          <reference field="4294967294" count="1" selected="0">
            <x v="0"/>
          </reference>
          <reference field="27" count="1" selected="0">
            <x v="10"/>
          </reference>
        </references>
      </pivotArea>
    </chartFormat>
    <chartFormat chart="6" format="40" series="1">
      <pivotArea type="data" outline="0" fieldPosition="0">
        <references count="2">
          <reference field="4294967294" count="1" selected="0">
            <x v="0"/>
          </reference>
          <reference field="27" count="1" selected="0">
            <x v="11"/>
          </reference>
        </references>
      </pivotArea>
    </chartFormat>
    <chartFormat chart="6" format="41" series="1">
      <pivotArea type="data" outline="0" fieldPosition="0">
        <references count="2">
          <reference field="4294967294" count="1" selected="0">
            <x v="0"/>
          </reference>
          <reference field="27" count="1" selected="0">
            <x v="0"/>
          </reference>
        </references>
      </pivotArea>
    </chartFormat>
    <chartFormat chart="6" format="42" series="1">
      <pivotArea type="data" outline="0" fieldPosition="0">
        <references count="2">
          <reference field="4294967294" count="1" selected="0">
            <x v="0"/>
          </reference>
          <reference field="27" count="1" selected="0">
            <x v="1"/>
          </reference>
        </references>
      </pivotArea>
    </chartFormat>
    <chartFormat chart="6" format="43" series="1">
      <pivotArea type="data" outline="0" fieldPosition="0">
        <references count="2">
          <reference field="4294967294" count="1" selected="0">
            <x v="0"/>
          </reference>
          <reference field="27" count="1" selected="0">
            <x v="2"/>
          </reference>
        </references>
      </pivotArea>
    </chartFormat>
    <chartFormat chart="6" format="44" series="1">
      <pivotArea type="data" outline="0" fieldPosition="0">
        <references count="2">
          <reference field="4294967294" count="1" selected="0">
            <x v="0"/>
          </reference>
          <reference field="27" count="1" selected="0">
            <x v="3"/>
          </reference>
        </references>
      </pivotArea>
    </chartFormat>
    <chartFormat chart="6" format="45" series="1">
      <pivotArea type="data" outline="0" fieldPosition="0">
        <references count="2">
          <reference field="4294967294" count="1" selected="0">
            <x v="0"/>
          </reference>
          <reference field="27" count="1" selected="0">
            <x v="4"/>
          </reference>
        </references>
      </pivotArea>
    </chartFormat>
    <chartFormat chart="6" format="46" series="1">
      <pivotArea type="data" outline="0" fieldPosition="0">
        <references count="2">
          <reference field="4294967294" count="1" selected="0">
            <x v="0"/>
          </reference>
          <reference field="27" count="1" selected="0">
            <x v="5"/>
          </reference>
        </references>
      </pivotArea>
    </chartFormat>
    <chartFormat chart="6" format="126" series="1">
      <pivotArea type="data" outline="0" fieldPosition="0">
        <references count="1">
          <reference field="4294967294" count="1" selected="0">
            <x v="0"/>
          </reference>
        </references>
      </pivotArea>
    </chartFormat>
    <chartFormat chart="6" format="12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C75AE3-58DF-40F6-BD01-BEDDBFA415A9}" name="PivotTable10"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Sales Hour">
  <location ref="A3:H10" firstHeaderRow="1" firstDataRow="2" firstDataCol="1"/>
  <pivotFields count="29">
    <pivotField showAll="0"/>
    <pivotField showAll="0"/>
    <pivotField axis="axisRow" showAll="0">
      <items count="8">
        <item x="1"/>
        <item x="5"/>
        <item x="0"/>
        <item x="2"/>
        <item x="3"/>
        <item x="4"/>
        <item h="1" x="6"/>
        <item t="default"/>
      </items>
    </pivotField>
    <pivotField showAll="0"/>
    <pivotField showAll="0">
      <items count="11">
        <item x="1"/>
        <item x="4"/>
        <item x="2"/>
        <item x="0"/>
        <item m="1" x="9"/>
        <item x="6"/>
        <item x="5"/>
        <item x="3"/>
        <item x="7"/>
        <item x="8"/>
        <item t="default"/>
      </items>
    </pivotField>
    <pivotField showAll="0">
      <items count="5">
        <item x="2"/>
        <item x="1"/>
        <item x="0"/>
        <item x="3"/>
        <item t="default"/>
      </items>
    </pivotField>
    <pivotField showAll="0">
      <items count="21">
        <item x="10"/>
        <item x="2"/>
        <item x="13"/>
        <item x="7"/>
        <item x="12"/>
        <item x="9"/>
        <item x="8"/>
        <item x="17"/>
        <item x="11"/>
        <item x="14"/>
        <item x="15"/>
        <item x="5"/>
        <item x="1"/>
        <item x="4"/>
        <item x="16"/>
        <item x="0"/>
        <item x="6"/>
        <item x="3"/>
        <item x="18"/>
        <item x="1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7">
        <item x="1"/>
        <item x="4"/>
        <item x="3"/>
        <item x="0"/>
        <item x="2"/>
        <item x="5"/>
        <item t="default"/>
      </items>
    </pivotField>
    <pivotField showAll="0"/>
    <pivotField showAll="0"/>
    <pivotField showAll="0"/>
    <pivotField showAll="0"/>
    <pivotField axis="axisCol" showAll="0">
      <items count="9">
        <item x="0"/>
        <item x="2"/>
        <item x="6"/>
        <item x="1"/>
        <item x="4"/>
        <item x="3"/>
        <item x="5"/>
        <item x="7"/>
        <item t="default"/>
      </items>
    </pivotField>
  </pivotFields>
  <rowFields count="1">
    <field x="2"/>
  </rowFields>
  <rowItems count="6">
    <i>
      <x/>
    </i>
    <i>
      <x v="1"/>
    </i>
    <i>
      <x v="2"/>
    </i>
    <i>
      <x v="3"/>
    </i>
    <i>
      <x v="4"/>
    </i>
    <i>
      <x v="5"/>
    </i>
  </rowItems>
  <colFields count="1">
    <field x="28"/>
  </colFields>
  <colItems count="7">
    <i>
      <x/>
    </i>
    <i>
      <x v="1"/>
    </i>
    <i>
      <x v="2"/>
    </i>
    <i>
      <x v="3"/>
    </i>
    <i>
      <x v="4"/>
    </i>
    <i>
      <x v="5"/>
    </i>
    <i>
      <x v="6"/>
    </i>
  </colItems>
  <dataFields count="1">
    <dataField name="Sum of Net_Sales" fld="18" baseField="0" baseItem="0"/>
  </dataFields>
  <formats count="1">
    <format dxfId="17">
      <pivotArea collapsedLevelsAreSubtotals="1" fieldPosition="0">
        <references count="2">
          <reference field="2" count="6">
            <x v="0"/>
            <x v="1"/>
            <x v="2"/>
            <x v="3"/>
            <x v="4"/>
            <x v="5"/>
          </reference>
          <reference field="28" count="7" selected="0">
            <x v="0"/>
            <x v="1"/>
            <x v="2"/>
            <x v="3"/>
            <x v="4"/>
            <x v="5"/>
            <x v="6"/>
          </reference>
        </references>
      </pivotArea>
    </format>
  </formats>
  <chartFormats count="21">
    <chartFormat chart="14" format="0" series="1">
      <pivotArea type="data" outline="0" fieldPosition="0">
        <references count="2">
          <reference field="4294967294" count="1" selected="0">
            <x v="0"/>
          </reference>
          <reference field="28" count="1" selected="0">
            <x v="0"/>
          </reference>
        </references>
      </pivotArea>
    </chartFormat>
    <chartFormat chart="14" format="1" series="1">
      <pivotArea type="data" outline="0" fieldPosition="0">
        <references count="2">
          <reference field="4294967294" count="1" selected="0">
            <x v="0"/>
          </reference>
          <reference field="28" count="1" selected="0">
            <x v="1"/>
          </reference>
        </references>
      </pivotArea>
    </chartFormat>
    <chartFormat chart="14" format="2" series="1">
      <pivotArea type="data" outline="0" fieldPosition="0">
        <references count="2">
          <reference field="4294967294" count="1" selected="0">
            <x v="0"/>
          </reference>
          <reference field="28" count="1" selected="0">
            <x v="2"/>
          </reference>
        </references>
      </pivotArea>
    </chartFormat>
    <chartFormat chart="14" format="3" series="1">
      <pivotArea type="data" outline="0" fieldPosition="0">
        <references count="2">
          <reference field="4294967294" count="1" selected="0">
            <x v="0"/>
          </reference>
          <reference field="28" count="1" selected="0">
            <x v="3"/>
          </reference>
        </references>
      </pivotArea>
    </chartFormat>
    <chartFormat chart="14" format="4" series="1">
      <pivotArea type="data" outline="0" fieldPosition="0">
        <references count="2">
          <reference field="4294967294" count="1" selected="0">
            <x v="0"/>
          </reference>
          <reference field="28" count="1" selected="0">
            <x v="4"/>
          </reference>
        </references>
      </pivotArea>
    </chartFormat>
    <chartFormat chart="14" format="5" series="1">
      <pivotArea type="data" outline="0" fieldPosition="0">
        <references count="2">
          <reference field="4294967294" count="1" selected="0">
            <x v="0"/>
          </reference>
          <reference field="28" count="1" selected="0">
            <x v="5"/>
          </reference>
        </references>
      </pivotArea>
    </chartFormat>
    <chartFormat chart="14" format="6" series="1">
      <pivotArea type="data" outline="0" fieldPosition="0">
        <references count="2">
          <reference field="4294967294" count="1" selected="0">
            <x v="0"/>
          </reference>
          <reference field="28" count="1" selected="0">
            <x v="6"/>
          </reference>
        </references>
      </pivotArea>
    </chartFormat>
    <chartFormat chart="17" format="7" series="1">
      <pivotArea type="data" outline="0" fieldPosition="0">
        <references count="2">
          <reference field="4294967294" count="1" selected="0">
            <x v="0"/>
          </reference>
          <reference field="28" count="1" selected="0">
            <x v="0"/>
          </reference>
        </references>
      </pivotArea>
    </chartFormat>
    <chartFormat chart="17" format="8" series="1">
      <pivotArea type="data" outline="0" fieldPosition="0">
        <references count="2">
          <reference field="4294967294" count="1" selected="0">
            <x v="0"/>
          </reference>
          <reference field="28" count="1" selected="0">
            <x v="1"/>
          </reference>
        </references>
      </pivotArea>
    </chartFormat>
    <chartFormat chart="17" format="9" series="1">
      <pivotArea type="data" outline="0" fieldPosition="0">
        <references count="2">
          <reference field="4294967294" count="1" selected="0">
            <x v="0"/>
          </reference>
          <reference field="28" count="1" selected="0">
            <x v="2"/>
          </reference>
        </references>
      </pivotArea>
    </chartFormat>
    <chartFormat chart="17" format="10" series="1">
      <pivotArea type="data" outline="0" fieldPosition="0">
        <references count="2">
          <reference field="4294967294" count="1" selected="0">
            <x v="0"/>
          </reference>
          <reference field="28" count="1" selected="0">
            <x v="3"/>
          </reference>
        </references>
      </pivotArea>
    </chartFormat>
    <chartFormat chart="17" format="11" series="1">
      <pivotArea type="data" outline="0" fieldPosition="0">
        <references count="2">
          <reference field="4294967294" count="1" selected="0">
            <x v="0"/>
          </reference>
          <reference field="28" count="1" selected="0">
            <x v="4"/>
          </reference>
        </references>
      </pivotArea>
    </chartFormat>
    <chartFormat chart="17" format="12" series="1">
      <pivotArea type="data" outline="0" fieldPosition="0">
        <references count="2">
          <reference field="4294967294" count="1" selected="0">
            <x v="0"/>
          </reference>
          <reference field="28" count="1" selected="0">
            <x v="5"/>
          </reference>
        </references>
      </pivotArea>
    </chartFormat>
    <chartFormat chart="17" format="13" series="1">
      <pivotArea type="data" outline="0" fieldPosition="0">
        <references count="2">
          <reference field="4294967294" count="1" selected="0">
            <x v="0"/>
          </reference>
          <reference field="28" count="1" selected="0">
            <x v="6"/>
          </reference>
        </references>
      </pivotArea>
    </chartFormat>
    <chartFormat chart="18" format="14" series="1">
      <pivotArea type="data" outline="0" fieldPosition="0">
        <references count="2">
          <reference field="4294967294" count="1" selected="0">
            <x v="0"/>
          </reference>
          <reference field="28" count="1" selected="0">
            <x v="0"/>
          </reference>
        </references>
      </pivotArea>
    </chartFormat>
    <chartFormat chart="18" format="15" series="1">
      <pivotArea type="data" outline="0" fieldPosition="0">
        <references count="2">
          <reference field="4294967294" count="1" selected="0">
            <x v="0"/>
          </reference>
          <reference field="28" count="1" selected="0">
            <x v="1"/>
          </reference>
        </references>
      </pivotArea>
    </chartFormat>
    <chartFormat chart="18" format="16" series="1">
      <pivotArea type="data" outline="0" fieldPosition="0">
        <references count="2">
          <reference field="4294967294" count="1" selected="0">
            <x v="0"/>
          </reference>
          <reference field="28" count="1" selected="0">
            <x v="2"/>
          </reference>
        </references>
      </pivotArea>
    </chartFormat>
    <chartFormat chart="18" format="17" series="1">
      <pivotArea type="data" outline="0" fieldPosition="0">
        <references count="2">
          <reference field="4294967294" count="1" selected="0">
            <x v="0"/>
          </reference>
          <reference field="28" count="1" selected="0">
            <x v="3"/>
          </reference>
        </references>
      </pivotArea>
    </chartFormat>
    <chartFormat chart="18" format="18" series="1">
      <pivotArea type="data" outline="0" fieldPosition="0">
        <references count="2">
          <reference field="4294967294" count="1" selected="0">
            <x v="0"/>
          </reference>
          <reference field="28" count="1" selected="0">
            <x v="4"/>
          </reference>
        </references>
      </pivotArea>
    </chartFormat>
    <chartFormat chart="18" format="19" series="1">
      <pivotArea type="data" outline="0" fieldPosition="0">
        <references count="2">
          <reference field="4294967294" count="1" selected="0">
            <x v="0"/>
          </reference>
          <reference field="28" count="1" selected="0">
            <x v="5"/>
          </reference>
        </references>
      </pivotArea>
    </chartFormat>
    <chartFormat chart="18" format="20" series="1">
      <pivotArea type="data" outline="0" fieldPosition="0">
        <references count="2">
          <reference field="4294967294" count="1" selected="0">
            <x v="0"/>
          </reference>
          <reference field="2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38AD29-6F67-4E89-BFE9-1868A1ACB996}" name="PivotTable1"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4:C10" firstHeaderRow="0" firstDataRow="1" firstDataCol="1" rowPageCount="1" colPageCount="1"/>
  <pivotFields count="29">
    <pivotField dataField="1" showAll="0"/>
    <pivotField showAll="0"/>
    <pivotField showAll="0"/>
    <pivotField showAll="0"/>
    <pivotField showAll="0">
      <items count="11">
        <item x="1"/>
        <item x="4"/>
        <item x="2"/>
        <item x="0"/>
        <item m="1" x="9"/>
        <item x="6"/>
        <item x="5"/>
        <item x="3"/>
        <item x="7"/>
        <item x="8"/>
        <item t="default"/>
      </items>
    </pivotField>
    <pivotField showAll="0">
      <items count="5">
        <item x="2"/>
        <item x="1"/>
        <item x="0"/>
        <item x="3"/>
        <item t="default"/>
      </items>
    </pivotField>
    <pivotField axis="axisRow" showAll="0">
      <items count="21">
        <item x="10"/>
        <item x="2"/>
        <item x="13"/>
        <item x="7"/>
        <item x="12"/>
        <item x="9"/>
        <item x="8"/>
        <item x="17"/>
        <item x="11"/>
        <item x="14"/>
        <item x="15"/>
        <item x="5"/>
        <item x="1"/>
        <item x="4"/>
        <item x="16"/>
        <item x="0"/>
        <item x="6"/>
        <item x="3"/>
        <item x="18"/>
        <item x="19"/>
        <item t="default"/>
      </items>
    </pivotField>
    <pivotField showAll="0"/>
    <pivotField showAll="0"/>
    <pivotField showAll="0"/>
    <pivotField showAll="0"/>
    <pivotField showAll="0"/>
    <pivotField multipleItemSelectionAllowed="1" showAll="0"/>
    <pivotField showAll="0"/>
    <pivotField showAll="0"/>
    <pivotField showAll="0"/>
    <pivotField showAll="0"/>
    <pivotField showAll="0"/>
    <pivotField showAll="0"/>
    <pivotField showAll="0"/>
    <pivotField showAll="0"/>
    <pivotField multipleItemSelectionAllowed="1" showAll="0"/>
    <pivotField axis="axisPage" dataField="1" multipleItemSelectionAllowed="1" showAll="0">
      <items count="11">
        <item h="1" x="0"/>
        <item x="5"/>
        <item x="8"/>
        <item x="7"/>
        <item x="4"/>
        <item x="1"/>
        <item x="2"/>
        <item x="3"/>
        <item x="6"/>
        <item h="1" x="9"/>
        <item t="default"/>
      </items>
    </pivotField>
    <pivotField showAll="0">
      <items count="7">
        <item x="1"/>
        <item x="4"/>
        <item x="3"/>
        <item x="0"/>
        <item x="2"/>
        <item x="5"/>
        <item t="default"/>
      </items>
    </pivotField>
    <pivotField showAll="0"/>
    <pivotField showAll="0"/>
    <pivotField showAll="0"/>
    <pivotField showAll="0"/>
    <pivotField showAll="0"/>
  </pivotFields>
  <rowFields count="1">
    <field x="6"/>
  </rowFields>
  <rowItems count="6">
    <i>
      <x v="4"/>
    </i>
    <i>
      <x v="5"/>
    </i>
    <i>
      <x v="13"/>
    </i>
    <i>
      <x v="14"/>
    </i>
    <i>
      <x v="17"/>
    </i>
    <i>
      <x v="18"/>
    </i>
  </rowItems>
  <colFields count="1">
    <field x="-2"/>
  </colFields>
  <colItems count="2">
    <i>
      <x/>
    </i>
    <i i="1">
      <x v="1"/>
    </i>
  </colItems>
  <pageFields count="1">
    <pageField fld="22" hier="-1"/>
  </pageFields>
  <dataFields count="2">
    <dataField name="Total Loss Amount" fld="22" baseField="0" baseItem="0"/>
    <dataField name="Total Quantity Ordered" fld="0" subtotal="count" baseField="0" baseItem="0"/>
  </dataFields>
  <chartFormats count="2">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EE8AAB-B1A3-4A07-BDB1-EF3232930A73}" name="PivotTable2"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4:C11" firstHeaderRow="0" firstDataRow="1" firstDataCol="1"/>
  <pivotFields count="29">
    <pivotField dataField="1" showAll="0"/>
    <pivotField showAll="0"/>
    <pivotField showAll="0"/>
    <pivotField showAll="0"/>
    <pivotField showAll="0">
      <items count="11">
        <item x="1"/>
        <item x="4"/>
        <item x="2"/>
        <item x="0"/>
        <item m="1" x="9"/>
        <item x="6"/>
        <item x="5"/>
        <item x="3"/>
        <item x="7"/>
        <item x="8"/>
        <item t="default"/>
      </items>
    </pivotField>
    <pivotField showAll="0">
      <items count="5">
        <item x="2"/>
        <item x="1"/>
        <item x="0"/>
        <item x="3"/>
        <item t="default"/>
      </items>
    </pivotField>
    <pivotField showAll="0">
      <items count="21">
        <item x="10"/>
        <item x="2"/>
        <item x="13"/>
        <item x="7"/>
        <item x="12"/>
        <item x="9"/>
        <item x="8"/>
        <item x="17"/>
        <item x="11"/>
        <item x="14"/>
        <item x="15"/>
        <item x="5"/>
        <item x="1"/>
        <item x="4"/>
        <item x="16"/>
        <item x="0"/>
        <item x="6"/>
        <item x="3"/>
        <item x="18"/>
        <item x="1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7">
        <item x="1"/>
        <item x="4"/>
        <item x="3"/>
        <item x="0"/>
        <item x="2"/>
        <item x="5"/>
        <item t="default"/>
      </items>
    </pivotField>
    <pivotField showAll="0"/>
    <pivotField axis="axisRow" showAll="0">
      <items count="9">
        <item x="1"/>
        <item x="2"/>
        <item x="0"/>
        <item x="3"/>
        <item x="5"/>
        <item x="6"/>
        <item x="4"/>
        <item h="1" x="7"/>
        <item t="default"/>
      </items>
    </pivotField>
    <pivotField showAll="0"/>
    <pivotField showAll="0"/>
    <pivotField showAll="0"/>
  </pivotFields>
  <rowFields count="1">
    <field x="25"/>
  </rowFields>
  <rowItems count="7">
    <i>
      <x/>
    </i>
    <i>
      <x v="1"/>
    </i>
    <i>
      <x v="2"/>
    </i>
    <i>
      <x v="3"/>
    </i>
    <i>
      <x v="4"/>
    </i>
    <i>
      <x v="5"/>
    </i>
    <i>
      <x v="6"/>
    </i>
  </rowItems>
  <colFields count="1">
    <field x="-2"/>
  </colFields>
  <colItems count="2">
    <i>
      <x/>
    </i>
    <i i="1">
      <x v="1"/>
    </i>
  </colItems>
  <dataFields count="2">
    <dataField name="Count of Order_ID" fld="0" subtotal="count" baseField="0" baseItem="0"/>
    <dataField name="Sum of Net_Sales" fld="18" baseField="0" baseItem="0"/>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0B36BC-2C6F-4B92-B252-A3CD4C667787}" name="PivotTable3"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E13" firstHeaderRow="1" firstDataRow="2" firstDataCol="1"/>
  <pivotFields count="29">
    <pivotField dataField="1" showAll="0"/>
    <pivotField showAll="0"/>
    <pivotField showAll="0"/>
    <pivotField showAll="0"/>
    <pivotField axis="axisRow" showAll="0">
      <items count="11">
        <item x="1"/>
        <item x="4"/>
        <item x="2"/>
        <item x="0"/>
        <item m="1" x="9"/>
        <item x="6"/>
        <item x="5"/>
        <item x="3"/>
        <item x="7"/>
        <item x="8"/>
        <item t="default"/>
      </items>
    </pivotField>
    <pivotField axis="axisCol" showAll="0">
      <items count="5">
        <item x="2"/>
        <item x="1"/>
        <item x="0"/>
        <item x="3"/>
        <item t="default"/>
      </items>
    </pivotField>
    <pivotField showAll="0">
      <items count="21">
        <item x="10"/>
        <item x="2"/>
        <item x="13"/>
        <item x="7"/>
        <item x="12"/>
        <item x="9"/>
        <item x="8"/>
        <item x="17"/>
        <item x="11"/>
        <item x="14"/>
        <item x="15"/>
        <item x="5"/>
        <item x="1"/>
        <item x="4"/>
        <item x="16"/>
        <item x="0"/>
        <item x="6"/>
        <item x="3"/>
        <item x="18"/>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1"/>
        <item x="4"/>
        <item x="3"/>
        <item x="0"/>
        <item x="2"/>
        <item x="5"/>
        <item t="default"/>
      </items>
    </pivotField>
    <pivotField showAll="0"/>
    <pivotField showAll="0"/>
    <pivotField showAll="0"/>
    <pivotField showAll="0"/>
    <pivotField showAll="0"/>
  </pivotFields>
  <rowFields count="1">
    <field x="4"/>
  </rowFields>
  <rowItems count="9">
    <i>
      <x/>
    </i>
    <i>
      <x v="1"/>
    </i>
    <i>
      <x v="2"/>
    </i>
    <i>
      <x v="3"/>
    </i>
    <i>
      <x v="5"/>
    </i>
    <i>
      <x v="6"/>
    </i>
    <i>
      <x v="7"/>
    </i>
    <i>
      <x v="8"/>
    </i>
    <i>
      <x v="9"/>
    </i>
  </rowItems>
  <colFields count="1">
    <field x="5"/>
  </colFields>
  <colItems count="4">
    <i>
      <x/>
    </i>
    <i>
      <x v="1"/>
    </i>
    <i>
      <x v="2"/>
    </i>
    <i>
      <x v="3"/>
    </i>
  </colItems>
  <dataFields count="1">
    <dataField name="Count of Order_ID" fld="0" subtotal="count" baseField="0" baseItem="0"/>
  </dataFields>
  <chartFormats count="8">
    <chartFormat chart="5" format="3" series="1">
      <pivotArea type="data" outline="0" fieldPosition="0">
        <references count="2">
          <reference field="4294967294" count="1" selected="0">
            <x v="0"/>
          </reference>
          <reference field="5" count="1" selected="0">
            <x v="0"/>
          </reference>
        </references>
      </pivotArea>
    </chartFormat>
    <chartFormat chart="5" format="4" series="1">
      <pivotArea type="data" outline="0" fieldPosition="0">
        <references count="2">
          <reference field="4294967294" count="1" selected="0">
            <x v="0"/>
          </reference>
          <reference field="5" count="1" selected="0">
            <x v="1"/>
          </reference>
        </references>
      </pivotArea>
    </chartFormat>
    <chartFormat chart="5" format="5" series="1">
      <pivotArea type="data" outline="0" fieldPosition="0">
        <references count="2">
          <reference field="4294967294" count="1" selected="0">
            <x v="0"/>
          </reference>
          <reference field="5" count="1" selected="0">
            <x v="2"/>
          </reference>
        </references>
      </pivotArea>
    </chartFormat>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6DAA798-0784-42D1-A9B4-30895A0E4A1A}" sourceName="City">
  <pivotTables>
    <pivotTable tabId="4" name="PivotTable1"/>
    <pivotTable tabId="8" name="PivotTable4"/>
    <pivotTable tabId="11" name="PivotTable7"/>
    <pivotTable tabId="17" name="PivotTable3"/>
    <pivotTable tabId="14" name="PivotTable1"/>
    <pivotTable tabId="9" name="PivotTable5"/>
    <pivotTable tabId="13" name="PivotTable10"/>
    <pivotTable tabId="10" name="PivotTable6"/>
    <pivotTable tabId="16" name="PivotTable2"/>
    <pivotTable tabId="6" name="PivotTable2"/>
    <pivotTable tabId="7" name="PivotTable3"/>
  </pivotTables>
  <data>
    <tabular pivotCacheId="1948479212">
      <items count="10">
        <i x="1" s="1"/>
        <i x="4" s="1"/>
        <i x="2" s="1"/>
        <i x="0" s="1"/>
        <i x="6" s="1"/>
        <i x="5" s="1"/>
        <i x="3" s="1"/>
        <i x="7" s="1"/>
        <i x="9"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82A4A7-FEE3-4114-9D0B-068A1F645423}" sourceName="Gender">
  <pivotTables>
    <pivotTable tabId="4" name="PivotTable1"/>
    <pivotTable tabId="8" name="PivotTable4"/>
    <pivotTable tabId="11" name="PivotTable7"/>
    <pivotTable tabId="17" name="PivotTable3"/>
    <pivotTable tabId="14" name="PivotTable1"/>
    <pivotTable tabId="9" name="PivotTable5"/>
    <pivotTable tabId="13" name="PivotTable10"/>
    <pivotTable tabId="10" name="PivotTable6"/>
    <pivotTable tabId="16" name="PivotTable2"/>
    <pivotTable tabId="6" name="PivotTable2"/>
    <pivotTable tabId="7" name="PivotTable3"/>
  </pivotTables>
  <data>
    <tabular pivotCacheId="1948479212">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2366D48-0E5E-4357-A228-791394B83A0E}" sourceName="Category">
  <pivotTables>
    <pivotTable tabId="4" name="PivotTable1"/>
    <pivotTable tabId="8" name="PivotTable4"/>
    <pivotTable tabId="11" name="PivotTable7"/>
    <pivotTable tabId="17" name="PivotTable3"/>
    <pivotTable tabId="14" name="PivotTable1"/>
    <pivotTable tabId="9" name="PivotTable5"/>
    <pivotTable tabId="13" name="PivotTable10"/>
    <pivotTable tabId="16" name="PivotTable2"/>
    <pivotTable tabId="6" name="PivotTable2"/>
    <pivotTable tabId="7" name="PivotTable3"/>
  </pivotTables>
  <data>
    <tabular pivotCacheId="1948479212">
      <items count="20">
        <i x="10" s="1"/>
        <i x="2" s="1"/>
        <i x="13" s="1"/>
        <i x="7" s="1"/>
        <i x="12" s="1"/>
        <i x="9" s="1"/>
        <i x="8" s="1"/>
        <i x="17" s="1"/>
        <i x="11" s="1"/>
        <i x="14" s="1"/>
        <i x="15" s="1"/>
        <i x="5" s="1"/>
        <i x="1" s="1"/>
        <i x="4" s="1"/>
        <i x="16" s="1"/>
        <i x="0" s="1"/>
        <i x="6" s="1"/>
        <i x="3" s="1"/>
        <i x="18" s="1"/>
        <i x="1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44E830B-0812-4B15-87D4-45467F98FCEC}" sourceName="Payment_Method">
  <pivotTables>
    <pivotTable tabId="4" name="PivotTable1"/>
    <pivotTable tabId="8" name="PivotTable4"/>
    <pivotTable tabId="11" name="PivotTable7"/>
    <pivotTable tabId="17" name="PivotTable3"/>
    <pivotTable tabId="14" name="PivotTable1"/>
    <pivotTable tabId="9" name="PivotTable5"/>
    <pivotTable tabId="13" name="PivotTable10"/>
    <pivotTable tabId="10" name="PivotTable6"/>
    <pivotTable tabId="16" name="PivotTable2"/>
    <pivotTable tabId="6" name="PivotTable2"/>
    <pivotTable tabId="7" name="PivotTable3"/>
  </pivotTables>
  <data>
    <tabular pivotCacheId="1948479212">
      <items count="6">
        <i x="1" s="1"/>
        <i x="4" s="1"/>
        <i x="3" s="1"/>
        <i x="0"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71766CD1-E2D4-4AAC-A658-370AE767F029}" cache="Slicer_City" caption="City" startItem="2" rowHeight="234950"/>
  <slicer name="Gender" xr10:uid="{F26B6BC4-2ABB-48A8-A27A-B4689E8C21F0}" cache="Slicer_Gender" caption="Gender" rowHeight="234950"/>
  <slicer name="Category" xr10:uid="{367B7975-028F-4515-9C55-CC8854D425F9}" cache="Slicer_Category" caption="Category" startItem="6" rowHeight="234950"/>
  <slicer name="Payment_Method" xr10:uid="{80AE501B-AC25-4F73-9405-A13336893805}" cache="Slicer_Payment_Method" caption="Payment_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C1E488-07BE-4722-AE06-B00418E324C2}" name="Table1" displayName="Table1" ref="A1:AC1001" totalsRowShown="0" headerRowDxfId="16" headerRowBorderDxfId="15" tableBorderDxfId="14">
  <autoFilter ref="A1:AC1001" xr:uid="{ECC1E488-07BE-4722-AE06-B00418E324C2}"/>
  <tableColumns count="29">
    <tableColumn id="1" xr3:uid="{B77FDA1F-5332-4E9C-B847-96E10E61E2FF}" name="Order_ID"/>
    <tableColumn id="2" xr3:uid="{5486307F-9039-4061-AF77-48471B48430C}" name="Order_Date" dataDxfId="13"/>
    <tableColumn id="25" xr3:uid="{07E79CEB-7FFE-48E1-BAEB-53A7C8343789}" name="Time Period" dataDxfId="12">
      <calculatedColumnFormula>IF(D2&lt;TIME(4,0,0),"12 AM - 4 AM",IF(D2&lt;TIME(8,0,0),"4 AM - 8 AM",IF(D2&lt;TIME(12,0,0),"8 AM - 12 PM",IF(D2&lt;TIME(16,0,0),"12 PM - 4 PM",IF(D2&lt;TIME(20,0,0),"4 PM - 8 PM","8 PM - 12 AM")))))</calculatedColumnFormula>
    </tableColumn>
    <tableColumn id="3" xr3:uid="{3CF7F1F2-5B31-4197-B821-EA775AF77967}" name="Time" dataDxfId="11"/>
    <tableColumn id="4" xr3:uid="{BB94371F-4C9F-4628-A8E3-6E2BFED8FD88}" name="City"/>
    <tableColumn id="5" xr3:uid="{B0B787D7-C9B0-487F-B62D-DEFB23246FB3}" name="Gender"/>
    <tableColumn id="6" xr3:uid="{EFA4929C-B2E2-423C-9D62-78B7EFF0B94C}" name="Category"/>
    <tableColumn id="7" xr3:uid="{FBDFEDD4-A52A-4480-A308-FC873F53BBB6}" name="Brand"/>
    <tableColumn id="8" xr3:uid="{F260A32B-97D8-4F33-9ED8-10F331431411}" name="Occasion"/>
    <tableColumn id="9" xr3:uid="{CA63D73F-592C-4C58-A90C-669C77917170}" name="Sales_Channel"/>
    <tableColumn id="10" xr3:uid="{9F52F00B-4484-411A-BACA-AA2D771E3D3C}" name="Quantity"/>
    <tableColumn id="11" xr3:uid="{203BF662-07AE-45AD-AC54-8AD71E40A99A}" name="Unit_Price" dataDxfId="10"/>
    <tableColumn id="24" xr3:uid="{E37AD1A2-4C26-4557-BFD0-31703111646E}" name="Discount Band" dataDxfId="9">
      <calculatedColumnFormula>IF(N2&lt;0,"Invalid",IF(N2=0,"0%",IF(N2&lt;=10,"1-10%",IF(N2&lt;=20,"11-20%",IF(N2&lt;=30,"21-30%","30%+")))))</calculatedColumnFormula>
    </tableColumn>
    <tableColumn id="12" xr3:uid="{E9DB3BD3-DEF5-42B4-85BC-12BA616851CA}" name="Discount_Pct"/>
    <tableColumn id="29" xr3:uid="{C4B4195E-ADAD-4B96-9574-AF1175734DE6}" name="Discoutn Validity" dataDxfId="8">
      <calculatedColumnFormula>IF(OR(N2&lt;0,N2&gt;100),"Invalid Discount","Valid")</calculatedColumnFormula>
    </tableColumn>
    <tableColumn id="28" xr3:uid="{7E032202-20CD-4542-8E38-46C5C4FCAABE}" name="Discount Match" dataDxfId="7">
      <calculatedColumnFormula>IF(ROUND(R2,2)=ROUND(Q2*N2/100,2),"Match","Mismatch")</calculatedColumnFormula>
    </tableColumn>
    <tableColumn id="13" xr3:uid="{E656CC11-3F51-483D-9DAE-DBDCC4C65F0E}" name="Gross_Sales" dataDxfId="6"/>
    <tableColumn id="14" xr3:uid="{D390365E-8D6E-48EF-99A2-5834DB08BFE5}" name="Discount_Amount" dataDxfId="5"/>
    <tableColumn id="15" xr3:uid="{2753B22B-466B-4786-9F97-A179E8B356B0}" name="Net_Sales" dataDxfId="4"/>
    <tableColumn id="16" xr3:uid="{5D4EAC31-0857-4B26-ACF2-2F21D75CB71D}" name="Cost" dataDxfId="3"/>
    <tableColumn id="17" xr3:uid="{857FCA08-67FE-4514-9351-861C9C270EC9}" name="Profit" dataDxfId="2"/>
    <tableColumn id="30" xr3:uid="{17579D77-24C0-45AF-9E67-8AC656B3DB83}" name="Losses" dataDxfId="1">
      <calculatedColumnFormula>IF(AND(S2-T2&lt;0,U2=S2-T2),TRUE,FALSE)</calculatedColumnFormula>
    </tableColumn>
    <tableColumn id="26" xr3:uid="{E98A65FA-17B1-4515-B269-E39229A94467}" name="Loss Amount" dataDxfId="0">
      <calculatedColumnFormula>IF(V2=TRUE,ABS(U2),0)</calculatedColumnFormula>
    </tableColumn>
    <tableColumn id="18" xr3:uid="{AC2ABB18-9A70-4248-A218-5AA93852E417}" name="Payment_Method"/>
    <tableColumn id="19" xr3:uid="{92CF35E2-4EAB-458A-ACD1-70B4905FE7D4}" name="Salesperson"/>
    <tableColumn id="20" xr3:uid="{392FC1DD-685C-4DBD-8FC2-25E21128ACF4}" name="Customer_Source"/>
    <tableColumn id="21" xr3:uid="{1C3ABA9E-3267-4DB1-99AC-F9FC1D8D6508}" name="Customer_Rating"/>
    <tableColumn id="22" xr3:uid="{F529250E-0731-403E-884E-A955840CD6B7}" name="Month"/>
    <tableColumn id="23" xr3:uid="{B939FCC9-8E8D-4F2B-9E58-8294BA14AB17}" name="Order_Da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1"/>
  <sheetViews>
    <sheetView topLeftCell="H1" zoomScale="86" workbookViewId="0">
      <pane ySplit="1" topLeftCell="A2" activePane="bottomLeft" state="frozen"/>
      <selection pane="bottomLeft" activeCell="E135" sqref="E135"/>
    </sheetView>
  </sheetViews>
  <sheetFormatPr defaultRowHeight="14.4" x14ac:dyDescent="0.3"/>
  <cols>
    <col min="1" max="1" width="15.5546875" customWidth="1"/>
    <col min="2" max="3" width="18.21875" style="6" customWidth="1"/>
    <col min="4" max="4" width="16.109375" style="4" customWidth="1"/>
    <col min="5" max="5" width="14" customWidth="1"/>
    <col min="6" max="6" width="11.33203125" customWidth="1"/>
    <col min="7" max="7" width="13.109375" customWidth="1"/>
    <col min="8" max="8" width="16.44140625" customWidth="1"/>
    <col min="9" max="9" width="14.109375" customWidth="1"/>
    <col min="10" max="10" width="20.77734375" customWidth="1"/>
    <col min="11" max="11" width="11.77734375" customWidth="1"/>
    <col min="12" max="12" width="14.109375" style="8" customWidth="1"/>
    <col min="13" max="13" width="17.77734375" style="8" customWidth="1"/>
    <col min="14" max="16" width="22" customWidth="1"/>
    <col min="17" max="17" width="17.21875" style="8" customWidth="1"/>
    <col min="18" max="18" width="22.21875" style="8" customWidth="1"/>
    <col min="19" max="19" width="15.44140625" style="8" customWidth="1"/>
    <col min="20" max="20" width="13.33203125" style="8" customWidth="1"/>
    <col min="21" max="23" width="13.77734375" style="8" customWidth="1"/>
    <col min="24" max="24" width="18.21875" customWidth="1"/>
    <col min="25" max="25" width="15.21875" customWidth="1"/>
    <col min="26" max="26" width="17.77734375" customWidth="1"/>
    <col min="27" max="27" width="17.33203125" customWidth="1"/>
    <col min="28" max="28" width="10.6640625" customWidth="1"/>
    <col min="29" max="29" width="11.88671875" customWidth="1"/>
  </cols>
  <sheetData>
    <row r="1" spans="1:29" x14ac:dyDescent="0.3">
      <c r="A1" s="1" t="s">
        <v>0</v>
      </c>
      <c r="B1" s="5" t="s">
        <v>1</v>
      </c>
      <c r="C1" s="5" t="s">
        <v>1163</v>
      </c>
      <c r="D1" s="3" t="s">
        <v>1133</v>
      </c>
      <c r="E1" s="1" t="s">
        <v>2</v>
      </c>
      <c r="F1" s="1" t="s">
        <v>3</v>
      </c>
      <c r="G1" s="1" t="s">
        <v>4</v>
      </c>
      <c r="H1" s="1" t="s">
        <v>5</v>
      </c>
      <c r="I1" s="1" t="s">
        <v>6</v>
      </c>
      <c r="J1" s="1" t="s">
        <v>7</v>
      </c>
      <c r="K1" s="1" t="s">
        <v>8</v>
      </c>
      <c r="L1" s="7" t="s">
        <v>9</v>
      </c>
      <c r="M1" s="7" t="s">
        <v>1157</v>
      </c>
      <c r="N1" s="1" t="s">
        <v>10</v>
      </c>
      <c r="O1" s="1" t="s">
        <v>1135</v>
      </c>
      <c r="P1" s="1" t="s">
        <v>1134</v>
      </c>
      <c r="Q1" s="7" t="s">
        <v>11</v>
      </c>
      <c r="R1" s="7" t="s">
        <v>12</v>
      </c>
      <c r="S1" s="7" t="s">
        <v>13</v>
      </c>
      <c r="T1" s="7" t="s">
        <v>14</v>
      </c>
      <c r="U1" s="7" t="s">
        <v>15</v>
      </c>
      <c r="V1" s="7" t="s">
        <v>1136</v>
      </c>
      <c r="W1" s="7" t="s">
        <v>1172</v>
      </c>
      <c r="X1" s="1" t="s">
        <v>16</v>
      </c>
      <c r="Y1" s="1" t="s">
        <v>17</v>
      </c>
      <c r="Z1" s="1" t="s">
        <v>18</v>
      </c>
      <c r="AA1" s="1" t="s">
        <v>19</v>
      </c>
      <c r="AB1" s="1" t="s">
        <v>20</v>
      </c>
      <c r="AC1" s="1" t="s">
        <v>21</v>
      </c>
    </row>
    <row r="2" spans="1:29" x14ac:dyDescent="0.3">
      <c r="A2" t="s">
        <v>22</v>
      </c>
      <c r="B2" s="6">
        <v>45844</v>
      </c>
      <c r="C2" s="6" t="str">
        <f t="shared" ref="C2:C65" si="0">IF(D2&lt;TIME(4,0,0),"12 AM - 4 AM",IF(D2&lt;TIME(8,0,0),"4 AM - 8 AM",IF(D2&lt;TIME(12,0,0),"8 AM - 12 PM",IF(D2&lt;TIME(16,0,0),"12 PM - 4 PM",IF(D2&lt;TIME(20,0,0),"4 PM - 8 PM","8 PM - 12 AM")))))</f>
        <v>4 AM - 8 AM</v>
      </c>
      <c r="D2" s="4">
        <v>0.22569444444444445</v>
      </c>
      <c r="E2" t="s">
        <v>23</v>
      </c>
      <c r="F2" t="s">
        <v>24</v>
      </c>
      <c r="G2" t="s">
        <v>25</v>
      </c>
      <c r="H2" t="s">
        <v>26</v>
      </c>
      <c r="I2" t="s">
        <v>27</v>
      </c>
      <c r="J2" t="s">
        <v>35</v>
      </c>
      <c r="K2">
        <v>1</v>
      </c>
      <c r="L2" s="8">
        <v>8550</v>
      </c>
      <c r="M2" s="8" t="str">
        <f t="shared" ref="M2:M65" si="1">IF(N2&lt;0,"Invalid",IF(N2=0,"0%",IF(N2&lt;=10,"1-10%",IF(N2&lt;=20,"11-20%",IF(N2&lt;=30,"21-30%","30%+")))))</f>
        <v>11-20%</v>
      </c>
      <c r="N2">
        <v>15</v>
      </c>
      <c r="O2" t="str">
        <f t="shared" ref="O2:O65" si="2">IF(OR(N2&lt;0,N2&gt;100),"Invalid Discount","Valid")</f>
        <v>Valid</v>
      </c>
      <c r="P2" t="str">
        <f t="shared" ref="P2:P65" si="3">IF(ROUND(R2,2)=ROUND(Q2*N2/100,2),"Match","Mismatch")</f>
        <v>Match</v>
      </c>
      <c r="Q2" s="8">
        <v>8550</v>
      </c>
      <c r="R2" s="8">
        <v>1282.5</v>
      </c>
      <c r="S2" s="8">
        <v>7267.5</v>
      </c>
      <c r="T2" s="8">
        <v>5680.28</v>
      </c>
      <c r="U2" s="8">
        <v>1587.22</v>
      </c>
      <c r="V2" s="8" t="b">
        <f t="shared" ref="V2:V65" si="4">IF(AND(S2-T2&lt;0,U2=S2-T2),TRUE,FALSE)</f>
        <v>0</v>
      </c>
      <c r="W2" s="8">
        <f t="shared" ref="W2:W65" si="5">IF(V2=TRUE,ABS(U2),0)</f>
        <v>0</v>
      </c>
      <c r="X2" t="s">
        <v>28</v>
      </c>
      <c r="Y2" t="s">
        <v>1137</v>
      </c>
      <c r="Z2" t="s">
        <v>1138</v>
      </c>
      <c r="AA2">
        <v>4</v>
      </c>
      <c r="AB2" t="s">
        <v>29</v>
      </c>
      <c r="AC2" t="s">
        <v>30</v>
      </c>
    </row>
    <row r="3" spans="1:29" x14ac:dyDescent="0.3">
      <c r="A3" t="s">
        <v>31</v>
      </c>
      <c r="B3" s="6">
        <v>46001</v>
      </c>
      <c r="C3" s="6" t="str">
        <f t="shared" si="0"/>
        <v>12 AM - 4 AM</v>
      </c>
      <c r="D3" s="4">
        <v>0.10833333333333334</v>
      </c>
      <c r="E3" t="s">
        <v>32</v>
      </c>
      <c r="F3" t="s">
        <v>24</v>
      </c>
      <c r="G3" t="s">
        <v>33</v>
      </c>
      <c r="H3" t="s">
        <v>34</v>
      </c>
      <c r="I3" t="s">
        <v>27</v>
      </c>
      <c r="J3" t="s">
        <v>35</v>
      </c>
      <c r="K3">
        <v>1</v>
      </c>
      <c r="L3" s="8">
        <v>1100</v>
      </c>
      <c r="M3" s="8" t="str">
        <f t="shared" si="1"/>
        <v>11-20%</v>
      </c>
      <c r="N3">
        <v>20</v>
      </c>
      <c r="O3" t="str">
        <f t="shared" si="2"/>
        <v>Valid</v>
      </c>
      <c r="P3" t="str">
        <f t="shared" si="3"/>
        <v>Match</v>
      </c>
      <c r="Q3" s="8">
        <v>1100</v>
      </c>
      <c r="R3" s="8">
        <v>220</v>
      </c>
      <c r="S3" s="8">
        <v>880</v>
      </c>
      <c r="T3" s="8">
        <v>801</v>
      </c>
      <c r="U3" s="8">
        <v>79</v>
      </c>
      <c r="V3" s="8" t="b">
        <f t="shared" si="4"/>
        <v>0</v>
      </c>
      <c r="W3" s="8">
        <f t="shared" si="5"/>
        <v>0</v>
      </c>
      <c r="X3" t="s">
        <v>36</v>
      </c>
      <c r="Y3" t="s">
        <v>37</v>
      </c>
      <c r="Z3" t="s">
        <v>38</v>
      </c>
      <c r="AA3">
        <v>4</v>
      </c>
      <c r="AB3" t="s">
        <v>39</v>
      </c>
      <c r="AC3" t="s">
        <v>40</v>
      </c>
    </row>
    <row r="4" spans="1:29" x14ac:dyDescent="0.3">
      <c r="A4" t="s">
        <v>41</v>
      </c>
      <c r="B4" s="6">
        <v>45838</v>
      </c>
      <c r="C4" s="6" t="str">
        <f t="shared" si="0"/>
        <v>4 PM - 8 PM</v>
      </c>
      <c r="D4" s="4">
        <v>0.73958333333333337</v>
      </c>
      <c r="E4" t="s">
        <v>622</v>
      </c>
      <c r="F4" t="s">
        <v>24</v>
      </c>
      <c r="G4" t="s">
        <v>42</v>
      </c>
      <c r="H4" t="s">
        <v>43</v>
      </c>
      <c r="I4" t="s">
        <v>44</v>
      </c>
      <c r="J4" t="s">
        <v>45</v>
      </c>
      <c r="K4">
        <v>3</v>
      </c>
      <c r="L4" s="8">
        <v>77200</v>
      </c>
      <c r="M4" s="8" t="str">
        <f t="shared" si="1"/>
        <v>1-10%</v>
      </c>
      <c r="N4">
        <v>10</v>
      </c>
      <c r="O4" t="str">
        <f t="shared" si="2"/>
        <v>Valid</v>
      </c>
      <c r="P4" t="str">
        <f t="shared" si="3"/>
        <v>Match</v>
      </c>
      <c r="Q4" s="8">
        <v>231600</v>
      </c>
      <c r="R4" s="8">
        <v>23160</v>
      </c>
      <c r="S4" s="8">
        <v>208440</v>
      </c>
      <c r="T4" s="8">
        <v>121253.25</v>
      </c>
      <c r="U4" s="8">
        <v>87186.75</v>
      </c>
      <c r="V4" s="8" t="b">
        <f t="shared" si="4"/>
        <v>0</v>
      </c>
      <c r="W4" s="8">
        <f t="shared" si="5"/>
        <v>0</v>
      </c>
      <c r="X4" t="s">
        <v>46</v>
      </c>
      <c r="Y4" t="s">
        <v>47</v>
      </c>
      <c r="Z4" t="s">
        <v>45</v>
      </c>
      <c r="AA4">
        <v>4.5</v>
      </c>
      <c r="AB4" t="s">
        <v>48</v>
      </c>
      <c r="AC4" t="s">
        <v>49</v>
      </c>
    </row>
    <row r="5" spans="1:29" x14ac:dyDescent="0.3">
      <c r="A5" t="s">
        <v>50</v>
      </c>
      <c r="B5" s="6">
        <v>45933</v>
      </c>
      <c r="C5" s="6" t="str">
        <f t="shared" si="0"/>
        <v>8 AM - 12 PM</v>
      </c>
      <c r="D5" s="4">
        <v>0.40416666666666667</v>
      </c>
      <c r="E5" t="s">
        <v>622</v>
      </c>
      <c r="F5" t="s">
        <v>51</v>
      </c>
      <c r="G5" t="s">
        <v>52</v>
      </c>
      <c r="H5" t="s">
        <v>53</v>
      </c>
      <c r="I5" t="s">
        <v>54</v>
      </c>
      <c r="J5" t="s">
        <v>45</v>
      </c>
      <c r="K5">
        <v>3</v>
      </c>
      <c r="L5" s="8">
        <v>16100</v>
      </c>
      <c r="M5" s="8" t="str">
        <f t="shared" si="1"/>
        <v>1-10%</v>
      </c>
      <c r="N5">
        <v>10</v>
      </c>
      <c r="O5" t="str">
        <f t="shared" si="2"/>
        <v>Valid</v>
      </c>
      <c r="P5" t="str">
        <f t="shared" si="3"/>
        <v>Match</v>
      </c>
      <c r="Q5" s="8">
        <v>48300</v>
      </c>
      <c r="R5" s="8">
        <v>4830</v>
      </c>
      <c r="S5" s="8">
        <v>43470</v>
      </c>
      <c r="T5" s="8">
        <v>34494.04</v>
      </c>
      <c r="U5" s="8">
        <v>8975.9599999999991</v>
      </c>
      <c r="V5" s="8" t="b">
        <f t="shared" si="4"/>
        <v>0</v>
      </c>
      <c r="W5" s="8">
        <f t="shared" si="5"/>
        <v>0</v>
      </c>
      <c r="X5" t="s">
        <v>55</v>
      </c>
      <c r="Y5" t="s">
        <v>37</v>
      </c>
      <c r="Z5" t="s">
        <v>56</v>
      </c>
      <c r="AA5">
        <v>4</v>
      </c>
      <c r="AB5" t="s">
        <v>57</v>
      </c>
      <c r="AC5" t="s">
        <v>58</v>
      </c>
    </row>
    <row r="6" spans="1:29" x14ac:dyDescent="0.3">
      <c r="A6" t="s">
        <v>59</v>
      </c>
      <c r="B6" s="6">
        <v>45694</v>
      </c>
      <c r="C6" s="6" t="str">
        <f t="shared" si="0"/>
        <v>4 PM - 8 PM</v>
      </c>
      <c r="D6" s="4">
        <v>0.78194444444444444</v>
      </c>
      <c r="E6" t="s">
        <v>60</v>
      </c>
      <c r="F6" t="s">
        <v>24</v>
      </c>
      <c r="G6" t="s">
        <v>61</v>
      </c>
      <c r="H6" t="s">
        <v>62</v>
      </c>
      <c r="I6" t="s">
        <v>63</v>
      </c>
      <c r="J6" t="s">
        <v>64</v>
      </c>
      <c r="K6">
        <v>2</v>
      </c>
      <c r="L6" s="8">
        <v>41700</v>
      </c>
      <c r="M6" s="8" t="str">
        <f t="shared" si="1"/>
        <v>0%</v>
      </c>
      <c r="N6">
        <v>0</v>
      </c>
      <c r="O6" t="str">
        <f t="shared" si="2"/>
        <v>Valid</v>
      </c>
      <c r="P6" t="str">
        <f t="shared" si="3"/>
        <v>Match</v>
      </c>
      <c r="Q6" s="8">
        <v>83400</v>
      </c>
      <c r="R6" s="8">
        <v>0</v>
      </c>
      <c r="S6" s="8">
        <v>83400</v>
      </c>
      <c r="T6" s="8">
        <v>44007.63</v>
      </c>
      <c r="U6" s="8">
        <v>39392.370000000003</v>
      </c>
      <c r="V6" s="8" t="b">
        <f t="shared" si="4"/>
        <v>0</v>
      </c>
      <c r="W6" s="8">
        <f t="shared" si="5"/>
        <v>0</v>
      </c>
      <c r="X6" t="s">
        <v>46</v>
      </c>
      <c r="Y6" t="s">
        <v>65</v>
      </c>
      <c r="Z6" t="s">
        <v>38</v>
      </c>
      <c r="AA6">
        <v>3.5</v>
      </c>
      <c r="AB6" t="s">
        <v>66</v>
      </c>
      <c r="AC6" t="s">
        <v>67</v>
      </c>
    </row>
    <row r="7" spans="1:29" x14ac:dyDescent="0.3">
      <c r="A7" t="s">
        <v>68</v>
      </c>
      <c r="B7" s="6">
        <v>45689</v>
      </c>
      <c r="C7" s="6" t="str">
        <f t="shared" si="0"/>
        <v>12 AM - 4 AM</v>
      </c>
      <c r="D7" s="4">
        <v>0.15763888888888888</v>
      </c>
      <c r="E7" t="s">
        <v>69</v>
      </c>
      <c r="F7" t="s">
        <v>24</v>
      </c>
      <c r="G7" t="s">
        <v>61</v>
      </c>
      <c r="H7" t="s">
        <v>43</v>
      </c>
      <c r="I7" t="s">
        <v>44</v>
      </c>
      <c r="J7" t="s">
        <v>45</v>
      </c>
      <c r="K7">
        <v>2</v>
      </c>
      <c r="L7" s="8">
        <v>38250</v>
      </c>
      <c r="M7" s="8" t="str">
        <f t="shared" si="1"/>
        <v>21-30%</v>
      </c>
      <c r="N7">
        <v>25</v>
      </c>
      <c r="O7" t="str">
        <f t="shared" si="2"/>
        <v>Valid</v>
      </c>
      <c r="P7" t="str">
        <f t="shared" si="3"/>
        <v>Match</v>
      </c>
      <c r="Q7" s="8">
        <v>76500</v>
      </c>
      <c r="R7" s="8">
        <v>19125</v>
      </c>
      <c r="S7" s="8">
        <v>57375</v>
      </c>
      <c r="T7" s="8">
        <v>45355.91</v>
      </c>
      <c r="U7" s="8">
        <v>12019.09</v>
      </c>
      <c r="V7" s="8" t="b">
        <f t="shared" si="4"/>
        <v>0</v>
      </c>
      <c r="W7" s="8">
        <f t="shared" si="5"/>
        <v>0</v>
      </c>
      <c r="X7" t="s">
        <v>36</v>
      </c>
      <c r="Y7" t="s">
        <v>70</v>
      </c>
      <c r="Z7" t="s">
        <v>64</v>
      </c>
      <c r="AA7">
        <v>3</v>
      </c>
      <c r="AB7" t="s">
        <v>66</v>
      </c>
      <c r="AC7" t="s">
        <v>71</v>
      </c>
    </row>
    <row r="8" spans="1:29" x14ac:dyDescent="0.3">
      <c r="A8" t="s">
        <v>72</v>
      </c>
      <c r="B8" s="6">
        <v>45977</v>
      </c>
      <c r="C8" s="6" t="str">
        <f t="shared" si="0"/>
        <v>8 PM - 12 AM</v>
      </c>
      <c r="D8" s="4">
        <v>0.92500000000000004</v>
      </c>
      <c r="E8" t="s">
        <v>622</v>
      </c>
      <c r="F8" t="s">
        <v>51</v>
      </c>
      <c r="G8" t="s">
        <v>73</v>
      </c>
      <c r="H8" t="s">
        <v>74</v>
      </c>
      <c r="I8" t="s">
        <v>63</v>
      </c>
      <c r="J8" t="s">
        <v>35</v>
      </c>
      <c r="K8">
        <v>1</v>
      </c>
      <c r="L8" s="8">
        <v>3450</v>
      </c>
      <c r="M8" s="8" t="str">
        <f t="shared" si="1"/>
        <v>0%</v>
      </c>
      <c r="N8">
        <v>0</v>
      </c>
      <c r="O8" t="str">
        <f t="shared" si="2"/>
        <v>Valid</v>
      </c>
      <c r="P8" t="str">
        <f t="shared" si="3"/>
        <v>Match</v>
      </c>
      <c r="Q8" s="8">
        <v>3450</v>
      </c>
      <c r="R8" s="8">
        <v>0</v>
      </c>
      <c r="S8" s="8">
        <v>3450</v>
      </c>
      <c r="T8" s="8">
        <v>2405.46</v>
      </c>
      <c r="U8" s="8">
        <v>1044.54</v>
      </c>
      <c r="V8" s="8" t="b">
        <f t="shared" si="4"/>
        <v>0</v>
      </c>
      <c r="W8" s="8">
        <f t="shared" si="5"/>
        <v>0</v>
      </c>
      <c r="X8" t="s">
        <v>36</v>
      </c>
      <c r="Y8" t="s">
        <v>70</v>
      </c>
      <c r="Z8" t="s">
        <v>45</v>
      </c>
      <c r="AA8">
        <v>4.5</v>
      </c>
      <c r="AB8" t="s">
        <v>75</v>
      </c>
      <c r="AC8" t="s">
        <v>30</v>
      </c>
    </row>
    <row r="9" spans="1:29" x14ac:dyDescent="0.3">
      <c r="A9" t="s">
        <v>76</v>
      </c>
      <c r="B9" s="6">
        <v>45849</v>
      </c>
      <c r="C9" s="6" t="str">
        <f t="shared" si="0"/>
        <v>12 PM - 4 PM</v>
      </c>
      <c r="D9" s="4">
        <v>0.64236111111111116</v>
      </c>
      <c r="E9" t="s">
        <v>77</v>
      </c>
      <c r="F9" t="s">
        <v>51</v>
      </c>
      <c r="G9" t="s">
        <v>73</v>
      </c>
      <c r="H9" t="s">
        <v>43</v>
      </c>
      <c r="I9" t="s">
        <v>44</v>
      </c>
      <c r="J9" t="s">
        <v>78</v>
      </c>
      <c r="K9">
        <v>1</v>
      </c>
      <c r="L9" s="8">
        <v>2500</v>
      </c>
      <c r="M9" s="8" t="str">
        <f t="shared" si="1"/>
        <v>0%</v>
      </c>
      <c r="N9">
        <v>0</v>
      </c>
      <c r="O9" t="str">
        <f t="shared" si="2"/>
        <v>Valid</v>
      </c>
      <c r="P9" t="str">
        <f t="shared" si="3"/>
        <v>Match</v>
      </c>
      <c r="Q9" s="8">
        <v>2500</v>
      </c>
      <c r="R9" s="8">
        <v>0</v>
      </c>
      <c r="S9" s="8">
        <v>2500</v>
      </c>
      <c r="T9" s="8">
        <v>1773.91</v>
      </c>
      <c r="U9" s="8">
        <v>726.09</v>
      </c>
      <c r="V9" s="8" t="b">
        <f t="shared" si="4"/>
        <v>0</v>
      </c>
      <c r="W9" s="8">
        <f t="shared" si="5"/>
        <v>0</v>
      </c>
      <c r="X9" t="s">
        <v>79</v>
      </c>
      <c r="Y9" t="s">
        <v>65</v>
      </c>
      <c r="Z9" t="s">
        <v>80</v>
      </c>
      <c r="AA9">
        <v>4</v>
      </c>
      <c r="AB9" t="s">
        <v>29</v>
      </c>
      <c r="AC9" t="s">
        <v>58</v>
      </c>
    </row>
    <row r="10" spans="1:29" x14ac:dyDescent="0.3">
      <c r="A10" t="s">
        <v>81</v>
      </c>
      <c r="B10" s="6">
        <v>46009</v>
      </c>
      <c r="C10" s="6" t="str">
        <f t="shared" si="0"/>
        <v>12 AM - 4 AM</v>
      </c>
      <c r="D10" s="4">
        <v>1.5277777777777777E-2</v>
      </c>
      <c r="E10" t="s">
        <v>622</v>
      </c>
      <c r="F10" t="s">
        <v>24</v>
      </c>
      <c r="G10" t="s">
        <v>25</v>
      </c>
      <c r="H10" t="s">
        <v>43</v>
      </c>
      <c r="I10" t="s">
        <v>82</v>
      </c>
      <c r="J10" t="s">
        <v>45</v>
      </c>
      <c r="K10">
        <v>2</v>
      </c>
      <c r="L10" s="8">
        <v>6150</v>
      </c>
      <c r="M10" s="8" t="str">
        <f t="shared" si="1"/>
        <v>11-20%</v>
      </c>
      <c r="N10">
        <v>20</v>
      </c>
      <c r="O10" t="str">
        <f t="shared" si="2"/>
        <v>Valid</v>
      </c>
      <c r="P10" t="str">
        <f t="shared" si="3"/>
        <v>Match</v>
      </c>
      <c r="Q10" s="8">
        <v>12300</v>
      </c>
      <c r="R10" s="8">
        <v>2460</v>
      </c>
      <c r="S10" s="8">
        <v>9840</v>
      </c>
      <c r="T10" s="8">
        <v>7024.29</v>
      </c>
      <c r="U10" s="8">
        <v>2815.71</v>
      </c>
      <c r="V10" s="8" t="b">
        <f t="shared" si="4"/>
        <v>0</v>
      </c>
      <c r="W10" s="8">
        <f t="shared" si="5"/>
        <v>0</v>
      </c>
      <c r="X10" t="s">
        <v>79</v>
      </c>
      <c r="Y10" t="s">
        <v>70</v>
      </c>
      <c r="Z10" t="s">
        <v>38</v>
      </c>
      <c r="AA10">
        <v>4.5</v>
      </c>
      <c r="AB10" t="s">
        <v>39</v>
      </c>
      <c r="AC10" t="s">
        <v>67</v>
      </c>
    </row>
    <row r="11" spans="1:29" x14ac:dyDescent="0.3">
      <c r="A11" t="s">
        <v>83</v>
      </c>
      <c r="B11" s="6">
        <v>45853</v>
      </c>
      <c r="C11" s="6" t="str">
        <f t="shared" si="0"/>
        <v>4 PM - 8 PM</v>
      </c>
      <c r="D11" s="4">
        <v>0.81458333333333333</v>
      </c>
      <c r="E11" t="s">
        <v>60</v>
      </c>
      <c r="F11" t="s">
        <v>24</v>
      </c>
      <c r="G11" t="s">
        <v>84</v>
      </c>
      <c r="H11" t="s">
        <v>74</v>
      </c>
      <c r="I11" t="s">
        <v>98</v>
      </c>
      <c r="J11" t="s">
        <v>35</v>
      </c>
      <c r="K11">
        <v>2</v>
      </c>
      <c r="L11" s="8">
        <v>10950</v>
      </c>
      <c r="M11" s="8" t="str">
        <f t="shared" si="1"/>
        <v>11-20%</v>
      </c>
      <c r="N11">
        <v>20</v>
      </c>
      <c r="O11" t="str">
        <f t="shared" si="2"/>
        <v>Valid</v>
      </c>
      <c r="P11" t="str">
        <f t="shared" si="3"/>
        <v>Match</v>
      </c>
      <c r="Q11" s="8">
        <v>21900</v>
      </c>
      <c r="R11" s="8">
        <v>4380</v>
      </c>
      <c r="S11" s="8">
        <v>17520</v>
      </c>
      <c r="T11" s="8">
        <v>14819.15</v>
      </c>
      <c r="U11" s="8">
        <v>2700.85</v>
      </c>
      <c r="V11" s="8" t="b">
        <f t="shared" si="4"/>
        <v>0</v>
      </c>
      <c r="W11" s="8">
        <f t="shared" si="5"/>
        <v>0</v>
      </c>
      <c r="X11" t="s">
        <v>55</v>
      </c>
      <c r="Y11" t="s">
        <v>65</v>
      </c>
      <c r="Z11" t="s">
        <v>85</v>
      </c>
      <c r="AA11" t="s">
        <v>1139</v>
      </c>
      <c r="AB11" t="s">
        <v>29</v>
      </c>
      <c r="AC11" t="s">
        <v>86</v>
      </c>
    </row>
    <row r="12" spans="1:29" x14ac:dyDescent="0.3">
      <c r="A12" t="s">
        <v>87</v>
      </c>
      <c r="B12" s="6">
        <v>45883</v>
      </c>
      <c r="C12" s="6" t="str">
        <f t="shared" si="0"/>
        <v>12 AM - 4 AM</v>
      </c>
      <c r="D12" s="4">
        <v>0.15763888888888888</v>
      </c>
      <c r="E12" t="s">
        <v>60</v>
      </c>
      <c r="F12" t="s">
        <v>24</v>
      </c>
      <c r="G12" t="s">
        <v>88</v>
      </c>
      <c r="H12" t="s">
        <v>26</v>
      </c>
      <c r="I12" t="s">
        <v>27</v>
      </c>
      <c r="J12" t="s">
        <v>45</v>
      </c>
      <c r="K12">
        <v>1</v>
      </c>
      <c r="L12" s="8">
        <v>2550</v>
      </c>
      <c r="M12" s="8" t="str">
        <f t="shared" si="1"/>
        <v>11-20%</v>
      </c>
      <c r="N12">
        <v>20</v>
      </c>
      <c r="O12" t="str">
        <f t="shared" si="2"/>
        <v>Valid</v>
      </c>
      <c r="P12" t="str">
        <f t="shared" si="3"/>
        <v>Match</v>
      </c>
      <c r="Q12" s="8">
        <v>2550</v>
      </c>
      <c r="R12" s="8">
        <v>510</v>
      </c>
      <c r="S12" s="8">
        <v>2040</v>
      </c>
      <c r="T12" s="8">
        <v>1473.43</v>
      </c>
      <c r="U12" s="8">
        <v>566.57000000000005</v>
      </c>
      <c r="V12" s="8" t="b">
        <f t="shared" si="4"/>
        <v>0</v>
      </c>
      <c r="W12" s="8">
        <f t="shared" si="5"/>
        <v>0</v>
      </c>
      <c r="X12" t="s">
        <v>79</v>
      </c>
      <c r="Y12" t="s">
        <v>89</v>
      </c>
      <c r="Z12" t="s">
        <v>38</v>
      </c>
      <c r="AA12">
        <v>4</v>
      </c>
      <c r="AB12" t="s">
        <v>90</v>
      </c>
      <c r="AC12" t="s">
        <v>67</v>
      </c>
    </row>
    <row r="13" spans="1:29" x14ac:dyDescent="0.3">
      <c r="A13" t="s">
        <v>91</v>
      </c>
      <c r="B13" s="6">
        <v>45707</v>
      </c>
      <c r="C13" s="6" t="str">
        <f t="shared" si="0"/>
        <v>12 PM - 4 PM</v>
      </c>
      <c r="D13" s="4">
        <v>0.61041666666666672</v>
      </c>
      <c r="E13" t="s">
        <v>23</v>
      </c>
      <c r="F13" t="s">
        <v>24</v>
      </c>
      <c r="G13" t="s">
        <v>84</v>
      </c>
      <c r="H13" t="s">
        <v>43</v>
      </c>
      <c r="I13" t="s">
        <v>92</v>
      </c>
      <c r="J13" t="s">
        <v>93</v>
      </c>
      <c r="K13">
        <v>2</v>
      </c>
      <c r="L13" s="8">
        <v>2300</v>
      </c>
      <c r="M13" s="8" t="str">
        <f t="shared" si="1"/>
        <v>1-10%</v>
      </c>
      <c r="N13">
        <v>10</v>
      </c>
      <c r="O13" t="str">
        <f t="shared" si="2"/>
        <v>Valid</v>
      </c>
      <c r="P13" t="str">
        <f t="shared" si="3"/>
        <v>Match</v>
      </c>
      <c r="Q13" s="8">
        <v>4600</v>
      </c>
      <c r="R13" s="8">
        <v>460</v>
      </c>
      <c r="S13" s="8">
        <v>4140</v>
      </c>
      <c r="T13" s="8">
        <v>3222.59</v>
      </c>
      <c r="U13" s="8">
        <v>917.41</v>
      </c>
      <c r="V13" s="8" t="b">
        <f t="shared" si="4"/>
        <v>0</v>
      </c>
      <c r="W13" s="8">
        <f t="shared" si="5"/>
        <v>0</v>
      </c>
      <c r="X13" t="s">
        <v>55</v>
      </c>
      <c r="Y13" t="s">
        <v>94</v>
      </c>
      <c r="Z13" t="s">
        <v>1138</v>
      </c>
      <c r="AA13">
        <v>3</v>
      </c>
      <c r="AB13" t="s">
        <v>66</v>
      </c>
      <c r="AC13" t="s">
        <v>40</v>
      </c>
    </row>
    <row r="14" spans="1:29" x14ac:dyDescent="0.3">
      <c r="A14" t="s">
        <v>95</v>
      </c>
      <c r="B14" s="6">
        <v>45763</v>
      </c>
      <c r="C14" s="6" t="str">
        <f t="shared" si="0"/>
        <v>12 PM - 4 PM</v>
      </c>
      <c r="D14" s="4">
        <v>0.52500000000000002</v>
      </c>
      <c r="E14" t="s">
        <v>32</v>
      </c>
      <c r="F14" t="s">
        <v>96</v>
      </c>
      <c r="G14" t="s">
        <v>97</v>
      </c>
      <c r="H14" t="s">
        <v>53</v>
      </c>
      <c r="I14" t="s">
        <v>98</v>
      </c>
      <c r="J14" t="s">
        <v>35</v>
      </c>
      <c r="K14">
        <v>1</v>
      </c>
      <c r="L14" s="8">
        <v>4750</v>
      </c>
      <c r="M14" s="8" t="str">
        <f t="shared" si="1"/>
        <v>11-20%</v>
      </c>
      <c r="N14">
        <v>15</v>
      </c>
      <c r="O14" t="str">
        <f t="shared" si="2"/>
        <v>Valid</v>
      </c>
      <c r="P14" t="str">
        <f t="shared" si="3"/>
        <v>Match</v>
      </c>
      <c r="Q14" s="8">
        <v>4750</v>
      </c>
      <c r="R14" s="8">
        <v>712.5</v>
      </c>
      <c r="S14" s="8">
        <v>4037.5</v>
      </c>
      <c r="T14" s="8">
        <v>2494.91</v>
      </c>
      <c r="U14" s="8">
        <v>1542.59</v>
      </c>
      <c r="V14" s="8" t="b">
        <f t="shared" si="4"/>
        <v>0</v>
      </c>
      <c r="W14" s="8">
        <f t="shared" si="5"/>
        <v>0</v>
      </c>
      <c r="X14" t="s">
        <v>55</v>
      </c>
      <c r="Y14" t="s">
        <v>94</v>
      </c>
      <c r="Z14" t="s">
        <v>85</v>
      </c>
      <c r="AA14">
        <v>5</v>
      </c>
      <c r="AB14" t="s">
        <v>99</v>
      </c>
      <c r="AC14" t="s">
        <v>40</v>
      </c>
    </row>
    <row r="15" spans="1:29" x14ac:dyDescent="0.3">
      <c r="A15" t="s">
        <v>100</v>
      </c>
      <c r="B15" s="6">
        <v>46008</v>
      </c>
      <c r="C15" s="6" t="str">
        <f t="shared" si="0"/>
        <v>8 AM - 12 PM</v>
      </c>
      <c r="D15" s="4">
        <v>0.45694444444444443</v>
      </c>
      <c r="E15" t="s">
        <v>69</v>
      </c>
      <c r="F15" t="s">
        <v>51</v>
      </c>
      <c r="G15" t="s">
        <v>101</v>
      </c>
      <c r="H15" t="s">
        <v>102</v>
      </c>
      <c r="I15" t="s">
        <v>103</v>
      </c>
      <c r="J15" t="s">
        <v>93</v>
      </c>
      <c r="K15">
        <v>1</v>
      </c>
      <c r="L15" s="8">
        <v>8800</v>
      </c>
      <c r="M15" s="8" t="str">
        <f t="shared" si="1"/>
        <v>1-10%</v>
      </c>
      <c r="N15">
        <v>5</v>
      </c>
      <c r="O15" t="str">
        <f t="shared" si="2"/>
        <v>Valid</v>
      </c>
      <c r="P15" t="str">
        <f t="shared" si="3"/>
        <v>Match</v>
      </c>
      <c r="Q15" s="8">
        <v>8800</v>
      </c>
      <c r="R15" s="8">
        <v>440</v>
      </c>
      <c r="S15" s="8">
        <v>8360</v>
      </c>
      <c r="T15" s="8">
        <v>5713.71</v>
      </c>
      <c r="U15" s="8">
        <v>2646.29</v>
      </c>
      <c r="V15" s="8" t="b">
        <f t="shared" si="4"/>
        <v>0</v>
      </c>
      <c r="W15" s="8">
        <f t="shared" si="5"/>
        <v>0</v>
      </c>
      <c r="X15" t="s">
        <v>28</v>
      </c>
      <c r="Y15" t="s">
        <v>104</v>
      </c>
      <c r="Z15" t="s">
        <v>64</v>
      </c>
      <c r="AA15">
        <v>3.5</v>
      </c>
      <c r="AB15" t="s">
        <v>39</v>
      </c>
      <c r="AC15" t="s">
        <v>40</v>
      </c>
    </row>
    <row r="16" spans="1:29" x14ac:dyDescent="0.3">
      <c r="A16" t="s">
        <v>105</v>
      </c>
      <c r="B16" s="6">
        <v>45933</v>
      </c>
      <c r="C16" s="6" t="str">
        <f t="shared" si="0"/>
        <v>4 PM - 8 PM</v>
      </c>
      <c r="D16" s="4">
        <v>0.70833333333333337</v>
      </c>
      <c r="E16" t="s">
        <v>32</v>
      </c>
      <c r="F16" t="s">
        <v>24</v>
      </c>
      <c r="G16" t="s">
        <v>42</v>
      </c>
      <c r="H16" t="s">
        <v>53</v>
      </c>
      <c r="I16" t="s">
        <v>54</v>
      </c>
      <c r="J16" t="s">
        <v>85</v>
      </c>
      <c r="K16">
        <v>1</v>
      </c>
      <c r="L16" s="8">
        <v>49700</v>
      </c>
      <c r="M16" s="8" t="str">
        <f t="shared" si="1"/>
        <v>1-10%</v>
      </c>
      <c r="N16">
        <v>5</v>
      </c>
      <c r="O16" t="str">
        <f t="shared" si="2"/>
        <v>Valid</v>
      </c>
      <c r="P16" t="str">
        <f t="shared" si="3"/>
        <v>Match</v>
      </c>
      <c r="Q16" s="8">
        <v>49700</v>
      </c>
      <c r="R16" s="8">
        <v>2485</v>
      </c>
      <c r="S16" s="8">
        <v>47215</v>
      </c>
      <c r="T16" s="8">
        <v>27674.29</v>
      </c>
      <c r="U16" s="8">
        <v>19540.71</v>
      </c>
      <c r="V16" s="8" t="b">
        <f t="shared" si="4"/>
        <v>0</v>
      </c>
      <c r="W16" s="8">
        <f t="shared" si="5"/>
        <v>0</v>
      </c>
      <c r="X16" t="s">
        <v>46</v>
      </c>
      <c r="Y16" t="s">
        <v>70</v>
      </c>
      <c r="Z16" t="s">
        <v>80</v>
      </c>
      <c r="AA16">
        <v>5</v>
      </c>
      <c r="AB16" t="s">
        <v>57</v>
      </c>
      <c r="AC16" t="s">
        <v>58</v>
      </c>
    </row>
    <row r="17" spans="1:29" x14ac:dyDescent="0.3">
      <c r="A17" t="s">
        <v>106</v>
      </c>
      <c r="B17" s="6">
        <v>45881</v>
      </c>
      <c r="C17" s="6" t="str">
        <f t="shared" si="0"/>
        <v>8 AM - 12 PM</v>
      </c>
      <c r="D17" s="4">
        <v>0.49861111111111112</v>
      </c>
      <c r="E17" t="s">
        <v>32</v>
      </c>
      <c r="F17" t="s">
        <v>96</v>
      </c>
      <c r="G17" t="s">
        <v>97</v>
      </c>
      <c r="H17" t="s">
        <v>26</v>
      </c>
      <c r="I17" t="s">
        <v>98</v>
      </c>
      <c r="J17" t="s">
        <v>45</v>
      </c>
      <c r="K17">
        <v>2</v>
      </c>
      <c r="L17" s="8">
        <v>3000</v>
      </c>
      <c r="M17" s="8" t="str">
        <f t="shared" si="1"/>
        <v>1-10%</v>
      </c>
      <c r="N17">
        <v>5</v>
      </c>
      <c r="O17" t="str">
        <f t="shared" si="2"/>
        <v>Valid</v>
      </c>
      <c r="P17" t="str">
        <f t="shared" si="3"/>
        <v>Match</v>
      </c>
      <c r="Q17" s="8">
        <v>6000</v>
      </c>
      <c r="R17" s="8">
        <v>300</v>
      </c>
      <c r="S17" s="8">
        <v>5700</v>
      </c>
      <c r="T17" s="8">
        <v>4394.58</v>
      </c>
      <c r="U17" s="8">
        <v>1305.42</v>
      </c>
      <c r="V17" s="8" t="b">
        <f t="shared" si="4"/>
        <v>0</v>
      </c>
      <c r="W17" s="8">
        <f t="shared" si="5"/>
        <v>0</v>
      </c>
      <c r="X17" t="s">
        <v>79</v>
      </c>
      <c r="Y17" t="s">
        <v>65</v>
      </c>
      <c r="Z17" t="s">
        <v>64</v>
      </c>
      <c r="AA17">
        <v>3</v>
      </c>
      <c r="AB17" t="s">
        <v>90</v>
      </c>
      <c r="AC17" t="s">
        <v>86</v>
      </c>
    </row>
    <row r="18" spans="1:29" x14ac:dyDescent="0.3">
      <c r="A18" t="s">
        <v>107</v>
      </c>
      <c r="B18" s="6">
        <v>45993</v>
      </c>
      <c r="C18" s="6" t="str">
        <f t="shared" si="0"/>
        <v>12 PM - 4 PM</v>
      </c>
      <c r="D18" s="4">
        <v>0.50555555555555554</v>
      </c>
      <c r="E18" t="s">
        <v>108</v>
      </c>
      <c r="F18" t="s">
        <v>24</v>
      </c>
      <c r="G18" t="s">
        <v>33</v>
      </c>
      <c r="H18" t="s">
        <v>62</v>
      </c>
      <c r="I18" t="s">
        <v>92</v>
      </c>
      <c r="J18" t="s">
        <v>64</v>
      </c>
      <c r="K18">
        <v>2</v>
      </c>
      <c r="L18" s="8">
        <v>850</v>
      </c>
      <c r="M18" s="8" t="str">
        <f t="shared" si="1"/>
        <v>21-30%</v>
      </c>
      <c r="N18">
        <v>30</v>
      </c>
      <c r="O18" t="str">
        <f t="shared" si="2"/>
        <v>Valid</v>
      </c>
      <c r="P18" t="str">
        <f t="shared" si="3"/>
        <v>Match</v>
      </c>
      <c r="Q18" s="8">
        <v>1700</v>
      </c>
      <c r="R18" s="8">
        <v>510</v>
      </c>
      <c r="S18" s="8">
        <v>1190</v>
      </c>
      <c r="T18" s="8">
        <v>1177.24</v>
      </c>
      <c r="U18" s="8">
        <v>12.76</v>
      </c>
      <c r="V18" s="8" t="b">
        <f t="shared" si="4"/>
        <v>0</v>
      </c>
      <c r="W18" s="8">
        <f t="shared" si="5"/>
        <v>0</v>
      </c>
      <c r="X18" t="s">
        <v>46</v>
      </c>
      <c r="Y18" t="s">
        <v>65</v>
      </c>
      <c r="Z18" t="s">
        <v>80</v>
      </c>
      <c r="AA18">
        <v>4</v>
      </c>
      <c r="AB18" t="s">
        <v>39</v>
      </c>
      <c r="AC18" t="s">
        <v>86</v>
      </c>
    </row>
    <row r="19" spans="1:29" x14ac:dyDescent="0.3">
      <c r="A19" t="s">
        <v>109</v>
      </c>
      <c r="B19" s="6">
        <v>45783</v>
      </c>
      <c r="C19" s="6" t="str">
        <f t="shared" si="0"/>
        <v>12 PM - 4 PM</v>
      </c>
      <c r="D19" s="4">
        <v>0.51527777777777772</v>
      </c>
      <c r="E19" t="s">
        <v>32</v>
      </c>
      <c r="F19" t="s">
        <v>24</v>
      </c>
      <c r="G19" t="s">
        <v>110</v>
      </c>
      <c r="H19" t="s">
        <v>26</v>
      </c>
      <c r="I19" t="s">
        <v>82</v>
      </c>
      <c r="J19" t="s">
        <v>35</v>
      </c>
      <c r="K19">
        <v>2</v>
      </c>
      <c r="L19" s="8">
        <v>1050</v>
      </c>
      <c r="M19" s="8" t="str">
        <f t="shared" si="1"/>
        <v>0%</v>
      </c>
      <c r="N19">
        <v>0</v>
      </c>
      <c r="O19" t="str">
        <f t="shared" si="2"/>
        <v>Valid</v>
      </c>
      <c r="P19" t="str">
        <f t="shared" si="3"/>
        <v>Match</v>
      </c>
      <c r="Q19" s="8">
        <v>2100</v>
      </c>
      <c r="R19" s="8">
        <v>0</v>
      </c>
      <c r="S19" s="8">
        <v>2100</v>
      </c>
      <c r="T19" s="8">
        <v>1397.86</v>
      </c>
      <c r="U19" s="8">
        <v>702.14</v>
      </c>
      <c r="V19" s="8" t="b">
        <f t="shared" si="4"/>
        <v>0</v>
      </c>
      <c r="W19" s="8">
        <f t="shared" si="5"/>
        <v>0</v>
      </c>
      <c r="X19" t="s">
        <v>28</v>
      </c>
      <c r="Y19" t="s">
        <v>104</v>
      </c>
      <c r="Z19" t="s">
        <v>80</v>
      </c>
      <c r="AA19">
        <v>4</v>
      </c>
      <c r="AB19" t="s">
        <v>111</v>
      </c>
      <c r="AC19" t="s">
        <v>86</v>
      </c>
    </row>
    <row r="20" spans="1:29" x14ac:dyDescent="0.3">
      <c r="A20" t="s">
        <v>112</v>
      </c>
      <c r="B20" s="6">
        <v>45964</v>
      </c>
      <c r="C20" s="6" t="str">
        <f t="shared" si="0"/>
        <v>4 PM - 8 PM</v>
      </c>
      <c r="D20" s="4">
        <v>0.71527777777777779</v>
      </c>
      <c r="E20" t="s">
        <v>622</v>
      </c>
      <c r="F20" t="s">
        <v>24</v>
      </c>
      <c r="G20" t="s">
        <v>84</v>
      </c>
      <c r="H20" t="s">
        <v>113</v>
      </c>
      <c r="I20" t="s">
        <v>27</v>
      </c>
      <c r="J20" t="s">
        <v>35</v>
      </c>
      <c r="K20">
        <v>1</v>
      </c>
      <c r="L20" s="8">
        <v>19850</v>
      </c>
      <c r="M20" s="8" t="str">
        <f t="shared" si="1"/>
        <v>11-20%</v>
      </c>
      <c r="N20">
        <v>15</v>
      </c>
      <c r="O20" t="str">
        <f t="shared" si="2"/>
        <v>Valid</v>
      </c>
      <c r="P20" t="str">
        <f t="shared" si="3"/>
        <v>Match</v>
      </c>
      <c r="Q20" s="8">
        <v>19850</v>
      </c>
      <c r="R20" s="8">
        <v>2977.5</v>
      </c>
      <c r="S20" s="8">
        <v>16872.5</v>
      </c>
      <c r="T20" s="8">
        <v>11524.34</v>
      </c>
      <c r="U20" s="8">
        <v>5348.16</v>
      </c>
      <c r="V20" s="8" t="b">
        <f t="shared" si="4"/>
        <v>0</v>
      </c>
      <c r="W20" s="8">
        <f t="shared" si="5"/>
        <v>0</v>
      </c>
      <c r="X20" t="s">
        <v>28</v>
      </c>
      <c r="Y20" t="s">
        <v>37</v>
      </c>
      <c r="Z20" t="s">
        <v>64</v>
      </c>
      <c r="AA20">
        <v>4.5</v>
      </c>
      <c r="AB20" t="s">
        <v>75</v>
      </c>
      <c r="AC20" t="s">
        <v>49</v>
      </c>
    </row>
    <row r="21" spans="1:29" x14ac:dyDescent="0.3">
      <c r="A21" t="s">
        <v>114</v>
      </c>
      <c r="B21" s="6">
        <v>45971</v>
      </c>
      <c r="C21" s="6" t="str">
        <f t="shared" si="0"/>
        <v>8 AM - 12 PM</v>
      </c>
      <c r="D21" s="4">
        <v>0.40555555555555556</v>
      </c>
      <c r="E21" t="s">
        <v>77</v>
      </c>
      <c r="F21" t="s">
        <v>96</v>
      </c>
      <c r="G21" t="s">
        <v>115</v>
      </c>
      <c r="H21" t="s">
        <v>26</v>
      </c>
      <c r="I21" t="s">
        <v>63</v>
      </c>
      <c r="J21" t="s">
        <v>35</v>
      </c>
      <c r="K21">
        <v>1</v>
      </c>
      <c r="L21" s="8">
        <v>5000</v>
      </c>
      <c r="M21" s="8" t="str">
        <f t="shared" si="1"/>
        <v>11-20%</v>
      </c>
      <c r="N21">
        <v>15</v>
      </c>
      <c r="O21" t="str">
        <f t="shared" si="2"/>
        <v>Valid</v>
      </c>
      <c r="P21" t="str">
        <f t="shared" si="3"/>
        <v>Match</v>
      </c>
      <c r="Q21" s="8">
        <v>5000</v>
      </c>
      <c r="R21" s="8">
        <v>750</v>
      </c>
      <c r="S21" s="8">
        <v>4250</v>
      </c>
      <c r="T21" s="8">
        <v>2836.03</v>
      </c>
      <c r="U21" s="8">
        <v>1413.97</v>
      </c>
      <c r="V21" s="8" t="b">
        <f t="shared" si="4"/>
        <v>0</v>
      </c>
      <c r="W21" s="8">
        <f t="shared" si="5"/>
        <v>0</v>
      </c>
      <c r="X21" t="s">
        <v>28</v>
      </c>
      <c r="Y21" t="s">
        <v>37</v>
      </c>
      <c r="Z21" t="s">
        <v>64</v>
      </c>
      <c r="AA21">
        <v>4</v>
      </c>
      <c r="AB21" t="s">
        <v>75</v>
      </c>
      <c r="AC21" t="s">
        <v>49</v>
      </c>
    </row>
    <row r="22" spans="1:29" x14ac:dyDescent="0.3">
      <c r="A22" t="s">
        <v>116</v>
      </c>
      <c r="B22" s="6">
        <v>45900</v>
      </c>
      <c r="C22" s="6" t="str">
        <f t="shared" si="0"/>
        <v>4 PM - 8 PM</v>
      </c>
      <c r="D22" s="4">
        <v>0.6694444444444444</v>
      </c>
      <c r="E22" t="s">
        <v>69</v>
      </c>
      <c r="F22" t="s">
        <v>24</v>
      </c>
      <c r="G22" t="s">
        <v>25</v>
      </c>
      <c r="H22" t="s">
        <v>34</v>
      </c>
      <c r="I22" t="s">
        <v>63</v>
      </c>
      <c r="J22" t="s">
        <v>35</v>
      </c>
      <c r="K22">
        <v>1</v>
      </c>
      <c r="L22" s="8">
        <v>2800</v>
      </c>
      <c r="M22" s="8" t="str">
        <f t="shared" si="1"/>
        <v>11-20%</v>
      </c>
      <c r="N22">
        <v>15</v>
      </c>
      <c r="O22" t="str">
        <f t="shared" si="2"/>
        <v>Valid</v>
      </c>
      <c r="P22" t="str">
        <f t="shared" si="3"/>
        <v>Match</v>
      </c>
      <c r="Q22" s="8">
        <v>2800</v>
      </c>
      <c r="R22" s="8">
        <v>420</v>
      </c>
      <c r="S22" s="8">
        <v>2380</v>
      </c>
      <c r="T22" s="8">
        <v>1929.74</v>
      </c>
      <c r="U22" s="8">
        <v>450.26</v>
      </c>
      <c r="V22" s="8" t="b">
        <f t="shared" si="4"/>
        <v>0</v>
      </c>
      <c r="W22" s="8">
        <f t="shared" si="5"/>
        <v>0</v>
      </c>
      <c r="X22" t="s">
        <v>79</v>
      </c>
      <c r="Y22" t="s">
        <v>94</v>
      </c>
      <c r="Z22" t="s">
        <v>38</v>
      </c>
      <c r="AA22">
        <v>4</v>
      </c>
      <c r="AB22" t="s">
        <v>90</v>
      </c>
      <c r="AC22" t="s">
        <v>30</v>
      </c>
    </row>
    <row r="23" spans="1:29" x14ac:dyDescent="0.3">
      <c r="A23" t="s">
        <v>117</v>
      </c>
      <c r="B23" s="6">
        <v>45804</v>
      </c>
      <c r="C23" s="6" t="str">
        <f t="shared" si="0"/>
        <v>12 PM - 4 PM</v>
      </c>
      <c r="D23" s="4">
        <v>0.5180555555555556</v>
      </c>
      <c r="E23" t="s">
        <v>108</v>
      </c>
      <c r="F23" t="s">
        <v>51</v>
      </c>
      <c r="G23" t="s">
        <v>73</v>
      </c>
      <c r="H23" t="s">
        <v>113</v>
      </c>
      <c r="I23" t="s">
        <v>103</v>
      </c>
      <c r="J23" t="s">
        <v>45</v>
      </c>
      <c r="K23">
        <v>4</v>
      </c>
      <c r="L23" s="8">
        <v>7600</v>
      </c>
      <c r="M23" s="8" t="str">
        <f t="shared" si="1"/>
        <v>11-20%</v>
      </c>
      <c r="N23">
        <v>15</v>
      </c>
      <c r="O23" t="str">
        <f t="shared" si="2"/>
        <v>Valid</v>
      </c>
      <c r="P23" t="str">
        <f t="shared" si="3"/>
        <v>Match</v>
      </c>
      <c r="Q23" s="8">
        <v>30400</v>
      </c>
      <c r="R23" s="8">
        <v>4560</v>
      </c>
      <c r="S23" s="8">
        <v>25840</v>
      </c>
      <c r="T23" s="8">
        <v>16072.8</v>
      </c>
      <c r="U23" s="8">
        <v>9767.2000000000007</v>
      </c>
      <c r="V23" s="8" t="b">
        <f t="shared" si="4"/>
        <v>0</v>
      </c>
      <c r="W23" s="8">
        <f t="shared" si="5"/>
        <v>0</v>
      </c>
      <c r="X23" t="s">
        <v>79</v>
      </c>
      <c r="Y23" t="s">
        <v>37</v>
      </c>
      <c r="Z23" t="s">
        <v>64</v>
      </c>
      <c r="AA23">
        <v>4</v>
      </c>
      <c r="AB23" t="s">
        <v>111</v>
      </c>
      <c r="AC23" t="s">
        <v>86</v>
      </c>
    </row>
    <row r="24" spans="1:29" x14ac:dyDescent="0.3">
      <c r="A24" t="s">
        <v>118</v>
      </c>
      <c r="B24" s="6">
        <v>45850</v>
      </c>
      <c r="C24" s="6" t="str">
        <f t="shared" si="0"/>
        <v>8 AM - 12 PM</v>
      </c>
      <c r="D24" s="4">
        <v>0.47847222222222224</v>
      </c>
      <c r="E24" t="s">
        <v>60</v>
      </c>
      <c r="F24" t="s">
        <v>24</v>
      </c>
      <c r="G24" t="s">
        <v>25</v>
      </c>
      <c r="H24" t="s">
        <v>53</v>
      </c>
      <c r="I24" t="s">
        <v>82</v>
      </c>
      <c r="J24" t="s">
        <v>35</v>
      </c>
      <c r="K24">
        <v>2</v>
      </c>
      <c r="L24" s="8">
        <v>6950</v>
      </c>
      <c r="M24" s="8" t="str">
        <f t="shared" si="1"/>
        <v>1-10%</v>
      </c>
      <c r="N24">
        <v>10</v>
      </c>
      <c r="O24" t="str">
        <f t="shared" si="2"/>
        <v>Valid</v>
      </c>
      <c r="P24" t="str">
        <f t="shared" si="3"/>
        <v>Match</v>
      </c>
      <c r="Q24" s="8">
        <v>13900</v>
      </c>
      <c r="R24" s="8">
        <v>1390</v>
      </c>
      <c r="S24" s="8">
        <v>12510</v>
      </c>
      <c r="T24" s="8">
        <v>8524</v>
      </c>
      <c r="U24" s="8">
        <v>3986</v>
      </c>
      <c r="V24" s="8" t="b">
        <f t="shared" si="4"/>
        <v>0</v>
      </c>
      <c r="W24" s="8">
        <f t="shared" si="5"/>
        <v>0</v>
      </c>
      <c r="X24" t="s">
        <v>55</v>
      </c>
      <c r="Y24" t="s">
        <v>37</v>
      </c>
      <c r="Z24" t="s">
        <v>45</v>
      </c>
      <c r="AA24">
        <v>4.5</v>
      </c>
      <c r="AB24" t="s">
        <v>29</v>
      </c>
      <c r="AC24" t="s">
        <v>71</v>
      </c>
    </row>
    <row r="25" spans="1:29" x14ac:dyDescent="0.3">
      <c r="A25" t="s">
        <v>119</v>
      </c>
      <c r="B25" s="6">
        <v>45785</v>
      </c>
      <c r="C25" s="6" t="str">
        <f t="shared" si="0"/>
        <v>8 AM - 12 PM</v>
      </c>
      <c r="D25" s="4">
        <v>0.35069444444444442</v>
      </c>
      <c r="E25" t="s">
        <v>60</v>
      </c>
      <c r="F25" t="s">
        <v>24</v>
      </c>
      <c r="G25" t="s">
        <v>120</v>
      </c>
      <c r="H25" t="s">
        <v>53</v>
      </c>
      <c r="I25" t="s">
        <v>63</v>
      </c>
      <c r="J25" t="s">
        <v>78</v>
      </c>
      <c r="K25">
        <v>1</v>
      </c>
      <c r="L25" s="8">
        <v>8800</v>
      </c>
      <c r="M25" s="8" t="str">
        <f t="shared" si="1"/>
        <v>11-20%</v>
      </c>
      <c r="N25">
        <v>20</v>
      </c>
      <c r="O25" t="str">
        <f t="shared" si="2"/>
        <v>Valid</v>
      </c>
      <c r="P25" t="str">
        <f t="shared" si="3"/>
        <v>Match</v>
      </c>
      <c r="Q25" s="8">
        <v>8800</v>
      </c>
      <c r="R25" s="8">
        <v>1760</v>
      </c>
      <c r="S25" s="8">
        <v>7040</v>
      </c>
      <c r="T25" s="8">
        <v>6349.2</v>
      </c>
      <c r="U25" s="8">
        <v>690.8</v>
      </c>
      <c r="V25" s="8" t="b">
        <f t="shared" si="4"/>
        <v>0</v>
      </c>
      <c r="W25" s="8">
        <f t="shared" si="5"/>
        <v>0</v>
      </c>
      <c r="X25" t="s">
        <v>55</v>
      </c>
      <c r="Y25" t="s">
        <v>65</v>
      </c>
      <c r="Z25" t="s">
        <v>64</v>
      </c>
      <c r="AA25">
        <v>3.5</v>
      </c>
      <c r="AB25" t="s">
        <v>111</v>
      </c>
      <c r="AC25" t="s">
        <v>67</v>
      </c>
    </row>
    <row r="26" spans="1:29" x14ac:dyDescent="0.3">
      <c r="A26" t="s">
        <v>121</v>
      </c>
      <c r="B26" s="6">
        <v>45702</v>
      </c>
      <c r="C26" s="6" t="str">
        <f t="shared" si="0"/>
        <v>4 AM - 8 AM</v>
      </c>
      <c r="D26" s="4">
        <v>0.30763888888888891</v>
      </c>
      <c r="E26" t="s">
        <v>622</v>
      </c>
      <c r="F26" t="s">
        <v>51</v>
      </c>
      <c r="G26" t="s">
        <v>122</v>
      </c>
      <c r="H26" t="s">
        <v>26</v>
      </c>
      <c r="I26" t="s">
        <v>44</v>
      </c>
      <c r="J26" t="s">
        <v>35</v>
      </c>
      <c r="K26">
        <v>2</v>
      </c>
      <c r="L26" s="8">
        <v>4800</v>
      </c>
      <c r="M26" s="8" t="str">
        <f t="shared" si="1"/>
        <v>21-30%</v>
      </c>
      <c r="N26">
        <v>25</v>
      </c>
      <c r="O26" t="str">
        <f t="shared" si="2"/>
        <v>Valid</v>
      </c>
      <c r="P26" t="str">
        <f t="shared" si="3"/>
        <v>Match</v>
      </c>
      <c r="Q26" s="8">
        <v>9600</v>
      </c>
      <c r="R26" s="8">
        <v>2400</v>
      </c>
      <c r="S26" s="8">
        <v>7200</v>
      </c>
      <c r="T26" s="8">
        <v>5455.23</v>
      </c>
      <c r="U26" s="8">
        <v>1744.77</v>
      </c>
      <c r="V26" s="8" t="b">
        <f t="shared" si="4"/>
        <v>0</v>
      </c>
      <c r="W26" s="8">
        <f t="shared" si="5"/>
        <v>0</v>
      </c>
      <c r="X26" t="s">
        <v>46</v>
      </c>
      <c r="Y26" t="s">
        <v>37</v>
      </c>
      <c r="Z26" t="s">
        <v>56</v>
      </c>
      <c r="AA26">
        <v>4.5</v>
      </c>
      <c r="AB26" t="s">
        <v>66</v>
      </c>
      <c r="AC26" t="s">
        <v>58</v>
      </c>
    </row>
    <row r="27" spans="1:29" x14ac:dyDescent="0.3">
      <c r="A27" t="s">
        <v>123</v>
      </c>
      <c r="B27" s="6">
        <v>45708</v>
      </c>
      <c r="C27" s="6" t="str">
        <f t="shared" si="0"/>
        <v>8 PM - 12 AM</v>
      </c>
      <c r="D27" s="4">
        <v>0.92361111111111116</v>
      </c>
      <c r="E27" t="s">
        <v>622</v>
      </c>
      <c r="F27" t="s">
        <v>24</v>
      </c>
      <c r="G27" t="s">
        <v>110</v>
      </c>
      <c r="H27" t="s">
        <v>43</v>
      </c>
      <c r="I27" t="s">
        <v>54</v>
      </c>
      <c r="J27" t="s">
        <v>35</v>
      </c>
      <c r="K27">
        <v>2</v>
      </c>
      <c r="L27" s="8">
        <v>2750</v>
      </c>
      <c r="M27" s="8" t="str">
        <f t="shared" si="1"/>
        <v>11-20%</v>
      </c>
      <c r="N27">
        <v>20</v>
      </c>
      <c r="O27" t="str">
        <f t="shared" si="2"/>
        <v>Valid</v>
      </c>
      <c r="P27" t="str">
        <f t="shared" si="3"/>
        <v>Match</v>
      </c>
      <c r="Q27" s="8">
        <v>5500</v>
      </c>
      <c r="R27" s="8">
        <v>1100</v>
      </c>
      <c r="S27" s="8">
        <v>4400</v>
      </c>
      <c r="T27" s="8">
        <v>2917.73</v>
      </c>
      <c r="U27" s="8">
        <v>1482.27</v>
      </c>
      <c r="V27" s="8" t="b">
        <f t="shared" si="4"/>
        <v>0</v>
      </c>
      <c r="W27" s="8">
        <f t="shared" si="5"/>
        <v>0</v>
      </c>
      <c r="X27" t="s">
        <v>79</v>
      </c>
      <c r="Y27" t="s">
        <v>89</v>
      </c>
      <c r="Z27" t="s">
        <v>56</v>
      </c>
      <c r="AA27">
        <v>3</v>
      </c>
      <c r="AB27" t="s">
        <v>66</v>
      </c>
      <c r="AC27" t="s">
        <v>67</v>
      </c>
    </row>
    <row r="28" spans="1:29" x14ac:dyDescent="0.3">
      <c r="A28" t="s">
        <v>124</v>
      </c>
      <c r="B28" s="6">
        <v>45778</v>
      </c>
      <c r="C28" s="6" t="str">
        <f t="shared" si="0"/>
        <v>12 PM - 4 PM</v>
      </c>
      <c r="D28" s="4">
        <v>0.60902777777777772</v>
      </c>
      <c r="E28" t="s">
        <v>69</v>
      </c>
      <c r="F28" t="s">
        <v>24</v>
      </c>
      <c r="G28" t="s">
        <v>42</v>
      </c>
      <c r="H28" t="s">
        <v>74</v>
      </c>
      <c r="I28" t="s">
        <v>125</v>
      </c>
      <c r="J28" t="s">
        <v>35</v>
      </c>
      <c r="K28">
        <v>1</v>
      </c>
      <c r="L28" s="8">
        <v>116950</v>
      </c>
      <c r="M28" s="8" t="str">
        <f t="shared" si="1"/>
        <v>11-20%</v>
      </c>
      <c r="N28">
        <v>20</v>
      </c>
      <c r="O28" t="str">
        <f t="shared" si="2"/>
        <v>Valid</v>
      </c>
      <c r="P28" t="str">
        <f t="shared" si="3"/>
        <v>Match</v>
      </c>
      <c r="Q28" s="8">
        <v>116950</v>
      </c>
      <c r="R28" s="8">
        <v>23390</v>
      </c>
      <c r="S28" s="8">
        <v>93560</v>
      </c>
      <c r="T28" s="8">
        <v>63800.24</v>
      </c>
      <c r="U28" s="8">
        <v>29759.759999999998</v>
      </c>
      <c r="V28" s="8" t="b">
        <f t="shared" si="4"/>
        <v>0</v>
      </c>
      <c r="W28" s="8">
        <f t="shared" si="5"/>
        <v>0</v>
      </c>
      <c r="X28" t="s">
        <v>79</v>
      </c>
      <c r="Y28" t="s">
        <v>70</v>
      </c>
      <c r="Z28" t="s">
        <v>45</v>
      </c>
      <c r="AA28">
        <v>3.5</v>
      </c>
      <c r="AB28" t="s">
        <v>111</v>
      </c>
      <c r="AC28" t="s">
        <v>67</v>
      </c>
    </row>
    <row r="29" spans="1:29" x14ac:dyDescent="0.3">
      <c r="A29" t="s">
        <v>126</v>
      </c>
      <c r="B29" s="6">
        <v>45722</v>
      </c>
      <c r="C29" s="6" t="str">
        <f t="shared" si="0"/>
        <v>4 AM - 8 AM</v>
      </c>
      <c r="D29" s="4">
        <v>0.18958333333333333</v>
      </c>
      <c r="E29" t="s">
        <v>108</v>
      </c>
      <c r="F29" t="s">
        <v>51</v>
      </c>
      <c r="G29" t="s">
        <v>101</v>
      </c>
      <c r="H29" t="s">
        <v>43</v>
      </c>
      <c r="I29" t="s">
        <v>44</v>
      </c>
      <c r="J29" t="s">
        <v>35</v>
      </c>
      <c r="K29">
        <v>1</v>
      </c>
      <c r="L29" s="8">
        <v>8350</v>
      </c>
      <c r="M29" s="8" t="str">
        <f t="shared" si="1"/>
        <v>1-10%</v>
      </c>
      <c r="N29">
        <v>10</v>
      </c>
      <c r="O29" t="str">
        <f t="shared" si="2"/>
        <v>Valid</v>
      </c>
      <c r="P29" t="str">
        <f t="shared" si="3"/>
        <v>Match</v>
      </c>
      <c r="Q29" s="8">
        <v>8350</v>
      </c>
      <c r="R29" s="8">
        <v>835</v>
      </c>
      <c r="S29" s="8">
        <v>7515</v>
      </c>
      <c r="T29" s="8">
        <v>5156.09</v>
      </c>
      <c r="U29" s="8">
        <v>2358.91</v>
      </c>
      <c r="V29" s="8" t="b">
        <f t="shared" si="4"/>
        <v>0</v>
      </c>
      <c r="W29" s="8">
        <f t="shared" si="5"/>
        <v>0</v>
      </c>
      <c r="X29" t="s">
        <v>28</v>
      </c>
      <c r="Y29" t="s">
        <v>94</v>
      </c>
      <c r="Z29" t="s">
        <v>80</v>
      </c>
      <c r="AA29">
        <v>4</v>
      </c>
      <c r="AB29" t="s">
        <v>127</v>
      </c>
      <c r="AC29" t="s">
        <v>67</v>
      </c>
    </row>
    <row r="30" spans="1:29" x14ac:dyDescent="0.3">
      <c r="A30" t="s">
        <v>128</v>
      </c>
      <c r="B30" s="6">
        <v>46014</v>
      </c>
      <c r="C30" s="6" t="str">
        <f t="shared" si="0"/>
        <v>4 AM - 8 AM</v>
      </c>
      <c r="D30" s="4">
        <v>0.18819444444444444</v>
      </c>
      <c r="E30" t="s">
        <v>23</v>
      </c>
      <c r="F30" t="s">
        <v>96</v>
      </c>
      <c r="G30" t="s">
        <v>129</v>
      </c>
      <c r="H30" t="s">
        <v>53</v>
      </c>
      <c r="I30" t="s">
        <v>63</v>
      </c>
      <c r="J30" t="s">
        <v>93</v>
      </c>
      <c r="K30">
        <v>1</v>
      </c>
      <c r="L30" s="8">
        <v>3400</v>
      </c>
      <c r="M30" s="8" t="str">
        <f t="shared" si="1"/>
        <v>1-10%</v>
      </c>
      <c r="N30">
        <v>5</v>
      </c>
      <c r="O30" t="str">
        <f t="shared" si="2"/>
        <v>Valid</v>
      </c>
      <c r="P30" t="str">
        <f t="shared" si="3"/>
        <v>Match</v>
      </c>
      <c r="Q30" s="8">
        <v>3400</v>
      </c>
      <c r="R30" s="8">
        <v>170</v>
      </c>
      <c r="S30" s="8">
        <v>3230</v>
      </c>
      <c r="T30" s="8">
        <v>1974.41</v>
      </c>
      <c r="U30" s="8">
        <v>1255.5899999999999</v>
      </c>
      <c r="V30" s="8" t="b">
        <f t="shared" si="4"/>
        <v>0</v>
      </c>
      <c r="W30" s="8">
        <f t="shared" si="5"/>
        <v>0</v>
      </c>
      <c r="X30" t="s">
        <v>55</v>
      </c>
      <c r="Y30" t="s">
        <v>70</v>
      </c>
      <c r="Z30" t="s">
        <v>38</v>
      </c>
      <c r="AA30">
        <v>4</v>
      </c>
      <c r="AB30" t="s">
        <v>39</v>
      </c>
      <c r="AC30" t="s">
        <v>86</v>
      </c>
    </row>
    <row r="31" spans="1:29" x14ac:dyDescent="0.3">
      <c r="A31" t="s">
        <v>130</v>
      </c>
      <c r="B31" s="6">
        <v>45770</v>
      </c>
      <c r="C31" s="6" t="str">
        <f t="shared" si="0"/>
        <v>4 PM - 8 PM</v>
      </c>
      <c r="D31" s="4">
        <v>0.76527777777777772</v>
      </c>
      <c r="E31" t="s">
        <v>32</v>
      </c>
      <c r="F31" t="s">
        <v>24</v>
      </c>
      <c r="G31" t="s">
        <v>120</v>
      </c>
      <c r="H31" t="s">
        <v>43</v>
      </c>
      <c r="I31" t="s">
        <v>92</v>
      </c>
      <c r="J31" t="s">
        <v>35</v>
      </c>
      <c r="K31">
        <v>1</v>
      </c>
      <c r="L31" s="8">
        <v>9350</v>
      </c>
      <c r="M31" s="8" t="str">
        <f t="shared" si="1"/>
        <v>21-30%</v>
      </c>
      <c r="N31">
        <v>25</v>
      </c>
      <c r="O31" t="str">
        <f t="shared" si="2"/>
        <v>Valid</v>
      </c>
      <c r="P31" t="str">
        <f t="shared" si="3"/>
        <v>Match</v>
      </c>
      <c r="Q31" s="8">
        <v>9350</v>
      </c>
      <c r="R31" s="8">
        <v>2337.5</v>
      </c>
      <c r="S31" s="8">
        <v>7012.5</v>
      </c>
      <c r="T31" s="8">
        <v>6547.43</v>
      </c>
      <c r="U31" s="8">
        <v>465.07</v>
      </c>
      <c r="V31" s="8" t="b">
        <f t="shared" si="4"/>
        <v>0</v>
      </c>
      <c r="W31" s="8">
        <f t="shared" si="5"/>
        <v>0</v>
      </c>
      <c r="X31" t="s">
        <v>36</v>
      </c>
      <c r="Y31" t="s">
        <v>94</v>
      </c>
      <c r="Z31" t="s">
        <v>64</v>
      </c>
      <c r="AA31">
        <v>3.5</v>
      </c>
      <c r="AB31" t="s">
        <v>99</v>
      </c>
      <c r="AC31" t="s">
        <v>40</v>
      </c>
    </row>
    <row r="32" spans="1:29" x14ac:dyDescent="0.3">
      <c r="A32" t="s">
        <v>131</v>
      </c>
      <c r="B32" s="6">
        <v>45900</v>
      </c>
      <c r="C32" s="6" t="str">
        <f t="shared" si="0"/>
        <v>8 AM - 12 PM</v>
      </c>
      <c r="D32" s="4">
        <v>0.47152777777777777</v>
      </c>
      <c r="E32" t="s">
        <v>108</v>
      </c>
      <c r="F32" t="s">
        <v>24</v>
      </c>
      <c r="G32" t="s">
        <v>61</v>
      </c>
      <c r="H32" t="s">
        <v>102</v>
      </c>
      <c r="I32" t="s">
        <v>54</v>
      </c>
      <c r="J32" t="s">
        <v>35</v>
      </c>
      <c r="K32">
        <v>1</v>
      </c>
      <c r="L32" s="8">
        <v>16150</v>
      </c>
      <c r="M32" s="8" t="str">
        <f t="shared" si="1"/>
        <v>21-30%</v>
      </c>
      <c r="N32">
        <v>30</v>
      </c>
      <c r="O32" t="str">
        <f t="shared" si="2"/>
        <v>Valid</v>
      </c>
      <c r="P32" t="str">
        <f t="shared" si="3"/>
        <v>Match</v>
      </c>
      <c r="Q32" s="8">
        <v>16150</v>
      </c>
      <c r="R32" s="8">
        <v>4845</v>
      </c>
      <c r="S32" s="8">
        <v>11305</v>
      </c>
      <c r="T32" s="8">
        <v>9767.7900000000009</v>
      </c>
      <c r="U32" s="8">
        <v>1537.21</v>
      </c>
      <c r="V32" s="8" t="b">
        <f t="shared" si="4"/>
        <v>0</v>
      </c>
      <c r="W32" s="8">
        <f t="shared" si="5"/>
        <v>0</v>
      </c>
      <c r="X32" t="s">
        <v>36</v>
      </c>
      <c r="Y32" t="s">
        <v>94</v>
      </c>
      <c r="Z32" t="s">
        <v>38</v>
      </c>
      <c r="AA32">
        <v>3.5</v>
      </c>
      <c r="AB32" t="s">
        <v>90</v>
      </c>
      <c r="AC32" t="s">
        <v>30</v>
      </c>
    </row>
    <row r="33" spans="1:29" x14ac:dyDescent="0.3">
      <c r="A33" t="s">
        <v>132</v>
      </c>
      <c r="B33" s="6">
        <v>45711</v>
      </c>
      <c r="C33" s="6" t="str">
        <f t="shared" si="0"/>
        <v>8 PM - 12 AM</v>
      </c>
      <c r="D33" s="4">
        <v>0.88472222222222219</v>
      </c>
      <c r="E33" t="s">
        <v>622</v>
      </c>
      <c r="F33" t="s">
        <v>24</v>
      </c>
      <c r="G33" t="s">
        <v>84</v>
      </c>
      <c r="H33" t="s">
        <v>74</v>
      </c>
      <c r="I33" t="s">
        <v>98</v>
      </c>
      <c r="J33" t="s">
        <v>35</v>
      </c>
      <c r="K33">
        <v>1</v>
      </c>
      <c r="L33" s="8">
        <v>25850</v>
      </c>
      <c r="M33" s="8" t="str">
        <f t="shared" si="1"/>
        <v>0%</v>
      </c>
      <c r="N33">
        <v>0</v>
      </c>
      <c r="O33" t="str">
        <f t="shared" si="2"/>
        <v>Valid</v>
      </c>
      <c r="P33" t="str">
        <f t="shared" si="3"/>
        <v>Match</v>
      </c>
      <c r="Q33" s="8">
        <v>25850</v>
      </c>
      <c r="R33" s="8">
        <v>0</v>
      </c>
      <c r="S33" s="8">
        <v>25850</v>
      </c>
      <c r="T33" s="8">
        <v>14258.01</v>
      </c>
      <c r="U33" s="8">
        <v>11591.99</v>
      </c>
      <c r="V33" s="8" t="b">
        <f t="shared" si="4"/>
        <v>0</v>
      </c>
      <c r="W33" s="8">
        <f t="shared" si="5"/>
        <v>0</v>
      </c>
      <c r="X33" t="s">
        <v>36</v>
      </c>
      <c r="Y33" t="s">
        <v>94</v>
      </c>
      <c r="Z33" t="s">
        <v>64</v>
      </c>
      <c r="AA33">
        <v>4.5</v>
      </c>
      <c r="AB33" t="s">
        <v>66</v>
      </c>
      <c r="AC33" t="s">
        <v>30</v>
      </c>
    </row>
    <row r="34" spans="1:29" x14ac:dyDescent="0.3">
      <c r="A34" t="s">
        <v>133</v>
      </c>
      <c r="B34" s="6">
        <v>45695</v>
      </c>
      <c r="C34" s="6" t="str">
        <f t="shared" si="0"/>
        <v>12 AM - 4 AM</v>
      </c>
      <c r="E34" t="s">
        <v>32</v>
      </c>
      <c r="F34" t="s">
        <v>96</v>
      </c>
      <c r="G34" t="s">
        <v>134</v>
      </c>
      <c r="H34" t="s">
        <v>43</v>
      </c>
      <c r="I34" t="s">
        <v>125</v>
      </c>
      <c r="J34" t="s">
        <v>85</v>
      </c>
      <c r="K34">
        <v>1</v>
      </c>
      <c r="L34" s="8">
        <v>3800</v>
      </c>
      <c r="M34" s="8" t="str">
        <f t="shared" si="1"/>
        <v>21-30%</v>
      </c>
      <c r="N34">
        <v>25</v>
      </c>
      <c r="O34" t="str">
        <f t="shared" si="2"/>
        <v>Valid</v>
      </c>
      <c r="P34" t="str">
        <f t="shared" si="3"/>
        <v>Match</v>
      </c>
      <c r="Q34" s="8">
        <v>3800</v>
      </c>
      <c r="R34" s="8">
        <v>950</v>
      </c>
      <c r="S34" s="8">
        <v>2850</v>
      </c>
      <c r="T34" s="8">
        <v>2135.7600000000002</v>
      </c>
      <c r="U34" s="8">
        <v>714.24</v>
      </c>
      <c r="V34" s="8" t="b">
        <f t="shared" si="4"/>
        <v>0</v>
      </c>
      <c r="W34" s="8">
        <f t="shared" si="5"/>
        <v>0</v>
      </c>
      <c r="X34" t="s">
        <v>28</v>
      </c>
      <c r="Y34" t="s">
        <v>89</v>
      </c>
      <c r="Z34" t="s">
        <v>85</v>
      </c>
      <c r="AA34">
        <v>4</v>
      </c>
      <c r="AB34" t="s">
        <v>29</v>
      </c>
      <c r="AC34" t="s">
        <v>40</v>
      </c>
    </row>
    <row r="35" spans="1:29" x14ac:dyDescent="0.3">
      <c r="A35" t="s">
        <v>135</v>
      </c>
      <c r="B35" s="6">
        <v>46020</v>
      </c>
      <c r="C35" s="6" t="str">
        <f t="shared" si="0"/>
        <v>8 AM - 12 PM</v>
      </c>
      <c r="D35" s="4">
        <v>0.43958333333333333</v>
      </c>
      <c r="E35" t="s">
        <v>23</v>
      </c>
      <c r="F35" t="s">
        <v>24</v>
      </c>
      <c r="G35" t="s">
        <v>25</v>
      </c>
      <c r="H35" t="s">
        <v>53</v>
      </c>
      <c r="I35" t="s">
        <v>82</v>
      </c>
      <c r="J35" t="s">
        <v>78</v>
      </c>
      <c r="K35">
        <v>2</v>
      </c>
      <c r="L35" s="8">
        <v>5350</v>
      </c>
      <c r="M35" s="8" t="str">
        <f t="shared" si="1"/>
        <v>1-10%</v>
      </c>
      <c r="N35">
        <v>10</v>
      </c>
      <c r="O35" t="str">
        <f t="shared" si="2"/>
        <v>Valid</v>
      </c>
      <c r="P35" t="str">
        <f t="shared" si="3"/>
        <v>Match</v>
      </c>
      <c r="Q35" s="8">
        <v>10700</v>
      </c>
      <c r="R35" s="8">
        <v>1070</v>
      </c>
      <c r="S35" s="8">
        <v>9630</v>
      </c>
      <c r="T35" s="8">
        <v>5735.56</v>
      </c>
      <c r="U35" s="8">
        <v>3894.44</v>
      </c>
      <c r="V35" s="8" t="b">
        <f t="shared" si="4"/>
        <v>0</v>
      </c>
      <c r="W35" s="8">
        <f t="shared" si="5"/>
        <v>0</v>
      </c>
      <c r="X35" t="s">
        <v>55</v>
      </c>
      <c r="Y35" t="s">
        <v>47</v>
      </c>
      <c r="Z35" t="s">
        <v>38</v>
      </c>
      <c r="AA35">
        <v>3.5</v>
      </c>
      <c r="AB35" t="s">
        <v>39</v>
      </c>
      <c r="AC35" t="s">
        <v>49</v>
      </c>
    </row>
    <row r="36" spans="1:29" x14ac:dyDescent="0.3">
      <c r="A36" t="s">
        <v>136</v>
      </c>
      <c r="B36" s="6">
        <v>45846</v>
      </c>
      <c r="C36" s="6" t="str">
        <f t="shared" si="0"/>
        <v>8 AM - 12 PM</v>
      </c>
      <c r="D36" s="4">
        <v>0.47291666666666665</v>
      </c>
      <c r="E36" t="s">
        <v>69</v>
      </c>
      <c r="F36" t="s">
        <v>51</v>
      </c>
      <c r="G36" t="s">
        <v>122</v>
      </c>
      <c r="H36" t="s">
        <v>34</v>
      </c>
      <c r="I36" t="s">
        <v>103</v>
      </c>
      <c r="J36" t="s">
        <v>93</v>
      </c>
      <c r="K36">
        <v>3</v>
      </c>
      <c r="L36" s="8">
        <v>1950</v>
      </c>
      <c r="M36" s="8" t="str">
        <f t="shared" si="1"/>
        <v>1-10%</v>
      </c>
      <c r="N36">
        <v>5</v>
      </c>
      <c r="O36" t="str">
        <f t="shared" si="2"/>
        <v>Valid</v>
      </c>
      <c r="P36" t="str">
        <f t="shared" si="3"/>
        <v>Match</v>
      </c>
      <c r="Q36" s="8">
        <v>5850</v>
      </c>
      <c r="R36" s="8">
        <v>292.5</v>
      </c>
      <c r="S36" s="8">
        <v>5557.5</v>
      </c>
      <c r="T36" s="8">
        <v>4030.22</v>
      </c>
      <c r="U36" s="8">
        <v>1527.28</v>
      </c>
      <c r="V36" s="8" t="b">
        <f t="shared" si="4"/>
        <v>0</v>
      </c>
      <c r="W36" s="8">
        <f t="shared" si="5"/>
        <v>0</v>
      </c>
      <c r="X36" t="s">
        <v>36</v>
      </c>
      <c r="Y36" t="s">
        <v>104</v>
      </c>
      <c r="Z36" t="s">
        <v>85</v>
      </c>
      <c r="AA36">
        <v>3</v>
      </c>
      <c r="AB36" t="s">
        <v>29</v>
      </c>
      <c r="AC36" t="s">
        <v>86</v>
      </c>
    </row>
    <row r="37" spans="1:29" x14ac:dyDescent="0.3">
      <c r="A37" t="s">
        <v>137</v>
      </c>
      <c r="B37" s="6">
        <v>45878</v>
      </c>
      <c r="C37" s="6" t="str">
        <f t="shared" si="0"/>
        <v>12 AM - 4 AM</v>
      </c>
      <c r="D37" s="4">
        <v>0.13750000000000001</v>
      </c>
      <c r="E37" t="s">
        <v>32</v>
      </c>
      <c r="F37" t="s">
        <v>24</v>
      </c>
      <c r="G37" t="s">
        <v>110</v>
      </c>
      <c r="H37" t="s">
        <v>62</v>
      </c>
      <c r="I37" t="s">
        <v>54</v>
      </c>
      <c r="J37" t="s">
        <v>45</v>
      </c>
      <c r="K37">
        <v>1</v>
      </c>
      <c r="L37" s="8">
        <v>3450</v>
      </c>
      <c r="M37" s="8" t="str">
        <f t="shared" si="1"/>
        <v>11-20%</v>
      </c>
      <c r="N37">
        <v>20</v>
      </c>
      <c r="O37" t="str">
        <f t="shared" si="2"/>
        <v>Valid</v>
      </c>
      <c r="P37" t="str">
        <f t="shared" si="3"/>
        <v>Match</v>
      </c>
      <c r="Q37" s="8">
        <v>3450</v>
      </c>
      <c r="R37" s="8">
        <v>690</v>
      </c>
      <c r="S37" s="8">
        <v>2760</v>
      </c>
      <c r="T37" s="8">
        <v>1880.39</v>
      </c>
      <c r="U37" s="8">
        <v>879.61</v>
      </c>
      <c r="V37" s="8" t="b">
        <f t="shared" si="4"/>
        <v>0</v>
      </c>
      <c r="W37" s="8">
        <f t="shared" si="5"/>
        <v>0</v>
      </c>
      <c r="X37" t="s">
        <v>36</v>
      </c>
      <c r="Y37" t="s">
        <v>104</v>
      </c>
      <c r="Z37" t="s">
        <v>1138</v>
      </c>
      <c r="AA37">
        <v>4</v>
      </c>
      <c r="AB37" t="s">
        <v>90</v>
      </c>
      <c r="AC37" t="s">
        <v>71</v>
      </c>
    </row>
    <row r="38" spans="1:29" x14ac:dyDescent="0.3">
      <c r="A38" t="s">
        <v>138</v>
      </c>
      <c r="B38" s="6">
        <v>45849</v>
      </c>
      <c r="C38" s="6" t="str">
        <f t="shared" si="0"/>
        <v>12 PM - 4 PM</v>
      </c>
      <c r="D38" s="4">
        <v>0.51944444444444449</v>
      </c>
      <c r="E38" t="s">
        <v>69</v>
      </c>
      <c r="F38" t="s">
        <v>24</v>
      </c>
      <c r="G38" t="s">
        <v>120</v>
      </c>
      <c r="H38" t="s">
        <v>53</v>
      </c>
      <c r="I38" t="s">
        <v>63</v>
      </c>
      <c r="J38" t="s">
        <v>93</v>
      </c>
      <c r="K38">
        <v>1</v>
      </c>
      <c r="L38" s="8">
        <v>12250</v>
      </c>
      <c r="M38" s="8" t="str">
        <f t="shared" si="1"/>
        <v>21-30%</v>
      </c>
      <c r="N38">
        <v>25</v>
      </c>
      <c r="O38" t="str">
        <f t="shared" si="2"/>
        <v>Valid</v>
      </c>
      <c r="P38" t="str">
        <f t="shared" si="3"/>
        <v>Match</v>
      </c>
      <c r="Q38" s="8">
        <v>12250</v>
      </c>
      <c r="R38" s="8">
        <v>3062.5</v>
      </c>
      <c r="S38" s="8">
        <v>9187.5</v>
      </c>
      <c r="T38" s="8">
        <v>8327.9</v>
      </c>
      <c r="U38" s="8">
        <v>859.6</v>
      </c>
      <c r="V38" s="8" t="b">
        <f t="shared" si="4"/>
        <v>0</v>
      </c>
      <c r="W38" s="8">
        <f t="shared" si="5"/>
        <v>0</v>
      </c>
      <c r="X38" t="s">
        <v>36</v>
      </c>
      <c r="Y38" t="s">
        <v>70</v>
      </c>
      <c r="Z38" t="s">
        <v>1138</v>
      </c>
      <c r="AA38">
        <v>4</v>
      </c>
      <c r="AB38" t="s">
        <v>29</v>
      </c>
      <c r="AC38" t="s">
        <v>58</v>
      </c>
    </row>
    <row r="39" spans="1:29" x14ac:dyDescent="0.3">
      <c r="A39" t="s">
        <v>139</v>
      </c>
      <c r="B39" s="6">
        <v>45884</v>
      </c>
      <c r="C39" s="6" t="str">
        <f t="shared" si="0"/>
        <v>4 AM - 8 AM</v>
      </c>
      <c r="D39" s="4">
        <v>0.2902777777777778</v>
      </c>
      <c r="E39" t="s">
        <v>108</v>
      </c>
      <c r="F39" t="s">
        <v>51</v>
      </c>
      <c r="G39" t="s">
        <v>140</v>
      </c>
      <c r="H39" t="s">
        <v>26</v>
      </c>
      <c r="I39" t="s">
        <v>44</v>
      </c>
      <c r="J39" t="s">
        <v>35</v>
      </c>
      <c r="K39">
        <v>1</v>
      </c>
      <c r="L39" s="8">
        <v>3350</v>
      </c>
      <c r="M39" s="8" t="str">
        <f t="shared" si="1"/>
        <v>21-30%</v>
      </c>
      <c r="N39">
        <v>25</v>
      </c>
      <c r="O39" t="str">
        <f t="shared" si="2"/>
        <v>Valid</v>
      </c>
      <c r="P39" t="str">
        <f t="shared" si="3"/>
        <v>Match</v>
      </c>
      <c r="Q39" s="8">
        <v>3350</v>
      </c>
      <c r="R39" s="8">
        <v>837.5</v>
      </c>
      <c r="S39" s="8">
        <v>2512.5</v>
      </c>
      <c r="T39" s="8">
        <v>1807.8</v>
      </c>
      <c r="U39" s="8">
        <v>704.7</v>
      </c>
      <c r="V39" s="8" t="b">
        <f t="shared" si="4"/>
        <v>0</v>
      </c>
      <c r="W39" s="8">
        <f t="shared" si="5"/>
        <v>0</v>
      </c>
      <c r="X39" t="s">
        <v>46</v>
      </c>
      <c r="Y39" t="s">
        <v>1137</v>
      </c>
      <c r="Z39" t="s">
        <v>64</v>
      </c>
      <c r="AA39">
        <v>3</v>
      </c>
      <c r="AB39" t="s">
        <v>90</v>
      </c>
      <c r="AC39" t="s">
        <v>58</v>
      </c>
    </row>
    <row r="40" spans="1:29" x14ac:dyDescent="0.3">
      <c r="A40" t="s">
        <v>141</v>
      </c>
      <c r="B40" s="6">
        <v>45982</v>
      </c>
      <c r="C40" s="6" t="str">
        <f t="shared" si="0"/>
        <v>8 AM - 12 PM</v>
      </c>
      <c r="D40" s="4">
        <v>0.37013888888888891</v>
      </c>
      <c r="E40" t="s">
        <v>32</v>
      </c>
      <c r="F40" t="s">
        <v>96</v>
      </c>
      <c r="G40" t="s">
        <v>115</v>
      </c>
      <c r="H40" t="s">
        <v>113</v>
      </c>
      <c r="I40" t="s">
        <v>98</v>
      </c>
      <c r="J40" t="s">
        <v>35</v>
      </c>
      <c r="K40">
        <v>1</v>
      </c>
      <c r="L40" s="8">
        <v>11800</v>
      </c>
      <c r="M40" s="8" t="str">
        <f t="shared" si="1"/>
        <v>21-30%</v>
      </c>
      <c r="N40">
        <v>25</v>
      </c>
      <c r="O40" t="str">
        <f t="shared" si="2"/>
        <v>Valid</v>
      </c>
      <c r="P40" t="str">
        <f t="shared" si="3"/>
        <v>Match</v>
      </c>
      <c r="Q40" s="8">
        <v>11800</v>
      </c>
      <c r="R40" s="8">
        <v>2950</v>
      </c>
      <c r="S40" s="8">
        <v>8850</v>
      </c>
      <c r="T40" s="8">
        <v>8650.07</v>
      </c>
      <c r="U40" s="8">
        <v>199.93</v>
      </c>
      <c r="V40" s="8" t="b">
        <f t="shared" si="4"/>
        <v>0</v>
      </c>
      <c r="W40" s="8">
        <f t="shared" si="5"/>
        <v>0</v>
      </c>
      <c r="X40" t="s">
        <v>55</v>
      </c>
      <c r="Y40" t="s">
        <v>65</v>
      </c>
      <c r="Z40" t="s">
        <v>45</v>
      </c>
      <c r="AA40">
        <v>4</v>
      </c>
      <c r="AB40" t="s">
        <v>75</v>
      </c>
      <c r="AC40" t="s">
        <v>58</v>
      </c>
    </row>
    <row r="41" spans="1:29" x14ac:dyDescent="0.3">
      <c r="A41" t="s">
        <v>142</v>
      </c>
      <c r="B41" s="6">
        <v>45763</v>
      </c>
      <c r="C41" s="6" t="str">
        <f t="shared" si="0"/>
        <v>8 AM - 12 PM</v>
      </c>
      <c r="D41" s="4">
        <v>0.36666666666666664</v>
      </c>
      <c r="E41" t="s">
        <v>32</v>
      </c>
      <c r="F41" t="s">
        <v>51</v>
      </c>
      <c r="G41" t="s">
        <v>73</v>
      </c>
      <c r="H41" t="s">
        <v>26</v>
      </c>
      <c r="I41" t="s">
        <v>63</v>
      </c>
      <c r="J41" t="s">
        <v>93</v>
      </c>
      <c r="K41">
        <v>1</v>
      </c>
      <c r="L41" s="8">
        <v>4400</v>
      </c>
      <c r="M41" s="8" t="str">
        <f t="shared" si="1"/>
        <v>0%</v>
      </c>
      <c r="N41">
        <v>0</v>
      </c>
      <c r="O41" t="str">
        <f t="shared" si="2"/>
        <v>Valid</v>
      </c>
      <c r="P41" t="str">
        <f t="shared" si="3"/>
        <v>Match</v>
      </c>
      <c r="Q41" s="8">
        <v>4400</v>
      </c>
      <c r="R41" s="8">
        <v>0</v>
      </c>
      <c r="S41" s="8">
        <v>4400</v>
      </c>
      <c r="T41" s="8">
        <v>2970.18</v>
      </c>
      <c r="U41" s="8">
        <v>1429.82</v>
      </c>
      <c r="V41" s="8" t="b">
        <f t="shared" si="4"/>
        <v>0</v>
      </c>
      <c r="W41" s="8">
        <f t="shared" si="5"/>
        <v>0</v>
      </c>
      <c r="X41" t="s">
        <v>79</v>
      </c>
      <c r="Y41" t="s">
        <v>89</v>
      </c>
      <c r="Z41" t="s">
        <v>85</v>
      </c>
      <c r="AA41">
        <v>4.5</v>
      </c>
      <c r="AB41" t="s">
        <v>99</v>
      </c>
      <c r="AC41" t="s">
        <v>40</v>
      </c>
    </row>
    <row r="42" spans="1:29" x14ac:dyDescent="0.3">
      <c r="A42" t="s">
        <v>143</v>
      </c>
      <c r="B42" s="6">
        <v>45985</v>
      </c>
      <c r="C42" s="6" t="str">
        <f t="shared" si="0"/>
        <v>4 AM - 8 AM</v>
      </c>
      <c r="D42" s="4">
        <v>0.28472222222222221</v>
      </c>
      <c r="E42" t="s">
        <v>622</v>
      </c>
      <c r="F42" t="s">
        <v>51</v>
      </c>
      <c r="G42" t="s">
        <v>122</v>
      </c>
      <c r="H42" t="s">
        <v>113</v>
      </c>
      <c r="I42" t="s">
        <v>103</v>
      </c>
      <c r="J42" t="s">
        <v>35</v>
      </c>
      <c r="K42">
        <v>1</v>
      </c>
      <c r="L42" s="8">
        <v>6250</v>
      </c>
      <c r="M42" s="8" t="str">
        <f t="shared" si="1"/>
        <v>1-10%</v>
      </c>
      <c r="N42">
        <v>5</v>
      </c>
      <c r="O42" t="str">
        <f t="shared" si="2"/>
        <v>Valid</v>
      </c>
      <c r="P42" t="str">
        <f t="shared" si="3"/>
        <v>Match</v>
      </c>
      <c r="Q42" s="8">
        <v>6250</v>
      </c>
      <c r="R42" s="8">
        <v>312.5</v>
      </c>
      <c r="S42" s="8">
        <v>5937.5</v>
      </c>
      <c r="T42" s="8">
        <v>4592.7</v>
      </c>
      <c r="U42" s="8">
        <v>1344.8</v>
      </c>
      <c r="V42" s="8" t="b">
        <f t="shared" si="4"/>
        <v>0</v>
      </c>
      <c r="W42" s="8">
        <f t="shared" si="5"/>
        <v>0</v>
      </c>
      <c r="X42" t="s">
        <v>55</v>
      </c>
      <c r="Y42" t="s">
        <v>47</v>
      </c>
      <c r="Z42" t="s">
        <v>56</v>
      </c>
      <c r="AA42">
        <v>4.5</v>
      </c>
      <c r="AB42" t="s">
        <v>75</v>
      </c>
      <c r="AC42" t="s">
        <v>49</v>
      </c>
    </row>
    <row r="43" spans="1:29" x14ac:dyDescent="0.3">
      <c r="A43" t="s">
        <v>144</v>
      </c>
      <c r="B43" s="6">
        <v>45762</v>
      </c>
      <c r="C43" s="6" t="str">
        <f t="shared" si="0"/>
        <v>4 AM - 8 AM</v>
      </c>
      <c r="D43" s="4">
        <v>0.31388888888888888</v>
      </c>
      <c r="E43" t="s">
        <v>622</v>
      </c>
      <c r="F43" t="s">
        <v>96</v>
      </c>
      <c r="G43" t="s">
        <v>145</v>
      </c>
      <c r="H43" t="s">
        <v>26</v>
      </c>
      <c r="I43" t="s">
        <v>98</v>
      </c>
      <c r="J43" t="s">
        <v>35</v>
      </c>
      <c r="K43">
        <v>2</v>
      </c>
      <c r="L43" s="8">
        <v>950</v>
      </c>
      <c r="M43" s="8" t="str">
        <f t="shared" si="1"/>
        <v>21-30%</v>
      </c>
      <c r="N43">
        <v>30</v>
      </c>
      <c r="O43" t="str">
        <f t="shared" si="2"/>
        <v>Valid</v>
      </c>
      <c r="P43" t="str">
        <f t="shared" si="3"/>
        <v>Match</v>
      </c>
      <c r="Q43" s="8">
        <v>1900</v>
      </c>
      <c r="R43" s="8">
        <v>570</v>
      </c>
      <c r="S43" s="8">
        <v>1330</v>
      </c>
      <c r="T43" s="8">
        <v>1320.41</v>
      </c>
      <c r="U43" s="8">
        <v>9.59</v>
      </c>
      <c r="V43" s="8" t="b">
        <f t="shared" si="4"/>
        <v>0</v>
      </c>
      <c r="W43" s="8">
        <f t="shared" si="5"/>
        <v>0</v>
      </c>
      <c r="X43" t="s">
        <v>55</v>
      </c>
      <c r="Y43" t="s">
        <v>70</v>
      </c>
      <c r="Z43" t="s">
        <v>56</v>
      </c>
      <c r="AA43">
        <v>4</v>
      </c>
      <c r="AB43" t="s">
        <v>99</v>
      </c>
      <c r="AC43" t="s">
        <v>86</v>
      </c>
    </row>
    <row r="44" spans="1:29" x14ac:dyDescent="0.3">
      <c r="A44" t="s">
        <v>146</v>
      </c>
      <c r="B44" s="6">
        <v>45939</v>
      </c>
      <c r="C44" s="6" t="str">
        <f t="shared" si="0"/>
        <v>12 AM - 4 AM</v>
      </c>
      <c r="D44" s="4">
        <v>9.583333333333334E-2</v>
      </c>
      <c r="E44" t="s">
        <v>77</v>
      </c>
      <c r="F44" t="s">
        <v>24</v>
      </c>
      <c r="G44" t="s">
        <v>42</v>
      </c>
      <c r="H44" t="s">
        <v>53</v>
      </c>
      <c r="I44" t="s">
        <v>125</v>
      </c>
      <c r="J44" t="s">
        <v>35</v>
      </c>
      <c r="K44">
        <v>2</v>
      </c>
      <c r="L44" s="8">
        <v>27950</v>
      </c>
      <c r="M44" s="8" t="str">
        <f t="shared" si="1"/>
        <v>1-10%</v>
      </c>
      <c r="N44">
        <v>5</v>
      </c>
      <c r="O44" t="str">
        <f t="shared" si="2"/>
        <v>Valid</v>
      </c>
      <c r="P44" t="str">
        <f t="shared" si="3"/>
        <v>Match</v>
      </c>
      <c r="Q44" s="8">
        <v>55900</v>
      </c>
      <c r="R44" s="8">
        <v>2795</v>
      </c>
      <c r="S44" s="8">
        <v>53105</v>
      </c>
      <c r="T44" s="8">
        <v>38395.32</v>
      </c>
      <c r="U44" s="8">
        <v>14709.68</v>
      </c>
      <c r="V44" s="8" t="b">
        <f t="shared" si="4"/>
        <v>0</v>
      </c>
      <c r="W44" s="8">
        <f t="shared" si="5"/>
        <v>0</v>
      </c>
      <c r="X44" t="s">
        <v>55</v>
      </c>
      <c r="Y44" t="s">
        <v>70</v>
      </c>
      <c r="Z44" t="s">
        <v>64</v>
      </c>
      <c r="AA44">
        <v>4</v>
      </c>
      <c r="AB44" t="s">
        <v>57</v>
      </c>
      <c r="AC44" t="s">
        <v>67</v>
      </c>
    </row>
    <row r="45" spans="1:29" x14ac:dyDescent="0.3">
      <c r="A45" t="s">
        <v>147</v>
      </c>
      <c r="B45" s="6">
        <v>45698</v>
      </c>
      <c r="C45" s="6" t="str">
        <f t="shared" si="0"/>
        <v>4 AM - 8 AM</v>
      </c>
      <c r="D45" s="4">
        <v>0.29375000000000001</v>
      </c>
      <c r="E45" t="s">
        <v>60</v>
      </c>
      <c r="F45" t="s">
        <v>96</v>
      </c>
      <c r="G45" t="s">
        <v>129</v>
      </c>
      <c r="H45" t="s">
        <v>102</v>
      </c>
      <c r="I45" t="s">
        <v>63</v>
      </c>
      <c r="J45" t="s">
        <v>35</v>
      </c>
      <c r="K45">
        <v>1</v>
      </c>
      <c r="L45" s="8">
        <v>1750</v>
      </c>
      <c r="M45" s="8" t="str">
        <f t="shared" si="1"/>
        <v>11-20%</v>
      </c>
      <c r="N45">
        <v>20</v>
      </c>
      <c r="O45" t="str">
        <f t="shared" si="2"/>
        <v>Valid</v>
      </c>
      <c r="P45" t="str">
        <f t="shared" si="3"/>
        <v>Match</v>
      </c>
      <c r="Q45" s="8">
        <v>1750</v>
      </c>
      <c r="R45" s="8">
        <v>350</v>
      </c>
      <c r="S45" s="8">
        <v>1400</v>
      </c>
      <c r="T45" s="8">
        <v>991.74</v>
      </c>
      <c r="U45" s="8">
        <v>408.26</v>
      </c>
      <c r="V45" s="8" t="b">
        <f t="shared" si="4"/>
        <v>0</v>
      </c>
      <c r="W45" s="8">
        <f t="shared" si="5"/>
        <v>0</v>
      </c>
      <c r="X45" t="s">
        <v>55</v>
      </c>
      <c r="Y45" t="s">
        <v>65</v>
      </c>
      <c r="Z45" t="s">
        <v>56</v>
      </c>
      <c r="AA45">
        <v>5</v>
      </c>
      <c r="AB45" t="s">
        <v>66</v>
      </c>
      <c r="AC45" t="s">
        <v>49</v>
      </c>
    </row>
    <row r="46" spans="1:29" x14ac:dyDescent="0.3">
      <c r="A46" t="s">
        <v>148</v>
      </c>
      <c r="B46" s="6">
        <v>45937</v>
      </c>
      <c r="C46" s="6" t="str">
        <f t="shared" si="0"/>
        <v>4 PM - 8 PM</v>
      </c>
      <c r="D46" s="4">
        <v>0.7</v>
      </c>
      <c r="E46" t="s">
        <v>60</v>
      </c>
      <c r="F46" t="s">
        <v>24</v>
      </c>
      <c r="G46" t="s">
        <v>110</v>
      </c>
      <c r="H46" t="s">
        <v>62</v>
      </c>
      <c r="I46" t="s">
        <v>63</v>
      </c>
      <c r="J46" t="s">
        <v>35</v>
      </c>
      <c r="K46">
        <v>1</v>
      </c>
      <c r="L46" s="8">
        <v>1050</v>
      </c>
      <c r="M46" s="8" t="str">
        <f t="shared" si="1"/>
        <v>11-20%</v>
      </c>
      <c r="N46">
        <v>20</v>
      </c>
      <c r="O46" t="str">
        <f t="shared" si="2"/>
        <v>Valid</v>
      </c>
      <c r="P46" t="str">
        <f t="shared" si="3"/>
        <v>Match</v>
      </c>
      <c r="Q46" s="8">
        <v>1050</v>
      </c>
      <c r="R46" s="8">
        <v>210</v>
      </c>
      <c r="S46" s="8">
        <v>840</v>
      </c>
      <c r="T46" s="8">
        <v>594.94000000000005</v>
      </c>
      <c r="U46" s="8">
        <v>245.06</v>
      </c>
      <c r="V46" s="8" t="b">
        <f t="shared" si="4"/>
        <v>0</v>
      </c>
      <c r="W46" s="8">
        <f t="shared" si="5"/>
        <v>0</v>
      </c>
      <c r="X46" t="s">
        <v>28</v>
      </c>
      <c r="Y46" t="s">
        <v>47</v>
      </c>
      <c r="Z46" t="s">
        <v>64</v>
      </c>
      <c r="AA46" t="s">
        <v>1139</v>
      </c>
      <c r="AB46" t="s">
        <v>57</v>
      </c>
      <c r="AC46" t="s">
        <v>86</v>
      </c>
    </row>
    <row r="47" spans="1:29" x14ac:dyDescent="0.3">
      <c r="A47" t="s">
        <v>149</v>
      </c>
      <c r="B47" s="6">
        <v>45817</v>
      </c>
      <c r="C47" s="6" t="str">
        <f t="shared" si="0"/>
        <v>8 AM - 12 PM</v>
      </c>
      <c r="D47" s="4">
        <v>0.4236111111111111</v>
      </c>
      <c r="E47" t="s">
        <v>32</v>
      </c>
      <c r="F47" t="s">
        <v>51</v>
      </c>
      <c r="G47" t="s">
        <v>122</v>
      </c>
      <c r="H47" t="s">
        <v>43</v>
      </c>
      <c r="I47" t="s">
        <v>63</v>
      </c>
      <c r="J47" t="s">
        <v>64</v>
      </c>
      <c r="K47">
        <v>1</v>
      </c>
      <c r="L47" s="8">
        <v>5250</v>
      </c>
      <c r="M47" s="8" t="str">
        <f t="shared" si="1"/>
        <v>11-20%</v>
      </c>
      <c r="N47">
        <v>15</v>
      </c>
      <c r="O47" t="str">
        <f t="shared" si="2"/>
        <v>Valid</v>
      </c>
      <c r="P47" t="str">
        <f t="shared" si="3"/>
        <v>Match</v>
      </c>
      <c r="Q47" s="8">
        <v>5250</v>
      </c>
      <c r="R47" s="8">
        <v>787.5</v>
      </c>
      <c r="S47" s="8">
        <v>4462.5</v>
      </c>
      <c r="T47" s="8">
        <v>3517.07</v>
      </c>
      <c r="U47" s="8">
        <v>945.43</v>
      </c>
      <c r="V47" s="8" t="b">
        <f t="shared" si="4"/>
        <v>0</v>
      </c>
      <c r="W47" s="8">
        <f t="shared" si="5"/>
        <v>0</v>
      </c>
      <c r="X47" t="s">
        <v>79</v>
      </c>
      <c r="Y47" t="s">
        <v>70</v>
      </c>
      <c r="Z47" t="s">
        <v>56</v>
      </c>
      <c r="AA47">
        <v>4</v>
      </c>
      <c r="AB47" t="s">
        <v>48</v>
      </c>
      <c r="AC47" t="s">
        <v>49</v>
      </c>
    </row>
    <row r="48" spans="1:29" x14ac:dyDescent="0.3">
      <c r="A48" t="s">
        <v>150</v>
      </c>
      <c r="B48" s="6">
        <v>45660</v>
      </c>
      <c r="C48" s="6" t="str">
        <f t="shared" si="0"/>
        <v>12 PM - 4 PM</v>
      </c>
      <c r="D48" s="4">
        <v>0.54305555555555551</v>
      </c>
      <c r="E48" t="s">
        <v>622</v>
      </c>
      <c r="F48" t="s">
        <v>24</v>
      </c>
      <c r="G48" t="s">
        <v>33</v>
      </c>
      <c r="H48" t="s">
        <v>53</v>
      </c>
      <c r="I48" t="s">
        <v>82</v>
      </c>
      <c r="J48" t="s">
        <v>78</v>
      </c>
      <c r="K48">
        <v>2</v>
      </c>
      <c r="L48" s="8">
        <v>4100</v>
      </c>
      <c r="M48" s="8" t="str">
        <f t="shared" si="1"/>
        <v>1-10%</v>
      </c>
      <c r="N48">
        <v>5</v>
      </c>
      <c r="O48" t="str">
        <f t="shared" si="2"/>
        <v>Valid</v>
      </c>
      <c r="P48" t="str">
        <f t="shared" si="3"/>
        <v>Match</v>
      </c>
      <c r="Q48" s="8">
        <v>8200</v>
      </c>
      <c r="R48" s="8">
        <v>410</v>
      </c>
      <c r="S48" s="8">
        <v>7790</v>
      </c>
      <c r="T48" s="8">
        <v>5912.41</v>
      </c>
      <c r="U48" s="8">
        <v>1877.59</v>
      </c>
      <c r="V48" s="8" t="b">
        <f t="shared" si="4"/>
        <v>0</v>
      </c>
      <c r="W48" s="8">
        <f t="shared" si="5"/>
        <v>0</v>
      </c>
      <c r="X48" t="s">
        <v>55</v>
      </c>
      <c r="Y48" t="s">
        <v>104</v>
      </c>
      <c r="Z48" t="s">
        <v>38</v>
      </c>
      <c r="AA48">
        <v>3</v>
      </c>
      <c r="AB48" t="s">
        <v>151</v>
      </c>
      <c r="AC48" t="s">
        <v>58</v>
      </c>
    </row>
    <row r="49" spans="1:29" x14ac:dyDescent="0.3">
      <c r="A49" t="s">
        <v>152</v>
      </c>
      <c r="B49" s="6">
        <v>45666</v>
      </c>
      <c r="C49" s="6" t="str">
        <f t="shared" si="0"/>
        <v>4 AM - 8 AM</v>
      </c>
      <c r="D49" s="4">
        <v>0.33124999999999999</v>
      </c>
      <c r="E49" t="s">
        <v>77</v>
      </c>
      <c r="F49" t="s">
        <v>51</v>
      </c>
      <c r="G49" t="s">
        <v>153</v>
      </c>
      <c r="H49" t="s">
        <v>34</v>
      </c>
      <c r="I49" t="s">
        <v>103</v>
      </c>
      <c r="J49" t="s">
        <v>35</v>
      </c>
      <c r="K49">
        <v>2</v>
      </c>
      <c r="L49" s="8">
        <v>1250</v>
      </c>
      <c r="M49" s="8" t="str">
        <f t="shared" si="1"/>
        <v>11-20%</v>
      </c>
      <c r="N49">
        <v>15</v>
      </c>
      <c r="O49" t="str">
        <f t="shared" si="2"/>
        <v>Valid</v>
      </c>
      <c r="P49" t="str">
        <f t="shared" si="3"/>
        <v>Match</v>
      </c>
      <c r="Q49" s="8">
        <v>2500</v>
      </c>
      <c r="R49" s="8">
        <v>375</v>
      </c>
      <c r="S49" s="8">
        <v>2125</v>
      </c>
      <c r="T49" s="8">
        <v>1434.47</v>
      </c>
      <c r="U49" s="8">
        <v>690.53</v>
      </c>
      <c r="V49" s="8" t="b">
        <f t="shared" si="4"/>
        <v>0</v>
      </c>
      <c r="W49" s="8">
        <f t="shared" si="5"/>
        <v>0</v>
      </c>
      <c r="X49" t="s">
        <v>28</v>
      </c>
      <c r="Y49" t="s">
        <v>70</v>
      </c>
      <c r="Z49" t="s">
        <v>38</v>
      </c>
      <c r="AA49">
        <v>4</v>
      </c>
      <c r="AB49" t="s">
        <v>151</v>
      </c>
      <c r="AC49" t="s">
        <v>67</v>
      </c>
    </row>
    <row r="50" spans="1:29" x14ac:dyDescent="0.3">
      <c r="A50" t="s">
        <v>154</v>
      </c>
      <c r="B50" s="6">
        <v>45925</v>
      </c>
      <c r="C50" s="6" t="str">
        <f t="shared" si="0"/>
        <v>12 AM - 4 AM</v>
      </c>
      <c r="D50" s="4">
        <v>8.9583333333333334E-2</v>
      </c>
      <c r="E50" t="s">
        <v>23</v>
      </c>
      <c r="F50" t="s">
        <v>24</v>
      </c>
      <c r="G50" t="s">
        <v>84</v>
      </c>
      <c r="H50" t="s">
        <v>113</v>
      </c>
      <c r="I50" t="s">
        <v>82</v>
      </c>
      <c r="J50" t="s">
        <v>93</v>
      </c>
      <c r="K50">
        <v>2</v>
      </c>
      <c r="L50" s="8">
        <v>21750</v>
      </c>
      <c r="M50" s="8" t="str">
        <f t="shared" si="1"/>
        <v>11-20%</v>
      </c>
      <c r="N50">
        <v>15</v>
      </c>
      <c r="O50" t="str">
        <f t="shared" si="2"/>
        <v>Valid</v>
      </c>
      <c r="P50" t="str">
        <f t="shared" si="3"/>
        <v>Match</v>
      </c>
      <c r="Q50" s="8">
        <v>43500</v>
      </c>
      <c r="R50" s="8">
        <v>6525</v>
      </c>
      <c r="S50" s="8">
        <v>36975</v>
      </c>
      <c r="T50" s="8">
        <v>25368.35</v>
      </c>
      <c r="U50" s="8">
        <v>11606.65</v>
      </c>
      <c r="V50" s="8" t="b">
        <f t="shared" si="4"/>
        <v>0</v>
      </c>
      <c r="W50" s="8">
        <f t="shared" si="5"/>
        <v>0</v>
      </c>
      <c r="X50" t="s">
        <v>28</v>
      </c>
      <c r="Y50" t="s">
        <v>104</v>
      </c>
      <c r="Z50" t="s">
        <v>45</v>
      </c>
      <c r="AA50">
        <v>3</v>
      </c>
      <c r="AB50" t="s">
        <v>155</v>
      </c>
      <c r="AC50" t="s">
        <v>67</v>
      </c>
    </row>
    <row r="51" spans="1:29" x14ac:dyDescent="0.3">
      <c r="A51" t="s">
        <v>156</v>
      </c>
      <c r="B51" s="6">
        <v>45874</v>
      </c>
      <c r="C51" s="6" t="str">
        <f t="shared" si="0"/>
        <v>8 AM - 12 PM</v>
      </c>
      <c r="D51" s="4">
        <v>0.46111111111111114</v>
      </c>
      <c r="E51" t="s">
        <v>157</v>
      </c>
      <c r="F51" t="s">
        <v>51</v>
      </c>
      <c r="G51" t="s">
        <v>73</v>
      </c>
      <c r="H51" t="s">
        <v>43</v>
      </c>
      <c r="I51" t="s">
        <v>63</v>
      </c>
      <c r="J51" t="s">
        <v>35</v>
      </c>
      <c r="K51">
        <v>1</v>
      </c>
      <c r="L51" s="8">
        <v>2150</v>
      </c>
      <c r="M51" s="8" t="str">
        <f t="shared" si="1"/>
        <v>21-30%</v>
      </c>
      <c r="N51">
        <v>25</v>
      </c>
      <c r="O51" t="str">
        <f t="shared" si="2"/>
        <v>Valid</v>
      </c>
      <c r="P51" t="str">
        <f t="shared" si="3"/>
        <v>Match</v>
      </c>
      <c r="Q51" s="8">
        <v>2150</v>
      </c>
      <c r="R51" s="8">
        <v>537.5</v>
      </c>
      <c r="S51" s="8">
        <v>1612.5</v>
      </c>
      <c r="T51" s="8">
        <v>1208.24</v>
      </c>
      <c r="U51" s="8">
        <v>404.26</v>
      </c>
      <c r="V51" s="8" t="b">
        <f t="shared" si="4"/>
        <v>0</v>
      </c>
      <c r="W51" s="8">
        <f t="shared" si="5"/>
        <v>0</v>
      </c>
      <c r="X51" t="s">
        <v>36</v>
      </c>
      <c r="Y51" t="s">
        <v>37</v>
      </c>
      <c r="Z51" t="s">
        <v>64</v>
      </c>
      <c r="AA51">
        <v>3.5</v>
      </c>
      <c r="AB51" t="s">
        <v>90</v>
      </c>
      <c r="AC51" t="s">
        <v>86</v>
      </c>
    </row>
    <row r="52" spans="1:29" x14ac:dyDescent="0.3">
      <c r="A52" t="s">
        <v>158</v>
      </c>
      <c r="B52" s="6">
        <v>45890</v>
      </c>
      <c r="C52" s="6" t="str">
        <f t="shared" si="0"/>
        <v>8 PM - 12 AM</v>
      </c>
      <c r="D52" s="4">
        <v>0.86111111111111116</v>
      </c>
      <c r="E52" t="s">
        <v>108</v>
      </c>
      <c r="F52" t="s">
        <v>24</v>
      </c>
      <c r="G52" t="s">
        <v>61</v>
      </c>
      <c r="H52" t="s">
        <v>53</v>
      </c>
      <c r="I52" t="s">
        <v>54</v>
      </c>
      <c r="J52" t="s">
        <v>35</v>
      </c>
      <c r="K52">
        <v>1</v>
      </c>
      <c r="L52" s="8">
        <v>28750</v>
      </c>
      <c r="M52" s="8" t="str">
        <f t="shared" si="1"/>
        <v>30%+</v>
      </c>
      <c r="N52">
        <v>55</v>
      </c>
      <c r="O52" t="str">
        <f t="shared" si="2"/>
        <v>Valid</v>
      </c>
      <c r="P52" t="str">
        <f t="shared" si="3"/>
        <v>Mismatch</v>
      </c>
      <c r="Q52" s="8">
        <v>28750</v>
      </c>
      <c r="R52" s="8">
        <v>7187.5</v>
      </c>
      <c r="S52" s="8">
        <v>21562.5</v>
      </c>
      <c r="T52" s="8">
        <v>15775.72</v>
      </c>
      <c r="U52" s="8">
        <v>5786.78</v>
      </c>
      <c r="V52" s="8" t="b">
        <f t="shared" si="4"/>
        <v>0</v>
      </c>
      <c r="W52" s="8">
        <f t="shared" si="5"/>
        <v>0</v>
      </c>
      <c r="X52" t="s">
        <v>79</v>
      </c>
      <c r="Y52" t="s">
        <v>65</v>
      </c>
      <c r="Z52" t="s">
        <v>45</v>
      </c>
      <c r="AA52">
        <v>3</v>
      </c>
      <c r="AB52" t="s">
        <v>90</v>
      </c>
      <c r="AC52" t="s">
        <v>67</v>
      </c>
    </row>
    <row r="53" spans="1:29" x14ac:dyDescent="0.3">
      <c r="A53" t="s">
        <v>159</v>
      </c>
      <c r="B53" s="6">
        <v>45791</v>
      </c>
      <c r="C53" s="6" t="str">
        <f t="shared" si="0"/>
        <v>4 AM - 8 AM</v>
      </c>
      <c r="D53" s="4">
        <v>0.23680555555555555</v>
      </c>
      <c r="E53" t="s">
        <v>108</v>
      </c>
      <c r="F53" t="s">
        <v>24</v>
      </c>
      <c r="G53" t="s">
        <v>61</v>
      </c>
      <c r="H53" t="s">
        <v>102</v>
      </c>
      <c r="I53" t="s">
        <v>54</v>
      </c>
      <c r="J53" t="s">
        <v>45</v>
      </c>
      <c r="K53">
        <v>1</v>
      </c>
      <c r="L53" s="8">
        <v>38600</v>
      </c>
      <c r="M53" s="8" t="str">
        <f t="shared" si="1"/>
        <v>0%</v>
      </c>
      <c r="N53">
        <v>0</v>
      </c>
      <c r="O53" t="str">
        <f t="shared" si="2"/>
        <v>Valid</v>
      </c>
      <c r="P53" t="str">
        <f t="shared" si="3"/>
        <v>Match</v>
      </c>
      <c r="Q53" s="8">
        <v>38600</v>
      </c>
      <c r="R53" s="8">
        <v>0</v>
      </c>
      <c r="S53" s="8">
        <v>38600</v>
      </c>
      <c r="T53" s="8">
        <v>23998.16</v>
      </c>
      <c r="U53" s="8">
        <v>14601.84</v>
      </c>
      <c r="V53" s="8" t="b">
        <f t="shared" si="4"/>
        <v>0</v>
      </c>
      <c r="W53" s="8">
        <f t="shared" si="5"/>
        <v>0</v>
      </c>
      <c r="X53" t="s">
        <v>46</v>
      </c>
      <c r="Y53" t="s">
        <v>104</v>
      </c>
      <c r="Z53" t="s">
        <v>56</v>
      </c>
      <c r="AA53">
        <v>5</v>
      </c>
      <c r="AB53" t="s">
        <v>111</v>
      </c>
      <c r="AC53" t="s">
        <v>40</v>
      </c>
    </row>
    <row r="54" spans="1:29" x14ac:dyDescent="0.3">
      <c r="A54" t="s">
        <v>160</v>
      </c>
      <c r="B54" s="6">
        <v>45952</v>
      </c>
      <c r="C54" s="6" t="str">
        <f t="shared" si="0"/>
        <v>8 AM - 12 PM</v>
      </c>
      <c r="D54" s="4">
        <v>0.40555555555555556</v>
      </c>
      <c r="E54" t="s">
        <v>161</v>
      </c>
      <c r="F54" t="s">
        <v>24</v>
      </c>
      <c r="G54" t="s">
        <v>88</v>
      </c>
      <c r="H54" t="s">
        <v>62</v>
      </c>
      <c r="I54" t="s">
        <v>98</v>
      </c>
      <c r="J54" t="s">
        <v>35</v>
      </c>
      <c r="K54">
        <v>1</v>
      </c>
      <c r="L54" s="8">
        <v>4350</v>
      </c>
      <c r="M54" s="8" t="str">
        <f t="shared" si="1"/>
        <v>11-20%</v>
      </c>
      <c r="N54">
        <v>15</v>
      </c>
      <c r="O54" t="str">
        <f t="shared" si="2"/>
        <v>Valid</v>
      </c>
      <c r="P54" t="str">
        <f t="shared" si="3"/>
        <v>Match</v>
      </c>
      <c r="Q54" s="8">
        <v>4350</v>
      </c>
      <c r="R54" s="8">
        <v>652.5</v>
      </c>
      <c r="S54" s="8">
        <v>3697.5</v>
      </c>
      <c r="T54" s="8">
        <v>2809.33</v>
      </c>
      <c r="U54" s="8">
        <v>888.17</v>
      </c>
      <c r="V54" s="8" t="b">
        <f t="shared" si="4"/>
        <v>0</v>
      </c>
      <c r="W54" s="8">
        <f t="shared" si="5"/>
        <v>0</v>
      </c>
      <c r="X54" t="s">
        <v>55</v>
      </c>
      <c r="Y54" t="s">
        <v>94</v>
      </c>
      <c r="Z54" t="s">
        <v>64</v>
      </c>
      <c r="AA54">
        <v>4</v>
      </c>
      <c r="AB54" t="s">
        <v>57</v>
      </c>
      <c r="AC54" t="s">
        <v>40</v>
      </c>
    </row>
    <row r="55" spans="1:29" x14ac:dyDescent="0.3">
      <c r="A55" t="s">
        <v>162</v>
      </c>
      <c r="B55" s="6">
        <v>45728</v>
      </c>
      <c r="C55" s="6" t="str">
        <f t="shared" si="0"/>
        <v>4 AM - 8 AM</v>
      </c>
      <c r="D55" s="4">
        <v>0.2951388888888889</v>
      </c>
      <c r="E55" t="s">
        <v>32</v>
      </c>
      <c r="F55" t="s">
        <v>24</v>
      </c>
      <c r="G55" t="s">
        <v>84</v>
      </c>
      <c r="H55" t="s">
        <v>34</v>
      </c>
      <c r="I55" t="s">
        <v>27</v>
      </c>
      <c r="J55" t="s">
        <v>163</v>
      </c>
      <c r="K55">
        <v>1</v>
      </c>
      <c r="L55" s="8">
        <v>9000</v>
      </c>
      <c r="M55" s="8" t="str">
        <f t="shared" si="1"/>
        <v>1-10%</v>
      </c>
      <c r="N55">
        <v>5</v>
      </c>
      <c r="O55" t="str">
        <f t="shared" si="2"/>
        <v>Valid</v>
      </c>
      <c r="P55" t="str">
        <f t="shared" si="3"/>
        <v>Match</v>
      </c>
      <c r="Q55" s="8">
        <v>9000</v>
      </c>
      <c r="R55" s="8">
        <v>450</v>
      </c>
      <c r="S55" s="8">
        <v>8550</v>
      </c>
      <c r="T55" s="8">
        <v>4738.41</v>
      </c>
      <c r="U55" s="8">
        <v>3811.59</v>
      </c>
      <c r="V55" s="8" t="b">
        <f t="shared" si="4"/>
        <v>0</v>
      </c>
      <c r="W55" s="8">
        <f t="shared" si="5"/>
        <v>0</v>
      </c>
      <c r="X55" t="s">
        <v>46</v>
      </c>
      <c r="Y55" t="s">
        <v>89</v>
      </c>
      <c r="Z55" t="s">
        <v>64</v>
      </c>
      <c r="AA55">
        <v>4</v>
      </c>
      <c r="AB55" t="s">
        <v>127</v>
      </c>
      <c r="AC55" t="s">
        <v>40</v>
      </c>
    </row>
    <row r="56" spans="1:29" x14ac:dyDescent="0.3">
      <c r="A56" t="s">
        <v>164</v>
      </c>
      <c r="B56" s="6">
        <v>45967</v>
      </c>
      <c r="C56" s="6" t="str">
        <f t="shared" si="0"/>
        <v>4 AM - 8 AM</v>
      </c>
      <c r="D56" s="4">
        <v>0.22638888888888889</v>
      </c>
      <c r="E56" t="s">
        <v>108</v>
      </c>
      <c r="F56" t="s">
        <v>24</v>
      </c>
      <c r="G56" t="s">
        <v>33</v>
      </c>
      <c r="H56" t="s">
        <v>74</v>
      </c>
      <c r="I56" t="s">
        <v>98</v>
      </c>
      <c r="J56" t="s">
        <v>35</v>
      </c>
      <c r="K56">
        <v>2</v>
      </c>
      <c r="L56" s="8">
        <v>3400</v>
      </c>
      <c r="M56" s="8" t="str">
        <f t="shared" si="1"/>
        <v>21-30%</v>
      </c>
      <c r="N56">
        <v>25</v>
      </c>
      <c r="O56" t="str">
        <f t="shared" si="2"/>
        <v>Valid</v>
      </c>
      <c r="P56" t="str">
        <f t="shared" si="3"/>
        <v>Match</v>
      </c>
      <c r="Q56" s="8">
        <v>6800</v>
      </c>
      <c r="R56" s="8">
        <v>1700</v>
      </c>
      <c r="S56" s="8">
        <v>5100</v>
      </c>
      <c r="T56" s="8">
        <v>4763.4799999999996</v>
      </c>
      <c r="U56" s="8">
        <v>336.52</v>
      </c>
      <c r="V56" s="8" t="b">
        <f t="shared" si="4"/>
        <v>0</v>
      </c>
      <c r="W56" s="8">
        <f t="shared" si="5"/>
        <v>0</v>
      </c>
      <c r="X56" t="s">
        <v>79</v>
      </c>
      <c r="Y56" t="s">
        <v>37</v>
      </c>
      <c r="Z56" t="s">
        <v>80</v>
      </c>
      <c r="AA56">
        <v>3</v>
      </c>
      <c r="AB56" t="s">
        <v>75</v>
      </c>
      <c r="AC56" t="s">
        <v>67</v>
      </c>
    </row>
    <row r="57" spans="1:29" x14ac:dyDescent="0.3">
      <c r="A57" t="s">
        <v>165</v>
      </c>
      <c r="B57" s="6">
        <v>46001</v>
      </c>
      <c r="C57" s="6" t="str">
        <f t="shared" si="0"/>
        <v>12 AM - 4 AM</v>
      </c>
      <c r="D57" s="4">
        <v>6.805555555555555E-2</v>
      </c>
      <c r="E57" t="s">
        <v>77</v>
      </c>
      <c r="F57" t="s">
        <v>24</v>
      </c>
      <c r="G57" t="s">
        <v>88</v>
      </c>
      <c r="H57" t="s">
        <v>53</v>
      </c>
      <c r="I57" t="s">
        <v>27</v>
      </c>
      <c r="J57" t="s">
        <v>93</v>
      </c>
      <c r="K57">
        <v>2</v>
      </c>
      <c r="L57" s="8">
        <v>1750</v>
      </c>
      <c r="M57" s="8" t="str">
        <f t="shared" si="1"/>
        <v>1-10%</v>
      </c>
      <c r="N57">
        <v>5</v>
      </c>
      <c r="O57" t="str">
        <f t="shared" si="2"/>
        <v>Valid</v>
      </c>
      <c r="P57" t="str">
        <f t="shared" si="3"/>
        <v>Match</v>
      </c>
      <c r="Q57" s="8">
        <v>3500</v>
      </c>
      <c r="R57" s="8">
        <v>175</v>
      </c>
      <c r="S57" s="8">
        <v>3325</v>
      </c>
      <c r="T57" s="8">
        <v>2033.18</v>
      </c>
      <c r="U57" s="8">
        <v>1291.82</v>
      </c>
      <c r="V57" s="8" t="b">
        <f t="shared" si="4"/>
        <v>0</v>
      </c>
      <c r="W57" s="8">
        <f t="shared" si="5"/>
        <v>0</v>
      </c>
      <c r="X57" t="s">
        <v>36</v>
      </c>
      <c r="Y57" t="s">
        <v>37</v>
      </c>
      <c r="Z57" t="s">
        <v>38</v>
      </c>
      <c r="AA57">
        <v>3</v>
      </c>
      <c r="AB57" t="s">
        <v>39</v>
      </c>
      <c r="AC57" t="s">
        <v>40</v>
      </c>
    </row>
    <row r="58" spans="1:29" x14ac:dyDescent="0.3">
      <c r="A58" t="s">
        <v>166</v>
      </c>
      <c r="B58" s="6">
        <v>45925</v>
      </c>
      <c r="C58" s="6" t="str">
        <f t="shared" si="0"/>
        <v>12 PM - 4 PM</v>
      </c>
      <c r="D58" s="4">
        <v>0.66319444444444442</v>
      </c>
      <c r="E58" t="s">
        <v>23</v>
      </c>
      <c r="F58" t="s">
        <v>24</v>
      </c>
      <c r="G58" t="s">
        <v>84</v>
      </c>
      <c r="H58" t="s">
        <v>53</v>
      </c>
      <c r="I58" t="s">
        <v>27</v>
      </c>
      <c r="J58" t="s">
        <v>45</v>
      </c>
      <c r="K58">
        <v>2</v>
      </c>
      <c r="L58" s="8">
        <v>21000</v>
      </c>
      <c r="M58" s="8" t="str">
        <f t="shared" si="1"/>
        <v>1-10%</v>
      </c>
      <c r="N58">
        <v>5</v>
      </c>
      <c r="O58" t="str">
        <f t="shared" si="2"/>
        <v>Valid</v>
      </c>
      <c r="P58" t="str">
        <f t="shared" si="3"/>
        <v>Match</v>
      </c>
      <c r="Q58" s="8">
        <v>42000</v>
      </c>
      <c r="R58" s="8">
        <v>2100</v>
      </c>
      <c r="S58" s="8">
        <v>39900</v>
      </c>
      <c r="T58" s="8">
        <v>22639.02</v>
      </c>
      <c r="U58" s="8">
        <v>17260.98</v>
      </c>
      <c r="V58" s="8" t="b">
        <f t="shared" si="4"/>
        <v>0</v>
      </c>
      <c r="W58" s="8">
        <f t="shared" si="5"/>
        <v>0</v>
      </c>
      <c r="X58" t="s">
        <v>36</v>
      </c>
      <c r="Y58" t="s">
        <v>70</v>
      </c>
      <c r="Z58" t="s">
        <v>56</v>
      </c>
      <c r="AA58">
        <v>3</v>
      </c>
      <c r="AB58" t="s">
        <v>155</v>
      </c>
      <c r="AC58" t="s">
        <v>67</v>
      </c>
    </row>
    <row r="59" spans="1:29" x14ac:dyDescent="0.3">
      <c r="A59" t="s">
        <v>167</v>
      </c>
      <c r="B59" s="6">
        <v>45991</v>
      </c>
      <c r="C59" s="6" t="str">
        <f t="shared" si="0"/>
        <v>12 AM - 4 AM</v>
      </c>
      <c r="E59" t="s">
        <v>622</v>
      </c>
      <c r="F59" t="s">
        <v>24</v>
      </c>
      <c r="G59" t="s">
        <v>110</v>
      </c>
      <c r="H59" t="s">
        <v>43</v>
      </c>
      <c r="I59" t="s">
        <v>27</v>
      </c>
      <c r="J59" t="s">
        <v>35</v>
      </c>
      <c r="K59">
        <v>2</v>
      </c>
      <c r="L59" s="8">
        <v>5200</v>
      </c>
      <c r="M59" s="8" t="str">
        <f t="shared" si="1"/>
        <v>11-20%</v>
      </c>
      <c r="N59">
        <v>15</v>
      </c>
      <c r="O59" t="str">
        <f t="shared" si="2"/>
        <v>Valid</v>
      </c>
      <c r="P59" t="str">
        <f t="shared" si="3"/>
        <v>Match</v>
      </c>
      <c r="Q59" s="8">
        <v>10400</v>
      </c>
      <c r="R59" s="8">
        <v>1560</v>
      </c>
      <c r="S59" s="8">
        <v>8840</v>
      </c>
      <c r="T59" s="8">
        <v>7669.49</v>
      </c>
      <c r="U59" s="8">
        <v>1170.51</v>
      </c>
      <c r="V59" s="8" t="b">
        <f t="shared" si="4"/>
        <v>0</v>
      </c>
      <c r="W59" s="8">
        <f t="shared" si="5"/>
        <v>0</v>
      </c>
      <c r="X59" t="s">
        <v>46</v>
      </c>
      <c r="Y59" t="s">
        <v>47</v>
      </c>
      <c r="Z59" t="s">
        <v>38</v>
      </c>
      <c r="AA59">
        <v>3</v>
      </c>
      <c r="AB59" t="s">
        <v>75</v>
      </c>
      <c r="AC59" t="s">
        <v>30</v>
      </c>
    </row>
    <row r="60" spans="1:29" x14ac:dyDescent="0.3">
      <c r="A60" t="s">
        <v>168</v>
      </c>
      <c r="B60" s="6">
        <v>45838</v>
      </c>
      <c r="C60" s="6" t="str">
        <f t="shared" si="0"/>
        <v>12 PM - 4 PM</v>
      </c>
      <c r="D60" s="4">
        <v>0.56805555555555554</v>
      </c>
      <c r="E60" t="s">
        <v>69</v>
      </c>
      <c r="F60" t="s">
        <v>24</v>
      </c>
      <c r="G60" t="s">
        <v>25</v>
      </c>
      <c r="H60" t="s">
        <v>62</v>
      </c>
      <c r="I60" t="s">
        <v>63</v>
      </c>
      <c r="J60" t="s">
        <v>35</v>
      </c>
      <c r="K60">
        <v>2</v>
      </c>
      <c r="L60" s="8">
        <v>2100</v>
      </c>
      <c r="M60" s="8" t="str">
        <f t="shared" si="1"/>
        <v>1-10%</v>
      </c>
      <c r="N60">
        <v>10</v>
      </c>
      <c r="O60" t="str">
        <f t="shared" si="2"/>
        <v>Valid</v>
      </c>
      <c r="P60" t="str">
        <f t="shared" si="3"/>
        <v>Match</v>
      </c>
      <c r="Q60" s="8">
        <v>4200</v>
      </c>
      <c r="R60" s="8">
        <v>420</v>
      </c>
      <c r="S60" s="8">
        <v>3780</v>
      </c>
      <c r="T60" s="8">
        <v>2857.18</v>
      </c>
      <c r="U60" s="8">
        <v>922.82</v>
      </c>
      <c r="V60" s="8" t="b">
        <f t="shared" si="4"/>
        <v>0</v>
      </c>
      <c r="W60" s="8">
        <f t="shared" si="5"/>
        <v>0</v>
      </c>
      <c r="X60" t="s">
        <v>28</v>
      </c>
      <c r="Y60" t="s">
        <v>37</v>
      </c>
      <c r="Z60" t="s">
        <v>80</v>
      </c>
      <c r="AA60">
        <v>4</v>
      </c>
      <c r="AB60" t="s">
        <v>48</v>
      </c>
      <c r="AC60" t="s">
        <v>86</v>
      </c>
    </row>
    <row r="61" spans="1:29" x14ac:dyDescent="0.3">
      <c r="A61" t="s">
        <v>169</v>
      </c>
      <c r="B61" s="6">
        <v>45731</v>
      </c>
      <c r="C61" s="6" t="str">
        <f t="shared" si="0"/>
        <v>12 PM - 4 PM</v>
      </c>
      <c r="D61" s="4">
        <v>0.54374999999999996</v>
      </c>
      <c r="E61" t="s">
        <v>23</v>
      </c>
      <c r="F61" t="s">
        <v>24</v>
      </c>
      <c r="G61" t="s">
        <v>84</v>
      </c>
      <c r="H61" t="s">
        <v>62</v>
      </c>
      <c r="I61" t="s">
        <v>82</v>
      </c>
      <c r="J61" t="s">
        <v>93</v>
      </c>
      <c r="K61">
        <v>1</v>
      </c>
      <c r="L61" s="8">
        <v>25250</v>
      </c>
      <c r="M61" s="8" t="str">
        <f t="shared" si="1"/>
        <v>11-20%</v>
      </c>
      <c r="N61">
        <v>15</v>
      </c>
      <c r="O61" t="str">
        <f t="shared" si="2"/>
        <v>Valid</v>
      </c>
      <c r="P61" t="str">
        <f t="shared" si="3"/>
        <v>Match</v>
      </c>
      <c r="Q61" s="8">
        <v>25250</v>
      </c>
      <c r="R61" s="8">
        <v>3787.5</v>
      </c>
      <c r="S61" s="8">
        <v>21462.5</v>
      </c>
      <c r="T61" s="8">
        <v>14968.05</v>
      </c>
      <c r="U61" s="8">
        <v>6494.45</v>
      </c>
      <c r="V61" s="8" t="b">
        <f t="shared" si="4"/>
        <v>0</v>
      </c>
      <c r="W61" s="8">
        <f t="shared" si="5"/>
        <v>0</v>
      </c>
      <c r="X61" t="s">
        <v>55</v>
      </c>
      <c r="Y61" t="s">
        <v>104</v>
      </c>
      <c r="Z61" t="s">
        <v>38</v>
      </c>
      <c r="AA61">
        <v>5</v>
      </c>
      <c r="AB61" t="s">
        <v>90</v>
      </c>
      <c r="AC61" t="s">
        <v>40</v>
      </c>
    </row>
    <row r="62" spans="1:29" x14ac:dyDescent="0.3">
      <c r="A62" t="s">
        <v>170</v>
      </c>
      <c r="B62" s="6">
        <v>45792</v>
      </c>
      <c r="C62" s="6" t="str">
        <f t="shared" si="0"/>
        <v>4 PM - 8 PM</v>
      </c>
      <c r="D62" s="4">
        <v>0.73888888888888893</v>
      </c>
      <c r="E62" t="s">
        <v>77</v>
      </c>
      <c r="F62" t="s">
        <v>24</v>
      </c>
      <c r="G62" t="s">
        <v>120</v>
      </c>
      <c r="H62" t="s">
        <v>43</v>
      </c>
      <c r="I62" t="s">
        <v>54</v>
      </c>
      <c r="J62" t="s">
        <v>35</v>
      </c>
      <c r="K62">
        <v>1</v>
      </c>
      <c r="L62" s="8">
        <v>10450</v>
      </c>
      <c r="M62" s="8" t="str">
        <f t="shared" si="1"/>
        <v>11-20%</v>
      </c>
      <c r="N62">
        <v>15</v>
      </c>
      <c r="O62" t="str">
        <f t="shared" si="2"/>
        <v>Valid</v>
      </c>
      <c r="P62" t="str">
        <f t="shared" si="3"/>
        <v>Match</v>
      </c>
      <c r="Q62" s="8">
        <v>10450</v>
      </c>
      <c r="R62" s="8">
        <v>1567.5</v>
      </c>
      <c r="S62" s="8">
        <v>8882.5</v>
      </c>
      <c r="T62" s="8">
        <v>5511.1</v>
      </c>
      <c r="U62" s="8">
        <v>3371.4</v>
      </c>
      <c r="V62" s="8" t="b">
        <f t="shared" si="4"/>
        <v>0</v>
      </c>
      <c r="W62" s="8">
        <f t="shared" si="5"/>
        <v>0</v>
      </c>
      <c r="X62" t="s">
        <v>28</v>
      </c>
      <c r="Y62" t="s">
        <v>47</v>
      </c>
      <c r="Z62" t="s">
        <v>85</v>
      </c>
      <c r="AA62">
        <v>4</v>
      </c>
      <c r="AB62" t="s">
        <v>90</v>
      </c>
      <c r="AC62" t="s">
        <v>86</v>
      </c>
    </row>
    <row r="63" spans="1:29" x14ac:dyDescent="0.3">
      <c r="A63" t="s">
        <v>171</v>
      </c>
      <c r="B63" s="6">
        <v>46008</v>
      </c>
      <c r="C63" s="6" t="str">
        <f t="shared" si="0"/>
        <v>8 AM - 12 PM</v>
      </c>
      <c r="D63" s="4">
        <v>0.49791666666666667</v>
      </c>
      <c r="E63" t="s">
        <v>108</v>
      </c>
      <c r="F63" t="s">
        <v>24</v>
      </c>
      <c r="G63" t="s">
        <v>42</v>
      </c>
      <c r="H63" t="s">
        <v>53</v>
      </c>
      <c r="I63" t="s">
        <v>54</v>
      </c>
      <c r="J63" t="s">
        <v>45</v>
      </c>
      <c r="K63">
        <v>1</v>
      </c>
      <c r="L63" s="8">
        <v>91900</v>
      </c>
      <c r="M63" s="8" t="str">
        <f t="shared" si="1"/>
        <v>11-20%</v>
      </c>
      <c r="N63">
        <v>15</v>
      </c>
      <c r="O63" t="str">
        <f t="shared" si="2"/>
        <v>Valid</v>
      </c>
      <c r="P63" t="str">
        <f t="shared" si="3"/>
        <v>Match</v>
      </c>
      <c r="Q63" s="8">
        <v>91900</v>
      </c>
      <c r="R63" s="8">
        <v>13785</v>
      </c>
      <c r="S63" s="8">
        <v>78115</v>
      </c>
      <c r="T63" s="8">
        <v>54040.79</v>
      </c>
      <c r="U63" s="8">
        <v>24074.21</v>
      </c>
      <c r="V63" s="8" t="b">
        <f t="shared" si="4"/>
        <v>0</v>
      </c>
      <c r="W63" s="8">
        <f t="shared" si="5"/>
        <v>0</v>
      </c>
      <c r="X63" t="s">
        <v>46</v>
      </c>
      <c r="Y63" t="s">
        <v>104</v>
      </c>
      <c r="Z63" t="s">
        <v>56</v>
      </c>
      <c r="AA63">
        <v>4</v>
      </c>
      <c r="AB63" t="s">
        <v>39</v>
      </c>
      <c r="AC63" t="s">
        <v>67</v>
      </c>
    </row>
    <row r="64" spans="1:29" x14ac:dyDescent="0.3">
      <c r="A64" t="s">
        <v>172</v>
      </c>
      <c r="B64" s="6">
        <v>45889</v>
      </c>
      <c r="C64" s="6" t="str">
        <f t="shared" si="0"/>
        <v>12 AM - 4 AM</v>
      </c>
      <c r="D64" s="4">
        <v>2.5694444444444443E-2</v>
      </c>
      <c r="E64" t="s">
        <v>69</v>
      </c>
      <c r="F64" t="s">
        <v>51</v>
      </c>
      <c r="G64" t="s">
        <v>101</v>
      </c>
      <c r="H64" t="s">
        <v>62</v>
      </c>
      <c r="I64" t="s">
        <v>63</v>
      </c>
      <c r="J64" t="s">
        <v>35</v>
      </c>
      <c r="K64">
        <v>1</v>
      </c>
      <c r="M64" s="8" t="str">
        <f t="shared" si="1"/>
        <v>1-10%</v>
      </c>
      <c r="N64">
        <v>5</v>
      </c>
      <c r="O64" t="str">
        <f t="shared" si="2"/>
        <v>Valid</v>
      </c>
      <c r="P64" t="str">
        <f t="shared" si="3"/>
        <v>Match</v>
      </c>
      <c r="Q64" s="8">
        <v>16600</v>
      </c>
      <c r="R64" s="8">
        <v>830</v>
      </c>
      <c r="S64" s="8">
        <v>15770</v>
      </c>
      <c r="T64" s="8">
        <v>9452.59</v>
      </c>
      <c r="U64" s="8">
        <v>6317.41</v>
      </c>
      <c r="V64" s="8" t="b">
        <f t="shared" si="4"/>
        <v>0</v>
      </c>
      <c r="W64" s="8">
        <f t="shared" si="5"/>
        <v>0</v>
      </c>
      <c r="X64" t="s">
        <v>36</v>
      </c>
      <c r="Y64" t="s">
        <v>37</v>
      </c>
      <c r="Z64" t="s">
        <v>45</v>
      </c>
      <c r="AA64">
        <v>5</v>
      </c>
      <c r="AB64" t="s">
        <v>48</v>
      </c>
      <c r="AC64" t="s">
        <v>49</v>
      </c>
    </row>
    <row r="65" spans="1:29" x14ac:dyDescent="0.3">
      <c r="A65" t="s">
        <v>173</v>
      </c>
      <c r="B65" s="6">
        <v>45920</v>
      </c>
      <c r="C65" s="6" t="str">
        <f t="shared" si="0"/>
        <v>12 PM - 4 PM</v>
      </c>
      <c r="D65" s="4">
        <v>0.50902777777777775</v>
      </c>
      <c r="E65" t="s">
        <v>23</v>
      </c>
      <c r="F65" t="s">
        <v>24</v>
      </c>
      <c r="G65" t="s">
        <v>120</v>
      </c>
      <c r="H65" t="s">
        <v>74</v>
      </c>
      <c r="I65" t="s">
        <v>82</v>
      </c>
      <c r="J65" t="s">
        <v>35</v>
      </c>
      <c r="K65">
        <v>2</v>
      </c>
      <c r="L65" s="8">
        <v>13150</v>
      </c>
      <c r="M65" s="8" t="str">
        <f t="shared" si="1"/>
        <v>11-20%</v>
      </c>
      <c r="N65">
        <v>15</v>
      </c>
      <c r="O65" t="str">
        <f t="shared" si="2"/>
        <v>Valid</v>
      </c>
      <c r="P65" t="str">
        <f t="shared" si="3"/>
        <v>Match</v>
      </c>
      <c r="Q65" s="8">
        <v>26300</v>
      </c>
      <c r="R65" s="8">
        <v>3945</v>
      </c>
      <c r="S65" s="8">
        <v>22355</v>
      </c>
      <c r="T65" s="8">
        <v>14275.25</v>
      </c>
      <c r="U65" s="8">
        <v>8079.75</v>
      </c>
      <c r="V65" s="8" t="b">
        <f t="shared" si="4"/>
        <v>0</v>
      </c>
      <c r="W65" s="8">
        <f t="shared" si="5"/>
        <v>0</v>
      </c>
      <c r="X65" t="s">
        <v>36</v>
      </c>
      <c r="Y65" t="s">
        <v>94</v>
      </c>
      <c r="Z65" t="s">
        <v>64</v>
      </c>
      <c r="AA65">
        <v>5</v>
      </c>
      <c r="AB65" t="s">
        <v>155</v>
      </c>
      <c r="AC65" t="s">
        <v>71</v>
      </c>
    </row>
    <row r="66" spans="1:29" x14ac:dyDescent="0.3">
      <c r="A66" t="s">
        <v>174</v>
      </c>
      <c r="B66" s="6">
        <v>45756</v>
      </c>
      <c r="C66" s="6" t="str">
        <f t="shared" ref="C66:C129" si="6">IF(D66&lt;TIME(4,0,0),"12 AM - 4 AM",IF(D66&lt;TIME(8,0,0),"4 AM - 8 AM",IF(D66&lt;TIME(12,0,0),"8 AM - 12 PM",IF(D66&lt;TIME(16,0,0),"12 PM - 4 PM",IF(D66&lt;TIME(20,0,0),"4 PM - 8 PM","8 PM - 12 AM")))))</f>
        <v>12 PM - 4 PM</v>
      </c>
      <c r="D66" s="4">
        <v>0.5493055555555556</v>
      </c>
      <c r="E66" t="s">
        <v>108</v>
      </c>
      <c r="F66" t="s">
        <v>96</v>
      </c>
      <c r="G66" t="s">
        <v>97</v>
      </c>
      <c r="H66" t="s">
        <v>102</v>
      </c>
      <c r="I66" t="s">
        <v>103</v>
      </c>
      <c r="J66" t="s">
        <v>35</v>
      </c>
      <c r="K66">
        <v>1</v>
      </c>
      <c r="L66" s="8">
        <v>4400</v>
      </c>
      <c r="M66" s="8" t="str">
        <f t="shared" ref="M66:M129" si="7">IF(N66&lt;0,"Invalid",IF(N66=0,"0%",IF(N66&lt;=10,"1-10%",IF(N66&lt;=20,"11-20%",IF(N66&lt;=30,"21-30%","30%+")))))</f>
        <v>11-20%</v>
      </c>
      <c r="N66">
        <v>20</v>
      </c>
      <c r="O66" t="str">
        <f t="shared" ref="O66:O129" si="8">IF(OR(N66&lt;0,N66&gt;100),"Invalid Discount","Valid")</f>
        <v>Valid</v>
      </c>
      <c r="P66" t="str">
        <f t="shared" ref="P66:P129" si="9">IF(ROUND(R66,2)=ROUND(Q66*N66/100,2),"Match","Mismatch")</f>
        <v>Match</v>
      </c>
      <c r="Q66" s="8">
        <v>4400</v>
      </c>
      <c r="R66" s="8">
        <v>880</v>
      </c>
      <c r="S66" s="8">
        <v>3520</v>
      </c>
      <c r="T66" s="8">
        <v>3254.42</v>
      </c>
      <c r="U66" s="8">
        <v>265.58</v>
      </c>
      <c r="V66" s="8" t="b">
        <f t="shared" ref="V66:V129" si="10">IF(AND(S66-T66&lt;0,U66=S66-T66),TRUE,FALSE)</f>
        <v>0</v>
      </c>
      <c r="W66" s="8">
        <f t="shared" ref="W66:W129" si="11">IF(V66=TRUE,ABS(U66),0)</f>
        <v>0</v>
      </c>
      <c r="X66" t="s">
        <v>79</v>
      </c>
      <c r="Y66" t="s">
        <v>94</v>
      </c>
      <c r="Z66" t="s">
        <v>1138</v>
      </c>
      <c r="AA66">
        <v>5</v>
      </c>
      <c r="AB66" t="s">
        <v>99</v>
      </c>
      <c r="AC66" t="s">
        <v>40</v>
      </c>
    </row>
    <row r="67" spans="1:29" x14ac:dyDescent="0.3">
      <c r="A67" t="s">
        <v>175</v>
      </c>
      <c r="B67" s="6">
        <v>45783</v>
      </c>
      <c r="C67" s="6" t="str">
        <f t="shared" si="6"/>
        <v>8 PM - 12 AM</v>
      </c>
      <c r="D67" s="4">
        <v>0.88888888888888884</v>
      </c>
      <c r="E67" t="s">
        <v>60</v>
      </c>
      <c r="F67" t="s">
        <v>96</v>
      </c>
      <c r="G67" t="s">
        <v>129</v>
      </c>
      <c r="H67" t="s">
        <v>26</v>
      </c>
      <c r="I67" t="s">
        <v>44</v>
      </c>
      <c r="J67" t="s">
        <v>35</v>
      </c>
      <c r="K67">
        <v>4</v>
      </c>
      <c r="L67" s="8">
        <v>2550</v>
      </c>
      <c r="M67" s="8" t="str">
        <f t="shared" si="7"/>
        <v>21-30%</v>
      </c>
      <c r="N67">
        <v>25</v>
      </c>
      <c r="O67" t="str">
        <f t="shared" si="8"/>
        <v>Valid</v>
      </c>
      <c r="P67" t="str">
        <f t="shared" si="9"/>
        <v>Match</v>
      </c>
      <c r="Q67" s="8">
        <v>10200</v>
      </c>
      <c r="R67" s="8">
        <v>2550</v>
      </c>
      <c r="S67" s="8">
        <v>7650</v>
      </c>
      <c r="T67" s="8">
        <v>6319.9</v>
      </c>
      <c r="U67" s="8">
        <v>1330.1</v>
      </c>
      <c r="V67" s="8" t="b">
        <f t="shared" si="10"/>
        <v>0</v>
      </c>
      <c r="W67" s="8">
        <f t="shared" si="11"/>
        <v>0</v>
      </c>
      <c r="X67" t="s">
        <v>46</v>
      </c>
      <c r="Y67" t="s">
        <v>47</v>
      </c>
      <c r="Z67" t="s">
        <v>38</v>
      </c>
      <c r="AA67">
        <v>3</v>
      </c>
      <c r="AB67" t="s">
        <v>111</v>
      </c>
      <c r="AC67" t="s">
        <v>86</v>
      </c>
    </row>
    <row r="68" spans="1:29" x14ac:dyDescent="0.3">
      <c r="A68" t="s">
        <v>176</v>
      </c>
      <c r="B68" s="6">
        <v>45780</v>
      </c>
      <c r="C68" s="6" t="str">
        <f t="shared" si="6"/>
        <v>12 PM - 4 PM</v>
      </c>
      <c r="D68" s="4">
        <v>0.50347222222222221</v>
      </c>
      <c r="E68" t="s">
        <v>622</v>
      </c>
      <c r="F68" t="s">
        <v>51</v>
      </c>
      <c r="G68" t="s">
        <v>122</v>
      </c>
      <c r="H68" t="s">
        <v>26</v>
      </c>
      <c r="I68" t="s">
        <v>103</v>
      </c>
      <c r="J68" t="s">
        <v>93</v>
      </c>
      <c r="K68">
        <v>1</v>
      </c>
      <c r="L68" s="8">
        <v>6750</v>
      </c>
      <c r="M68" s="8" t="str">
        <f t="shared" si="7"/>
        <v>11-20%</v>
      </c>
      <c r="N68">
        <v>15</v>
      </c>
      <c r="O68" t="str">
        <f t="shared" si="8"/>
        <v>Valid</v>
      </c>
      <c r="P68" t="str">
        <f t="shared" si="9"/>
        <v>Match</v>
      </c>
      <c r="Q68" s="8">
        <v>6750</v>
      </c>
      <c r="R68" s="8">
        <v>1012.5</v>
      </c>
      <c r="S68" s="8">
        <v>5737.5</v>
      </c>
      <c r="T68" s="8">
        <v>3888.92</v>
      </c>
      <c r="U68" s="8">
        <v>1848.58</v>
      </c>
      <c r="V68" s="8" t="b">
        <f t="shared" si="10"/>
        <v>0</v>
      </c>
      <c r="W68" s="8">
        <f t="shared" si="11"/>
        <v>0</v>
      </c>
      <c r="X68" t="s">
        <v>46</v>
      </c>
      <c r="Y68" t="s">
        <v>89</v>
      </c>
      <c r="Z68" t="s">
        <v>38</v>
      </c>
      <c r="AA68">
        <v>4</v>
      </c>
      <c r="AB68" t="s">
        <v>111</v>
      </c>
      <c r="AC68" t="s">
        <v>71</v>
      </c>
    </row>
    <row r="69" spans="1:29" x14ac:dyDescent="0.3">
      <c r="A69" t="s">
        <v>177</v>
      </c>
      <c r="B69" s="6">
        <v>45850</v>
      </c>
      <c r="C69" s="6" t="str">
        <f t="shared" si="6"/>
        <v>4 AM - 8 AM</v>
      </c>
      <c r="D69" s="4">
        <v>0.24027777777777778</v>
      </c>
      <c r="E69" t="s">
        <v>622</v>
      </c>
      <c r="F69" t="s">
        <v>24</v>
      </c>
      <c r="G69" t="s">
        <v>120</v>
      </c>
      <c r="H69" t="s">
        <v>43</v>
      </c>
      <c r="I69" t="s">
        <v>92</v>
      </c>
      <c r="J69" t="s">
        <v>35</v>
      </c>
      <c r="K69">
        <v>1</v>
      </c>
      <c r="L69" s="8">
        <v>5750</v>
      </c>
      <c r="M69" s="8" t="str">
        <f t="shared" si="7"/>
        <v>1-10%</v>
      </c>
      <c r="N69">
        <v>10</v>
      </c>
      <c r="O69" t="str">
        <f t="shared" si="8"/>
        <v>Valid</v>
      </c>
      <c r="P69" t="str">
        <f t="shared" si="9"/>
        <v>Match</v>
      </c>
      <c r="Q69" s="8">
        <v>5750</v>
      </c>
      <c r="R69" s="8">
        <v>575</v>
      </c>
      <c r="S69" s="8">
        <v>5175</v>
      </c>
      <c r="T69" s="8">
        <v>3205.18</v>
      </c>
      <c r="U69" s="8">
        <v>1969.82</v>
      </c>
      <c r="V69" s="8" t="b">
        <f t="shared" si="10"/>
        <v>0</v>
      </c>
      <c r="W69" s="8">
        <f t="shared" si="11"/>
        <v>0</v>
      </c>
      <c r="X69" t="s">
        <v>46</v>
      </c>
      <c r="Y69" t="s">
        <v>104</v>
      </c>
      <c r="Z69" t="s">
        <v>64</v>
      </c>
      <c r="AA69">
        <v>4</v>
      </c>
      <c r="AB69" t="s">
        <v>29</v>
      </c>
      <c r="AC69" t="s">
        <v>71</v>
      </c>
    </row>
    <row r="70" spans="1:29" x14ac:dyDescent="0.3">
      <c r="A70" t="s">
        <v>178</v>
      </c>
      <c r="B70" s="6">
        <v>45932</v>
      </c>
      <c r="C70" s="6" t="str">
        <f t="shared" si="6"/>
        <v>8 AM - 12 PM</v>
      </c>
      <c r="D70" s="4">
        <v>0.40972222222222221</v>
      </c>
      <c r="E70" t="s">
        <v>23</v>
      </c>
      <c r="F70" t="s">
        <v>96</v>
      </c>
      <c r="G70" t="s">
        <v>145</v>
      </c>
      <c r="H70" t="s">
        <v>43</v>
      </c>
      <c r="I70" t="s">
        <v>44</v>
      </c>
      <c r="J70" t="s">
        <v>35</v>
      </c>
      <c r="K70">
        <v>2</v>
      </c>
      <c r="L70" s="8">
        <v>3300</v>
      </c>
      <c r="M70" s="8" t="str">
        <f t="shared" si="7"/>
        <v>11-20%</v>
      </c>
      <c r="N70">
        <v>20</v>
      </c>
      <c r="O70" t="str">
        <f t="shared" si="8"/>
        <v>Valid</v>
      </c>
      <c r="P70" t="str">
        <f t="shared" si="9"/>
        <v>Match</v>
      </c>
      <c r="Q70" s="8">
        <v>6600</v>
      </c>
      <c r="R70" s="8">
        <v>1320</v>
      </c>
      <c r="S70" s="8">
        <v>5280</v>
      </c>
      <c r="T70" s="8">
        <v>3706.58</v>
      </c>
      <c r="U70" s="8">
        <v>1573.42</v>
      </c>
      <c r="V70" s="8" t="b">
        <f t="shared" si="10"/>
        <v>0</v>
      </c>
      <c r="W70" s="8">
        <f t="shared" si="11"/>
        <v>0</v>
      </c>
      <c r="X70" t="s">
        <v>36</v>
      </c>
      <c r="Y70" t="s">
        <v>65</v>
      </c>
      <c r="Z70" t="s">
        <v>45</v>
      </c>
      <c r="AA70">
        <v>3.5</v>
      </c>
      <c r="AB70" t="s">
        <v>57</v>
      </c>
      <c r="AC70" t="s">
        <v>67</v>
      </c>
    </row>
    <row r="71" spans="1:29" x14ac:dyDescent="0.3">
      <c r="A71" t="s">
        <v>179</v>
      </c>
      <c r="B71" s="6">
        <v>45735</v>
      </c>
      <c r="C71" s="6" t="str">
        <f t="shared" si="6"/>
        <v>4 PM - 8 PM</v>
      </c>
      <c r="D71" s="4">
        <v>0.7631944444444444</v>
      </c>
      <c r="E71" t="s">
        <v>69</v>
      </c>
      <c r="F71" t="s">
        <v>96</v>
      </c>
      <c r="G71" t="s">
        <v>115</v>
      </c>
      <c r="H71" t="s">
        <v>102</v>
      </c>
      <c r="I71" t="s">
        <v>98</v>
      </c>
      <c r="J71" t="s">
        <v>35</v>
      </c>
      <c r="K71">
        <v>2</v>
      </c>
      <c r="L71" s="8">
        <v>5600</v>
      </c>
      <c r="M71" s="8" t="str">
        <f t="shared" si="7"/>
        <v>11-20%</v>
      </c>
      <c r="N71">
        <v>15</v>
      </c>
      <c r="O71" t="str">
        <f t="shared" si="8"/>
        <v>Valid</v>
      </c>
      <c r="P71" t="str">
        <f t="shared" si="9"/>
        <v>Match</v>
      </c>
      <c r="Q71" s="8">
        <v>11200</v>
      </c>
      <c r="R71" s="8">
        <v>1680</v>
      </c>
      <c r="S71" s="8">
        <v>9520</v>
      </c>
      <c r="T71" s="8">
        <v>7855.1</v>
      </c>
      <c r="U71" s="8">
        <v>1664.9</v>
      </c>
      <c r="V71" s="8" t="b">
        <f t="shared" si="10"/>
        <v>0</v>
      </c>
      <c r="W71" s="8">
        <f t="shared" si="11"/>
        <v>0</v>
      </c>
      <c r="X71" t="s">
        <v>55</v>
      </c>
      <c r="Y71" t="s">
        <v>47</v>
      </c>
      <c r="Z71" t="s">
        <v>56</v>
      </c>
      <c r="AA71">
        <v>4</v>
      </c>
      <c r="AB71" t="s">
        <v>127</v>
      </c>
      <c r="AC71" t="s">
        <v>40</v>
      </c>
    </row>
    <row r="72" spans="1:29" x14ac:dyDescent="0.3">
      <c r="A72" t="s">
        <v>180</v>
      </c>
      <c r="B72" s="6">
        <v>46008</v>
      </c>
      <c r="C72" s="6" t="str">
        <f t="shared" si="6"/>
        <v>12 PM - 4 PM</v>
      </c>
      <c r="D72" s="4">
        <v>0.5131944444444444</v>
      </c>
      <c r="E72" t="s">
        <v>77</v>
      </c>
      <c r="F72" t="s">
        <v>24</v>
      </c>
      <c r="G72" t="s">
        <v>42</v>
      </c>
      <c r="H72" t="s">
        <v>43</v>
      </c>
      <c r="I72" t="s">
        <v>63</v>
      </c>
      <c r="J72" t="s">
        <v>35</v>
      </c>
      <c r="K72">
        <v>1</v>
      </c>
      <c r="L72" s="8">
        <v>71300</v>
      </c>
      <c r="M72" s="8" t="str">
        <f t="shared" si="7"/>
        <v>1-10%</v>
      </c>
      <c r="N72">
        <v>10</v>
      </c>
      <c r="O72" t="str">
        <f t="shared" si="8"/>
        <v>Valid</v>
      </c>
      <c r="P72" t="str">
        <f t="shared" si="9"/>
        <v>Match</v>
      </c>
      <c r="Q72" s="8">
        <v>71300</v>
      </c>
      <c r="R72" s="8">
        <v>7130</v>
      </c>
      <c r="S72" s="8">
        <v>64170</v>
      </c>
      <c r="T72" s="8">
        <v>44651.47</v>
      </c>
      <c r="U72" s="8">
        <v>19518.53</v>
      </c>
      <c r="V72" s="8" t="b">
        <f t="shared" si="10"/>
        <v>0</v>
      </c>
      <c r="W72" s="8">
        <f t="shared" si="11"/>
        <v>0</v>
      </c>
      <c r="X72" t="s">
        <v>28</v>
      </c>
      <c r="Y72" t="s">
        <v>70</v>
      </c>
      <c r="Z72" t="s">
        <v>56</v>
      </c>
      <c r="AA72">
        <v>4</v>
      </c>
      <c r="AB72" t="s">
        <v>39</v>
      </c>
      <c r="AC72" t="s">
        <v>40</v>
      </c>
    </row>
    <row r="73" spans="1:29" x14ac:dyDescent="0.3">
      <c r="A73" t="s">
        <v>181</v>
      </c>
      <c r="B73" s="6">
        <v>45853</v>
      </c>
      <c r="C73" s="6" t="str">
        <f t="shared" si="6"/>
        <v>4 PM - 8 PM</v>
      </c>
      <c r="D73" s="4">
        <v>0.67986111111111114</v>
      </c>
      <c r="E73" t="s">
        <v>77</v>
      </c>
      <c r="F73" t="s">
        <v>24</v>
      </c>
      <c r="G73" t="s">
        <v>61</v>
      </c>
      <c r="H73" t="s">
        <v>113</v>
      </c>
      <c r="I73" t="s">
        <v>54</v>
      </c>
      <c r="J73" t="s">
        <v>35</v>
      </c>
      <c r="K73">
        <v>1</v>
      </c>
      <c r="L73" s="8">
        <v>24950</v>
      </c>
      <c r="M73" s="8" t="str">
        <f t="shared" si="7"/>
        <v>0%</v>
      </c>
      <c r="N73">
        <v>0</v>
      </c>
      <c r="O73" t="str">
        <f t="shared" si="8"/>
        <v>Valid</v>
      </c>
      <c r="P73" t="str">
        <f t="shared" si="9"/>
        <v>Match</v>
      </c>
      <c r="Q73" s="8">
        <v>24950</v>
      </c>
      <c r="R73" s="8">
        <v>0</v>
      </c>
      <c r="S73" s="8">
        <v>24950</v>
      </c>
      <c r="T73" s="8">
        <v>17735.7</v>
      </c>
      <c r="U73" s="8">
        <v>7214.3</v>
      </c>
      <c r="V73" s="8" t="b">
        <f t="shared" si="10"/>
        <v>0</v>
      </c>
      <c r="W73" s="8">
        <f t="shared" si="11"/>
        <v>0</v>
      </c>
      <c r="X73" t="s">
        <v>28</v>
      </c>
      <c r="Y73" t="s">
        <v>47</v>
      </c>
      <c r="Z73" t="s">
        <v>38</v>
      </c>
      <c r="AA73">
        <v>3.5</v>
      </c>
      <c r="AB73" t="s">
        <v>29</v>
      </c>
      <c r="AC73" t="s">
        <v>86</v>
      </c>
    </row>
    <row r="74" spans="1:29" x14ac:dyDescent="0.3">
      <c r="A74" t="s">
        <v>182</v>
      </c>
      <c r="B74" s="6">
        <v>45705</v>
      </c>
      <c r="C74" s="6" t="str">
        <f t="shared" si="6"/>
        <v>8 PM - 12 AM</v>
      </c>
      <c r="D74" s="4">
        <v>0.95416666666666672</v>
      </c>
      <c r="E74" t="s">
        <v>69</v>
      </c>
      <c r="F74" t="s">
        <v>24</v>
      </c>
      <c r="G74" t="s">
        <v>25</v>
      </c>
      <c r="H74" t="s">
        <v>43</v>
      </c>
      <c r="I74" t="s">
        <v>92</v>
      </c>
      <c r="J74" t="s">
        <v>35</v>
      </c>
      <c r="K74">
        <v>1</v>
      </c>
      <c r="L74" s="8">
        <v>8950</v>
      </c>
      <c r="M74" s="8" t="str">
        <f t="shared" si="7"/>
        <v>1-10%</v>
      </c>
      <c r="N74">
        <v>5</v>
      </c>
      <c r="O74" t="str">
        <f t="shared" si="8"/>
        <v>Valid</v>
      </c>
      <c r="P74" t="str">
        <f t="shared" si="9"/>
        <v>Match</v>
      </c>
      <c r="Q74" s="8">
        <v>8950</v>
      </c>
      <c r="R74" s="8">
        <v>447.5</v>
      </c>
      <c r="S74" s="8">
        <v>8502.5</v>
      </c>
      <c r="T74" s="8">
        <v>5883.78</v>
      </c>
      <c r="U74" s="8">
        <v>2618.7199999999998</v>
      </c>
      <c r="V74" s="8" t="b">
        <f t="shared" si="10"/>
        <v>0</v>
      </c>
      <c r="W74" s="8">
        <f t="shared" si="11"/>
        <v>0</v>
      </c>
      <c r="X74" t="s">
        <v>28</v>
      </c>
      <c r="Y74" t="s">
        <v>70</v>
      </c>
      <c r="Z74" t="s">
        <v>56</v>
      </c>
      <c r="AA74">
        <v>4.5</v>
      </c>
      <c r="AB74" t="s">
        <v>66</v>
      </c>
      <c r="AC74" t="s">
        <v>49</v>
      </c>
    </row>
    <row r="75" spans="1:29" x14ac:dyDescent="0.3">
      <c r="A75" t="s">
        <v>183</v>
      </c>
      <c r="B75" s="6">
        <v>45725</v>
      </c>
      <c r="C75" s="6" t="str">
        <f t="shared" si="6"/>
        <v>12 PM - 4 PM</v>
      </c>
      <c r="D75" s="4">
        <v>0.53819444444444442</v>
      </c>
      <c r="E75" t="s">
        <v>108</v>
      </c>
      <c r="F75" t="s">
        <v>24</v>
      </c>
      <c r="G75" t="s">
        <v>61</v>
      </c>
      <c r="H75" t="s">
        <v>74</v>
      </c>
      <c r="I75" t="s">
        <v>54</v>
      </c>
      <c r="J75" t="s">
        <v>45</v>
      </c>
      <c r="K75">
        <v>4</v>
      </c>
      <c r="L75" s="8">
        <v>27050</v>
      </c>
      <c r="M75" s="8" t="str">
        <f t="shared" si="7"/>
        <v>1-10%</v>
      </c>
      <c r="N75">
        <v>10</v>
      </c>
      <c r="O75" t="str">
        <f t="shared" si="8"/>
        <v>Valid</v>
      </c>
      <c r="P75" t="str">
        <f t="shared" si="9"/>
        <v>Match</v>
      </c>
      <c r="Q75" s="8">
        <v>108200</v>
      </c>
      <c r="R75" s="8">
        <v>10820</v>
      </c>
      <c r="S75" s="8">
        <v>97380</v>
      </c>
      <c r="T75" s="8">
        <v>78495.14</v>
      </c>
      <c r="U75" s="8">
        <v>18884.86</v>
      </c>
      <c r="V75" s="8" t="b">
        <f t="shared" si="10"/>
        <v>0</v>
      </c>
      <c r="W75" s="8">
        <f t="shared" si="11"/>
        <v>0</v>
      </c>
      <c r="X75" t="s">
        <v>46</v>
      </c>
      <c r="Y75" t="s">
        <v>47</v>
      </c>
      <c r="Z75" t="s">
        <v>1138</v>
      </c>
      <c r="AA75">
        <v>4</v>
      </c>
      <c r="AB75" t="s">
        <v>127</v>
      </c>
      <c r="AC75" t="s">
        <v>30</v>
      </c>
    </row>
    <row r="76" spans="1:29" x14ac:dyDescent="0.3">
      <c r="A76" t="s">
        <v>184</v>
      </c>
      <c r="B76" s="6">
        <v>45798</v>
      </c>
      <c r="C76" s="6" t="str">
        <f t="shared" si="6"/>
        <v>8 PM - 12 AM</v>
      </c>
      <c r="D76" s="4">
        <v>0.8354166666666667</v>
      </c>
      <c r="E76" t="s">
        <v>69</v>
      </c>
      <c r="F76" t="s">
        <v>24</v>
      </c>
      <c r="G76" t="s">
        <v>25</v>
      </c>
      <c r="H76" t="s">
        <v>43</v>
      </c>
      <c r="I76" t="s">
        <v>98</v>
      </c>
      <c r="J76" t="s">
        <v>93</v>
      </c>
      <c r="K76">
        <v>1</v>
      </c>
      <c r="L76" s="8">
        <v>6400</v>
      </c>
      <c r="M76" s="8" t="str">
        <f t="shared" si="7"/>
        <v>21-30%</v>
      </c>
      <c r="N76">
        <v>25</v>
      </c>
      <c r="O76" t="str">
        <f t="shared" si="8"/>
        <v>Valid</v>
      </c>
      <c r="P76" t="str">
        <f t="shared" si="9"/>
        <v>Match</v>
      </c>
      <c r="Q76" s="8">
        <v>6400</v>
      </c>
      <c r="R76" s="8">
        <v>1600</v>
      </c>
      <c r="S76" s="8">
        <v>4800</v>
      </c>
      <c r="T76" s="8">
        <v>4319.6000000000004</v>
      </c>
      <c r="U76" s="8">
        <v>480.4</v>
      </c>
      <c r="V76" s="8" t="b">
        <f t="shared" si="10"/>
        <v>0</v>
      </c>
      <c r="W76" s="8">
        <f t="shared" si="11"/>
        <v>0</v>
      </c>
      <c r="X76" t="s">
        <v>36</v>
      </c>
      <c r="Y76" t="s">
        <v>104</v>
      </c>
      <c r="Z76" t="s">
        <v>64</v>
      </c>
      <c r="AA76">
        <v>4.5</v>
      </c>
      <c r="AB76" t="s">
        <v>111</v>
      </c>
      <c r="AC76" t="s">
        <v>40</v>
      </c>
    </row>
    <row r="77" spans="1:29" x14ac:dyDescent="0.3">
      <c r="A77" t="s">
        <v>185</v>
      </c>
      <c r="B77" s="6">
        <v>46000</v>
      </c>
      <c r="C77" s="6" t="str">
        <f t="shared" si="6"/>
        <v>12 AM - 4 AM</v>
      </c>
      <c r="D77" s="4">
        <v>9.3055555555555558E-2</v>
      </c>
      <c r="E77" t="s">
        <v>622</v>
      </c>
      <c r="F77" t="s">
        <v>24</v>
      </c>
      <c r="G77" t="s">
        <v>88</v>
      </c>
      <c r="H77" t="s">
        <v>74</v>
      </c>
      <c r="I77" t="s">
        <v>63</v>
      </c>
      <c r="J77" t="s">
        <v>64</v>
      </c>
      <c r="K77">
        <v>1</v>
      </c>
      <c r="L77" s="8">
        <v>650</v>
      </c>
      <c r="M77" s="8" t="str">
        <f t="shared" si="7"/>
        <v>21-30%</v>
      </c>
      <c r="N77">
        <v>30</v>
      </c>
      <c r="O77" t="str">
        <f t="shared" si="8"/>
        <v>Valid</v>
      </c>
      <c r="P77" t="str">
        <f t="shared" si="9"/>
        <v>Match</v>
      </c>
      <c r="Q77" s="8">
        <v>650</v>
      </c>
      <c r="R77" s="8">
        <v>195</v>
      </c>
      <c r="S77" s="8">
        <v>455</v>
      </c>
      <c r="T77" s="8">
        <v>365.48</v>
      </c>
      <c r="U77" s="8">
        <v>89.52</v>
      </c>
      <c r="V77" s="8" t="b">
        <f t="shared" si="10"/>
        <v>0</v>
      </c>
      <c r="W77" s="8">
        <f t="shared" si="11"/>
        <v>0</v>
      </c>
      <c r="X77" t="s">
        <v>79</v>
      </c>
      <c r="Y77" t="s">
        <v>89</v>
      </c>
      <c r="Z77" t="s">
        <v>80</v>
      </c>
      <c r="AA77">
        <v>4</v>
      </c>
      <c r="AB77" t="s">
        <v>39</v>
      </c>
      <c r="AC77" t="s">
        <v>86</v>
      </c>
    </row>
    <row r="78" spans="1:29" x14ac:dyDescent="0.3">
      <c r="A78" t="s">
        <v>186</v>
      </c>
      <c r="B78" s="6">
        <v>45885</v>
      </c>
      <c r="C78" s="6" t="str">
        <f t="shared" si="6"/>
        <v>12 PM - 4 PM</v>
      </c>
      <c r="D78" s="4">
        <v>0.64583333333333337</v>
      </c>
      <c r="E78" t="s">
        <v>622</v>
      </c>
      <c r="F78" t="s">
        <v>24</v>
      </c>
      <c r="G78" t="s">
        <v>88</v>
      </c>
      <c r="H78" t="s">
        <v>53</v>
      </c>
      <c r="I78" t="s">
        <v>63</v>
      </c>
      <c r="J78" t="s">
        <v>93</v>
      </c>
      <c r="K78">
        <v>1</v>
      </c>
      <c r="L78" s="8">
        <v>600</v>
      </c>
      <c r="M78" s="8" t="str">
        <f t="shared" si="7"/>
        <v>1-10%</v>
      </c>
      <c r="N78">
        <v>5</v>
      </c>
      <c r="O78" t="str">
        <f t="shared" si="8"/>
        <v>Valid</v>
      </c>
      <c r="P78" t="str">
        <f t="shared" si="9"/>
        <v>Match</v>
      </c>
      <c r="Q78" s="8">
        <v>600</v>
      </c>
      <c r="R78" s="8">
        <v>30</v>
      </c>
      <c r="S78" s="8">
        <v>570</v>
      </c>
      <c r="T78" s="8">
        <v>409.52</v>
      </c>
      <c r="U78" s="8">
        <v>160.47999999999999</v>
      </c>
      <c r="V78" s="8" t="b">
        <f t="shared" si="10"/>
        <v>0</v>
      </c>
      <c r="W78" s="8">
        <f t="shared" si="11"/>
        <v>0</v>
      </c>
      <c r="X78" t="s">
        <v>46</v>
      </c>
      <c r="Y78" t="s">
        <v>89</v>
      </c>
      <c r="Z78" t="s">
        <v>45</v>
      </c>
      <c r="AA78">
        <v>4</v>
      </c>
      <c r="AB78" t="s">
        <v>90</v>
      </c>
      <c r="AC78" t="s">
        <v>71</v>
      </c>
    </row>
    <row r="79" spans="1:29" x14ac:dyDescent="0.3">
      <c r="A79" t="s">
        <v>187</v>
      </c>
      <c r="B79" s="6">
        <v>45818</v>
      </c>
      <c r="C79" s="6" t="str">
        <f t="shared" si="6"/>
        <v>12 AM - 4 AM</v>
      </c>
      <c r="D79" s="4">
        <v>6.0416666666666667E-2</v>
      </c>
      <c r="E79" t="s">
        <v>77</v>
      </c>
      <c r="F79" t="s">
        <v>24</v>
      </c>
      <c r="G79" t="s">
        <v>33</v>
      </c>
      <c r="H79" t="s">
        <v>74</v>
      </c>
      <c r="I79" t="s">
        <v>98</v>
      </c>
      <c r="J79" t="s">
        <v>93</v>
      </c>
      <c r="K79">
        <v>1</v>
      </c>
      <c r="L79" s="8">
        <v>1300</v>
      </c>
      <c r="M79" s="8" t="str">
        <f t="shared" si="7"/>
        <v>21-30%</v>
      </c>
      <c r="N79">
        <v>25</v>
      </c>
      <c r="O79" t="str">
        <f t="shared" si="8"/>
        <v>Valid</v>
      </c>
      <c r="P79" t="str">
        <f t="shared" si="9"/>
        <v>Match</v>
      </c>
      <c r="Q79" s="8">
        <v>1300</v>
      </c>
      <c r="R79" s="8">
        <v>325</v>
      </c>
      <c r="S79" s="8">
        <v>975</v>
      </c>
      <c r="T79" s="8">
        <v>694.97</v>
      </c>
      <c r="U79" s="8">
        <v>280.02999999999997</v>
      </c>
      <c r="V79" s="8" t="b">
        <f t="shared" si="10"/>
        <v>0</v>
      </c>
      <c r="W79" s="8">
        <f t="shared" si="11"/>
        <v>0</v>
      </c>
      <c r="X79" t="s">
        <v>79</v>
      </c>
      <c r="Y79" t="s">
        <v>70</v>
      </c>
      <c r="Z79" t="s">
        <v>38</v>
      </c>
      <c r="AA79">
        <v>3.5</v>
      </c>
      <c r="AB79" t="s">
        <v>48</v>
      </c>
      <c r="AC79" t="s">
        <v>86</v>
      </c>
    </row>
    <row r="80" spans="1:29" x14ac:dyDescent="0.3">
      <c r="A80" t="s">
        <v>188</v>
      </c>
      <c r="B80" s="6">
        <v>45771</v>
      </c>
      <c r="C80" s="6" t="str">
        <f t="shared" si="6"/>
        <v>12 PM - 4 PM</v>
      </c>
      <c r="D80" s="4">
        <v>0.53055555555555556</v>
      </c>
      <c r="E80" t="s">
        <v>23</v>
      </c>
      <c r="F80" t="s">
        <v>51</v>
      </c>
      <c r="G80" t="s">
        <v>153</v>
      </c>
      <c r="H80" t="s">
        <v>113</v>
      </c>
      <c r="I80" t="s">
        <v>103</v>
      </c>
      <c r="J80" t="s">
        <v>35</v>
      </c>
      <c r="K80">
        <v>1</v>
      </c>
      <c r="L80" s="8">
        <v>3100</v>
      </c>
      <c r="M80" s="8" t="str">
        <f t="shared" si="7"/>
        <v>0%</v>
      </c>
      <c r="N80">
        <v>0</v>
      </c>
      <c r="O80" t="str">
        <f t="shared" si="8"/>
        <v>Valid</v>
      </c>
      <c r="P80" t="str">
        <f t="shared" si="9"/>
        <v>Match</v>
      </c>
      <c r="Q80" s="8">
        <v>3100</v>
      </c>
      <c r="R80" s="8">
        <v>0</v>
      </c>
      <c r="S80" s="8">
        <v>3100</v>
      </c>
      <c r="T80" s="8">
        <v>1675.46</v>
      </c>
      <c r="U80" s="8">
        <v>1424.54</v>
      </c>
      <c r="V80" s="8" t="b">
        <f t="shared" si="10"/>
        <v>0</v>
      </c>
      <c r="W80" s="8">
        <f t="shared" si="11"/>
        <v>0</v>
      </c>
      <c r="X80" t="s">
        <v>28</v>
      </c>
      <c r="Y80" t="s">
        <v>1137</v>
      </c>
      <c r="Z80" t="s">
        <v>80</v>
      </c>
      <c r="AA80">
        <v>4.5</v>
      </c>
      <c r="AB80" t="s">
        <v>99</v>
      </c>
      <c r="AC80" t="s">
        <v>67</v>
      </c>
    </row>
    <row r="81" spans="1:29" x14ac:dyDescent="0.3">
      <c r="A81" t="s">
        <v>190</v>
      </c>
      <c r="B81" s="6">
        <v>46001</v>
      </c>
      <c r="C81" s="6" t="str">
        <f t="shared" si="6"/>
        <v>8 PM - 12 AM</v>
      </c>
      <c r="D81" s="4">
        <v>0.87847222222222221</v>
      </c>
      <c r="E81" t="s">
        <v>108</v>
      </c>
      <c r="F81" t="s">
        <v>24</v>
      </c>
      <c r="G81" t="s">
        <v>84</v>
      </c>
      <c r="H81" t="s">
        <v>43</v>
      </c>
      <c r="I81" t="s">
        <v>98</v>
      </c>
      <c r="J81" t="s">
        <v>35</v>
      </c>
      <c r="K81">
        <v>1</v>
      </c>
      <c r="L81" s="8">
        <v>23450</v>
      </c>
      <c r="M81" s="8" t="str">
        <f t="shared" si="7"/>
        <v>21-30%</v>
      </c>
      <c r="N81">
        <v>25</v>
      </c>
      <c r="O81" t="str">
        <f t="shared" si="8"/>
        <v>Valid</v>
      </c>
      <c r="P81" t="str">
        <f t="shared" si="9"/>
        <v>Match</v>
      </c>
      <c r="Q81" s="8">
        <v>23450</v>
      </c>
      <c r="R81" s="8">
        <v>5862.5</v>
      </c>
      <c r="S81" s="8">
        <v>17587.5</v>
      </c>
      <c r="T81" s="8">
        <v>17307.41</v>
      </c>
      <c r="U81" s="8">
        <v>280.08999999999997</v>
      </c>
      <c r="V81" s="8" t="b">
        <f t="shared" si="10"/>
        <v>0</v>
      </c>
      <c r="W81" s="8">
        <f t="shared" si="11"/>
        <v>0</v>
      </c>
      <c r="X81" t="s">
        <v>79</v>
      </c>
      <c r="Y81" t="s">
        <v>37</v>
      </c>
      <c r="Z81" t="s">
        <v>45</v>
      </c>
      <c r="AA81">
        <v>4</v>
      </c>
      <c r="AB81" t="s">
        <v>39</v>
      </c>
      <c r="AC81" t="s">
        <v>40</v>
      </c>
    </row>
    <row r="82" spans="1:29" x14ac:dyDescent="0.3">
      <c r="A82" t="s">
        <v>191</v>
      </c>
      <c r="B82" s="6">
        <v>45684</v>
      </c>
      <c r="C82" s="6" t="str">
        <f t="shared" si="6"/>
        <v>4 PM - 8 PM</v>
      </c>
      <c r="D82" s="4">
        <v>0.77847222222222223</v>
      </c>
      <c r="E82" t="s">
        <v>108</v>
      </c>
      <c r="F82" t="s">
        <v>24</v>
      </c>
      <c r="G82" t="s">
        <v>25</v>
      </c>
      <c r="H82" t="s">
        <v>53</v>
      </c>
      <c r="I82" t="s">
        <v>54</v>
      </c>
      <c r="J82" t="s">
        <v>64</v>
      </c>
      <c r="K82">
        <v>1</v>
      </c>
      <c r="L82" s="8">
        <v>3000</v>
      </c>
      <c r="M82" s="8" t="str">
        <f t="shared" si="7"/>
        <v>21-30%</v>
      </c>
      <c r="N82">
        <v>30</v>
      </c>
      <c r="O82" t="str">
        <f t="shared" si="8"/>
        <v>Valid</v>
      </c>
      <c r="P82" t="str">
        <f t="shared" si="9"/>
        <v>Match</v>
      </c>
      <c r="Q82" s="8">
        <v>3000</v>
      </c>
      <c r="R82" s="8">
        <v>900</v>
      </c>
      <c r="S82" s="8">
        <v>2100</v>
      </c>
      <c r="T82" s="8">
        <v>1620.9</v>
      </c>
      <c r="U82" s="8">
        <v>479.1</v>
      </c>
      <c r="V82" s="8" t="b">
        <f t="shared" si="10"/>
        <v>0</v>
      </c>
      <c r="W82" s="8">
        <f t="shared" si="11"/>
        <v>0</v>
      </c>
      <c r="X82" t="s">
        <v>36</v>
      </c>
      <c r="Y82" t="s">
        <v>70</v>
      </c>
      <c r="Z82" t="s">
        <v>45</v>
      </c>
      <c r="AA82">
        <v>4</v>
      </c>
      <c r="AB82" t="s">
        <v>151</v>
      </c>
      <c r="AC82" t="s">
        <v>49</v>
      </c>
    </row>
    <row r="83" spans="1:29" x14ac:dyDescent="0.3">
      <c r="A83" t="s">
        <v>192</v>
      </c>
      <c r="B83" s="6">
        <v>45942</v>
      </c>
      <c r="C83" s="6" t="str">
        <f t="shared" si="6"/>
        <v>12 PM - 4 PM</v>
      </c>
      <c r="D83" s="4">
        <v>0.53680555555555554</v>
      </c>
      <c r="E83" t="s">
        <v>60</v>
      </c>
      <c r="F83" t="s">
        <v>24</v>
      </c>
      <c r="G83" t="s">
        <v>88</v>
      </c>
      <c r="H83" t="s">
        <v>26</v>
      </c>
      <c r="I83" t="s">
        <v>54</v>
      </c>
      <c r="J83" t="s">
        <v>93</v>
      </c>
      <c r="K83">
        <v>2</v>
      </c>
      <c r="L83" s="8">
        <v>2950</v>
      </c>
      <c r="M83" s="8" t="str">
        <f t="shared" si="7"/>
        <v>11-20%</v>
      </c>
      <c r="N83">
        <v>15</v>
      </c>
      <c r="O83" t="str">
        <f t="shared" si="8"/>
        <v>Valid</v>
      </c>
      <c r="P83" t="str">
        <f t="shared" si="9"/>
        <v>Match</v>
      </c>
      <c r="Q83" s="8">
        <v>5900</v>
      </c>
      <c r="R83" s="8">
        <v>885</v>
      </c>
      <c r="S83" s="8">
        <v>5015</v>
      </c>
      <c r="T83" s="8">
        <v>3248.51</v>
      </c>
      <c r="U83" s="8">
        <v>1766.49</v>
      </c>
      <c r="V83" s="8" t="b">
        <f t="shared" si="10"/>
        <v>0</v>
      </c>
      <c r="W83" s="8">
        <f t="shared" si="11"/>
        <v>0</v>
      </c>
      <c r="X83" t="s">
        <v>46</v>
      </c>
      <c r="Y83" t="s">
        <v>37</v>
      </c>
      <c r="Z83" t="s">
        <v>64</v>
      </c>
      <c r="AA83">
        <v>3.5</v>
      </c>
      <c r="AB83" t="s">
        <v>57</v>
      </c>
      <c r="AC83" t="s">
        <v>30</v>
      </c>
    </row>
    <row r="84" spans="1:29" x14ac:dyDescent="0.3">
      <c r="A84" t="s">
        <v>193</v>
      </c>
      <c r="B84" s="6">
        <v>45986</v>
      </c>
      <c r="C84" s="6" t="str">
        <f t="shared" si="6"/>
        <v>8 PM - 12 AM</v>
      </c>
      <c r="D84" s="4">
        <v>0.85972222222222228</v>
      </c>
      <c r="E84" t="s">
        <v>622</v>
      </c>
      <c r="F84" t="s">
        <v>24</v>
      </c>
      <c r="G84" t="s">
        <v>61</v>
      </c>
      <c r="H84" t="s">
        <v>34</v>
      </c>
      <c r="I84" t="s">
        <v>54</v>
      </c>
      <c r="J84" t="s">
        <v>35</v>
      </c>
      <c r="K84">
        <v>3</v>
      </c>
      <c r="L84" s="8">
        <v>43050</v>
      </c>
      <c r="M84" s="8" t="str">
        <f t="shared" si="7"/>
        <v>0%</v>
      </c>
      <c r="N84">
        <v>0</v>
      </c>
      <c r="O84" t="str">
        <f t="shared" si="8"/>
        <v>Valid</v>
      </c>
      <c r="P84" t="str">
        <f t="shared" si="9"/>
        <v>Match</v>
      </c>
      <c r="Q84" s="8">
        <v>129150</v>
      </c>
      <c r="R84" s="8">
        <v>0</v>
      </c>
      <c r="S84" s="8">
        <v>129150</v>
      </c>
      <c r="T84" s="8">
        <v>85989.25</v>
      </c>
      <c r="U84" s="8">
        <v>43160.75</v>
      </c>
      <c r="V84" s="8" t="b">
        <f t="shared" si="10"/>
        <v>0</v>
      </c>
      <c r="W84" s="8">
        <f t="shared" si="11"/>
        <v>0</v>
      </c>
      <c r="X84" t="s">
        <v>46</v>
      </c>
      <c r="Y84" t="s">
        <v>94</v>
      </c>
      <c r="Z84" t="s">
        <v>80</v>
      </c>
      <c r="AA84">
        <v>4.5</v>
      </c>
      <c r="AB84" t="s">
        <v>75</v>
      </c>
      <c r="AC84" t="s">
        <v>86</v>
      </c>
    </row>
    <row r="85" spans="1:29" x14ac:dyDescent="0.3">
      <c r="A85" t="s">
        <v>194</v>
      </c>
      <c r="B85" s="6">
        <v>45909</v>
      </c>
      <c r="C85" s="6" t="str">
        <f t="shared" si="6"/>
        <v>4 AM - 8 AM</v>
      </c>
      <c r="D85" s="4">
        <v>0.24166666666666667</v>
      </c>
      <c r="E85" t="s">
        <v>69</v>
      </c>
      <c r="F85" t="s">
        <v>96</v>
      </c>
      <c r="G85" t="s">
        <v>97</v>
      </c>
      <c r="H85" t="s">
        <v>53</v>
      </c>
      <c r="I85" t="s">
        <v>98</v>
      </c>
      <c r="J85" t="s">
        <v>35</v>
      </c>
      <c r="K85">
        <v>1</v>
      </c>
      <c r="L85" s="8">
        <v>2600</v>
      </c>
      <c r="M85" s="8" t="str">
        <f t="shared" si="7"/>
        <v>11-20%</v>
      </c>
      <c r="N85">
        <v>20</v>
      </c>
      <c r="O85" t="str">
        <f t="shared" si="8"/>
        <v>Valid</v>
      </c>
      <c r="P85" t="str">
        <f t="shared" si="9"/>
        <v>Match</v>
      </c>
      <c r="Q85" s="8">
        <v>2600</v>
      </c>
      <c r="R85" s="8">
        <v>520</v>
      </c>
      <c r="S85" s="8">
        <v>2080</v>
      </c>
      <c r="T85" s="8">
        <v>1848.94</v>
      </c>
      <c r="U85" s="8">
        <v>231.06</v>
      </c>
      <c r="V85" s="8" t="b">
        <f t="shared" si="10"/>
        <v>0</v>
      </c>
      <c r="W85" s="8">
        <f t="shared" si="11"/>
        <v>0</v>
      </c>
      <c r="X85" t="s">
        <v>28</v>
      </c>
      <c r="Y85" t="s">
        <v>47</v>
      </c>
      <c r="Z85" t="s">
        <v>45</v>
      </c>
      <c r="AA85">
        <v>3</v>
      </c>
      <c r="AB85" t="s">
        <v>155</v>
      </c>
      <c r="AC85" t="s">
        <v>86</v>
      </c>
    </row>
    <row r="86" spans="1:29" x14ac:dyDescent="0.3">
      <c r="A86" t="s">
        <v>195</v>
      </c>
      <c r="B86" s="6">
        <v>45963</v>
      </c>
      <c r="C86" s="6" t="str">
        <f t="shared" si="6"/>
        <v>12 AM - 4 AM</v>
      </c>
      <c r="D86" s="4">
        <v>1.1805555555555555E-2</v>
      </c>
      <c r="E86" t="s">
        <v>108</v>
      </c>
      <c r="F86" t="s">
        <v>24</v>
      </c>
      <c r="G86" t="s">
        <v>33</v>
      </c>
      <c r="H86" t="s">
        <v>74</v>
      </c>
      <c r="I86" t="s">
        <v>82</v>
      </c>
      <c r="J86" t="s">
        <v>78</v>
      </c>
      <c r="K86">
        <v>1</v>
      </c>
      <c r="L86" s="8">
        <v>3800</v>
      </c>
      <c r="M86" s="8" t="str">
        <f t="shared" si="7"/>
        <v>21-30%</v>
      </c>
      <c r="N86">
        <v>30</v>
      </c>
      <c r="O86" t="str">
        <f t="shared" si="8"/>
        <v>Valid</v>
      </c>
      <c r="P86" t="str">
        <f t="shared" si="9"/>
        <v>Match</v>
      </c>
      <c r="Q86" s="8">
        <v>3800</v>
      </c>
      <c r="R86" s="8">
        <v>1140</v>
      </c>
      <c r="S86" s="8">
        <v>2660</v>
      </c>
      <c r="T86" s="8">
        <v>2099.36</v>
      </c>
      <c r="U86" s="8">
        <v>560.64</v>
      </c>
      <c r="V86" s="8" t="b">
        <f t="shared" si="10"/>
        <v>0</v>
      </c>
      <c r="W86" s="8">
        <f t="shared" si="11"/>
        <v>0</v>
      </c>
      <c r="X86" t="s">
        <v>46</v>
      </c>
      <c r="Y86" t="s">
        <v>70</v>
      </c>
      <c r="Z86" t="s">
        <v>45</v>
      </c>
      <c r="AA86">
        <v>4</v>
      </c>
      <c r="AB86" t="s">
        <v>75</v>
      </c>
      <c r="AC86" t="s">
        <v>30</v>
      </c>
    </row>
    <row r="87" spans="1:29" x14ac:dyDescent="0.3">
      <c r="A87" t="s">
        <v>196</v>
      </c>
      <c r="B87" s="6">
        <v>45770</v>
      </c>
      <c r="C87" s="6" t="str">
        <f t="shared" si="6"/>
        <v>4 PM - 8 PM</v>
      </c>
      <c r="D87" s="4">
        <v>0.81805555555555554</v>
      </c>
      <c r="E87" t="s">
        <v>69</v>
      </c>
      <c r="F87" t="s">
        <v>24</v>
      </c>
      <c r="G87" t="s">
        <v>42</v>
      </c>
      <c r="H87" t="s">
        <v>26</v>
      </c>
      <c r="I87" t="s">
        <v>125</v>
      </c>
      <c r="J87" t="s">
        <v>197</v>
      </c>
      <c r="K87">
        <v>1</v>
      </c>
      <c r="L87" s="8">
        <v>29900</v>
      </c>
      <c r="M87" s="8" t="str">
        <f t="shared" si="7"/>
        <v>11-20%</v>
      </c>
      <c r="N87">
        <v>15</v>
      </c>
      <c r="O87" t="str">
        <f t="shared" si="8"/>
        <v>Valid</v>
      </c>
      <c r="P87" t="str">
        <f t="shared" si="9"/>
        <v>Match</v>
      </c>
      <c r="Q87" s="8">
        <v>29900</v>
      </c>
      <c r="R87" s="8">
        <v>4485</v>
      </c>
      <c r="S87" s="8">
        <v>25415</v>
      </c>
      <c r="T87" s="8">
        <v>17131.189999999999</v>
      </c>
      <c r="U87" s="8">
        <v>8283.81</v>
      </c>
      <c r="V87" s="8" t="b">
        <f t="shared" si="10"/>
        <v>0</v>
      </c>
      <c r="W87" s="8">
        <f t="shared" si="11"/>
        <v>0</v>
      </c>
      <c r="X87" t="s">
        <v>46</v>
      </c>
      <c r="Y87" t="s">
        <v>47</v>
      </c>
      <c r="Z87" t="s">
        <v>80</v>
      </c>
      <c r="AA87">
        <v>3.5</v>
      </c>
      <c r="AB87" t="s">
        <v>99</v>
      </c>
      <c r="AC87" t="s">
        <v>40</v>
      </c>
    </row>
    <row r="88" spans="1:29" x14ac:dyDescent="0.3">
      <c r="A88" t="s">
        <v>198</v>
      </c>
      <c r="B88" s="6">
        <v>45902</v>
      </c>
      <c r="C88" s="6" t="str">
        <f t="shared" si="6"/>
        <v>4 AM - 8 AM</v>
      </c>
      <c r="D88" s="4">
        <v>0.22361111111111112</v>
      </c>
      <c r="E88" t="s">
        <v>622</v>
      </c>
      <c r="F88" t="s">
        <v>24</v>
      </c>
      <c r="G88" t="s">
        <v>33</v>
      </c>
      <c r="H88" t="s">
        <v>53</v>
      </c>
      <c r="I88" t="s">
        <v>54</v>
      </c>
      <c r="J88" t="s">
        <v>35</v>
      </c>
      <c r="K88">
        <v>2</v>
      </c>
      <c r="L88" s="8">
        <v>1300</v>
      </c>
      <c r="M88" s="8" t="str">
        <f t="shared" si="7"/>
        <v>21-30%</v>
      </c>
      <c r="N88">
        <v>30</v>
      </c>
      <c r="O88" t="str">
        <f t="shared" si="8"/>
        <v>Valid</v>
      </c>
      <c r="P88" t="str">
        <f t="shared" si="9"/>
        <v>Match</v>
      </c>
      <c r="Q88" s="8">
        <v>2600</v>
      </c>
      <c r="R88" s="8">
        <v>780</v>
      </c>
      <c r="S88" s="8">
        <v>1820</v>
      </c>
      <c r="T88" s="8">
        <v>1566.08</v>
      </c>
      <c r="U88" s="8">
        <v>253.92</v>
      </c>
      <c r="V88" s="8" t="b">
        <f t="shared" si="10"/>
        <v>0</v>
      </c>
      <c r="W88" s="8">
        <f t="shared" si="11"/>
        <v>0</v>
      </c>
      <c r="X88" t="s">
        <v>28</v>
      </c>
      <c r="Y88" t="s">
        <v>65</v>
      </c>
      <c r="Z88" t="s">
        <v>85</v>
      </c>
      <c r="AA88">
        <v>3.5</v>
      </c>
      <c r="AB88" t="s">
        <v>155</v>
      </c>
      <c r="AC88" t="s">
        <v>86</v>
      </c>
    </row>
    <row r="89" spans="1:29" x14ac:dyDescent="0.3">
      <c r="A89" t="s">
        <v>199</v>
      </c>
      <c r="B89" s="6">
        <v>45907</v>
      </c>
      <c r="C89" s="6" t="str">
        <f t="shared" si="6"/>
        <v>8 AM - 12 PM</v>
      </c>
      <c r="D89" s="4">
        <v>0.44374999999999998</v>
      </c>
      <c r="E89" t="s">
        <v>108</v>
      </c>
      <c r="F89" t="s">
        <v>24</v>
      </c>
      <c r="G89" t="s">
        <v>120</v>
      </c>
      <c r="H89" t="s">
        <v>74</v>
      </c>
      <c r="I89" t="s">
        <v>92</v>
      </c>
      <c r="J89" t="s">
        <v>200</v>
      </c>
      <c r="K89">
        <v>3</v>
      </c>
      <c r="L89" s="8">
        <v>8350</v>
      </c>
      <c r="M89" s="8" t="str">
        <f t="shared" si="7"/>
        <v>1-10%</v>
      </c>
      <c r="N89">
        <v>5</v>
      </c>
      <c r="O89" t="str">
        <f t="shared" si="8"/>
        <v>Valid</v>
      </c>
      <c r="P89" t="str">
        <f t="shared" si="9"/>
        <v>Match</v>
      </c>
      <c r="Q89" s="8">
        <v>25050</v>
      </c>
      <c r="R89" s="8">
        <v>1252.5</v>
      </c>
      <c r="S89" s="8">
        <v>23797.5</v>
      </c>
      <c r="T89" s="8">
        <v>17228.8</v>
      </c>
      <c r="U89" s="8">
        <v>6568.7</v>
      </c>
      <c r="V89" s="8" t="b">
        <f t="shared" si="10"/>
        <v>0</v>
      </c>
      <c r="W89" s="8">
        <f t="shared" si="11"/>
        <v>0</v>
      </c>
      <c r="X89" t="s">
        <v>46</v>
      </c>
      <c r="Y89" t="s">
        <v>37</v>
      </c>
      <c r="Z89" t="s">
        <v>45</v>
      </c>
      <c r="AA89">
        <v>5</v>
      </c>
      <c r="AB89" t="s">
        <v>155</v>
      </c>
      <c r="AC89" t="s">
        <v>30</v>
      </c>
    </row>
    <row r="90" spans="1:29" x14ac:dyDescent="0.3">
      <c r="A90" t="s">
        <v>201</v>
      </c>
      <c r="B90" s="6">
        <v>45978</v>
      </c>
      <c r="C90" s="6" t="str">
        <f t="shared" si="6"/>
        <v>12 AM - 4 AM</v>
      </c>
      <c r="D90" s="4">
        <v>4.3749999999999997E-2</v>
      </c>
      <c r="E90" t="s">
        <v>157</v>
      </c>
      <c r="F90" t="s">
        <v>51</v>
      </c>
      <c r="G90" t="s">
        <v>73</v>
      </c>
      <c r="H90" t="s">
        <v>43</v>
      </c>
      <c r="I90" t="s">
        <v>63</v>
      </c>
      <c r="J90" t="s">
        <v>45</v>
      </c>
      <c r="K90">
        <v>1</v>
      </c>
      <c r="L90" s="8">
        <v>2550</v>
      </c>
      <c r="M90" s="8" t="str">
        <f t="shared" si="7"/>
        <v>11-20%</v>
      </c>
      <c r="N90">
        <v>20</v>
      </c>
      <c r="O90" t="str">
        <f t="shared" si="8"/>
        <v>Valid</v>
      </c>
      <c r="P90" t="str">
        <f t="shared" si="9"/>
        <v>Match</v>
      </c>
      <c r="Q90" s="8">
        <v>2550</v>
      </c>
      <c r="R90" s="8">
        <v>510</v>
      </c>
      <c r="S90" s="8">
        <v>2040</v>
      </c>
      <c r="T90" s="8">
        <v>1515.85</v>
      </c>
      <c r="U90" s="8">
        <v>524.15</v>
      </c>
      <c r="V90" s="8" t="b">
        <f t="shared" si="10"/>
        <v>0</v>
      </c>
      <c r="W90" s="8">
        <f t="shared" si="11"/>
        <v>0</v>
      </c>
      <c r="X90" t="s">
        <v>36</v>
      </c>
      <c r="Y90" t="s">
        <v>89</v>
      </c>
      <c r="Z90" t="s">
        <v>80</v>
      </c>
      <c r="AA90">
        <v>3.5</v>
      </c>
      <c r="AB90" t="s">
        <v>75</v>
      </c>
      <c r="AC90" t="s">
        <v>49</v>
      </c>
    </row>
    <row r="91" spans="1:29" x14ac:dyDescent="0.3">
      <c r="A91" t="s">
        <v>202</v>
      </c>
      <c r="B91" s="6">
        <v>45660</v>
      </c>
      <c r="C91" s="6" t="str">
        <f t="shared" si="6"/>
        <v>12 PM - 4 PM</v>
      </c>
      <c r="D91" s="4">
        <v>0.54305555555555551</v>
      </c>
      <c r="E91" t="s">
        <v>622</v>
      </c>
      <c r="F91" t="s">
        <v>24</v>
      </c>
      <c r="G91" t="s">
        <v>25</v>
      </c>
      <c r="H91" t="s">
        <v>113</v>
      </c>
      <c r="I91" t="s">
        <v>82</v>
      </c>
      <c r="J91" t="s">
        <v>35</v>
      </c>
      <c r="K91">
        <v>3</v>
      </c>
      <c r="L91" s="8">
        <v>4000</v>
      </c>
      <c r="M91" s="8" t="str">
        <f t="shared" si="7"/>
        <v>11-20%</v>
      </c>
      <c r="N91">
        <v>15</v>
      </c>
      <c r="O91" t="str">
        <f t="shared" si="8"/>
        <v>Valid</v>
      </c>
      <c r="P91" t="str">
        <f t="shared" si="9"/>
        <v>Match</v>
      </c>
      <c r="Q91" s="8">
        <v>12000</v>
      </c>
      <c r="R91" s="8">
        <v>1800</v>
      </c>
      <c r="S91" s="8">
        <v>10200</v>
      </c>
      <c r="T91" s="8">
        <v>8017.51</v>
      </c>
      <c r="U91" s="8">
        <v>2182.4899999999998</v>
      </c>
      <c r="V91" s="8" t="b">
        <f t="shared" si="10"/>
        <v>0</v>
      </c>
      <c r="W91" s="8">
        <f t="shared" si="11"/>
        <v>0</v>
      </c>
      <c r="X91" t="s">
        <v>79</v>
      </c>
      <c r="Y91" t="s">
        <v>70</v>
      </c>
      <c r="Z91" t="s">
        <v>80</v>
      </c>
      <c r="AA91">
        <v>5</v>
      </c>
      <c r="AB91" t="s">
        <v>151</v>
      </c>
      <c r="AC91" t="s">
        <v>58</v>
      </c>
    </row>
    <row r="92" spans="1:29" x14ac:dyDescent="0.3">
      <c r="A92" t="s">
        <v>203</v>
      </c>
      <c r="B92" s="6">
        <v>46012</v>
      </c>
      <c r="C92" s="6" t="str">
        <f t="shared" si="6"/>
        <v>12 PM - 4 PM</v>
      </c>
      <c r="D92" s="4">
        <v>0.60416666666666663</v>
      </c>
      <c r="E92" t="s">
        <v>60</v>
      </c>
      <c r="F92" t="s">
        <v>24</v>
      </c>
      <c r="G92" t="s">
        <v>42</v>
      </c>
      <c r="H92" t="s">
        <v>62</v>
      </c>
      <c r="I92" t="s">
        <v>63</v>
      </c>
      <c r="J92" t="s">
        <v>200</v>
      </c>
      <c r="K92">
        <v>3</v>
      </c>
      <c r="L92" s="8">
        <v>41400</v>
      </c>
      <c r="M92" s="8" t="str">
        <f t="shared" si="7"/>
        <v>11-20%</v>
      </c>
      <c r="N92">
        <v>20</v>
      </c>
      <c r="O92" t="str">
        <f t="shared" si="8"/>
        <v>Valid</v>
      </c>
      <c r="P92" t="str">
        <f t="shared" si="9"/>
        <v>Match</v>
      </c>
      <c r="Q92" s="8">
        <v>124200</v>
      </c>
      <c r="R92" s="8">
        <v>24840</v>
      </c>
      <c r="S92" s="8">
        <v>99360</v>
      </c>
      <c r="T92" s="8">
        <v>87582.97</v>
      </c>
      <c r="U92" s="8">
        <v>11777.03</v>
      </c>
      <c r="V92" s="8" t="b">
        <f t="shared" si="10"/>
        <v>0</v>
      </c>
      <c r="W92" s="8">
        <f t="shared" si="11"/>
        <v>0</v>
      </c>
      <c r="X92" t="s">
        <v>79</v>
      </c>
      <c r="Y92" t="s">
        <v>65</v>
      </c>
      <c r="Z92" t="s">
        <v>38</v>
      </c>
      <c r="AA92">
        <v>3.5</v>
      </c>
      <c r="AB92" t="s">
        <v>39</v>
      </c>
      <c r="AC92" t="s">
        <v>30</v>
      </c>
    </row>
    <row r="93" spans="1:29" x14ac:dyDescent="0.3">
      <c r="A93" t="s">
        <v>204</v>
      </c>
      <c r="B93" s="6">
        <v>45749</v>
      </c>
      <c r="C93" s="6" t="str">
        <f t="shared" si="6"/>
        <v>4 AM - 8 AM</v>
      </c>
      <c r="D93" s="4">
        <v>0.20902777777777778</v>
      </c>
      <c r="E93" t="s">
        <v>32</v>
      </c>
      <c r="F93" t="s">
        <v>24</v>
      </c>
      <c r="G93" t="s">
        <v>84</v>
      </c>
      <c r="H93" t="s">
        <v>74</v>
      </c>
      <c r="I93" t="s">
        <v>27</v>
      </c>
      <c r="J93" t="s">
        <v>78</v>
      </c>
      <c r="K93">
        <v>1</v>
      </c>
      <c r="L93" s="8">
        <v>26100</v>
      </c>
      <c r="M93" s="8" t="str">
        <f t="shared" si="7"/>
        <v>11-20%</v>
      </c>
      <c r="N93">
        <v>20</v>
      </c>
      <c r="O93" t="str">
        <f t="shared" si="8"/>
        <v>Valid</v>
      </c>
      <c r="P93" t="str">
        <f t="shared" si="9"/>
        <v>Match</v>
      </c>
      <c r="Q93" s="8">
        <v>26100</v>
      </c>
      <c r="R93" s="8">
        <v>5220</v>
      </c>
      <c r="S93" s="8">
        <v>20880</v>
      </c>
      <c r="T93" s="8">
        <v>18014.78</v>
      </c>
      <c r="U93" s="8">
        <v>2865.22</v>
      </c>
      <c r="V93" s="8" t="b">
        <f t="shared" si="10"/>
        <v>0</v>
      </c>
      <c r="W93" s="8">
        <f t="shared" si="11"/>
        <v>0</v>
      </c>
      <c r="X93" t="s">
        <v>28</v>
      </c>
      <c r="Y93" t="s">
        <v>47</v>
      </c>
      <c r="Z93" t="s">
        <v>64</v>
      </c>
      <c r="AA93">
        <v>3</v>
      </c>
      <c r="AB93" t="s">
        <v>99</v>
      </c>
      <c r="AC93" t="s">
        <v>40</v>
      </c>
    </row>
    <row r="94" spans="1:29" x14ac:dyDescent="0.3">
      <c r="A94" t="s">
        <v>205</v>
      </c>
      <c r="B94" s="6">
        <v>45938</v>
      </c>
      <c r="C94" s="6" t="str">
        <f t="shared" si="6"/>
        <v>8 PM - 12 AM</v>
      </c>
      <c r="D94" s="4">
        <v>0.84722222222222221</v>
      </c>
      <c r="E94" t="s">
        <v>32</v>
      </c>
      <c r="F94" t="s">
        <v>96</v>
      </c>
      <c r="G94" t="s">
        <v>129</v>
      </c>
      <c r="H94" t="s">
        <v>74</v>
      </c>
      <c r="I94" t="s">
        <v>98</v>
      </c>
      <c r="J94" t="s">
        <v>35</v>
      </c>
      <c r="K94">
        <v>1</v>
      </c>
      <c r="L94" s="8">
        <v>2900</v>
      </c>
      <c r="M94" s="8" t="str">
        <f t="shared" si="7"/>
        <v>11-20%</v>
      </c>
      <c r="N94">
        <v>20</v>
      </c>
      <c r="O94" t="str">
        <f t="shared" si="8"/>
        <v>Valid</v>
      </c>
      <c r="P94" t="str">
        <f t="shared" si="9"/>
        <v>Match</v>
      </c>
      <c r="Q94" s="8">
        <v>2900</v>
      </c>
      <c r="R94" s="8">
        <v>580</v>
      </c>
      <c r="S94" s="8">
        <v>2320</v>
      </c>
      <c r="T94" s="8">
        <v>1999.78</v>
      </c>
      <c r="U94" s="8">
        <v>320.22000000000003</v>
      </c>
      <c r="V94" s="8" t="b">
        <f t="shared" si="10"/>
        <v>0</v>
      </c>
      <c r="W94" s="8">
        <f t="shared" si="11"/>
        <v>0</v>
      </c>
      <c r="X94" t="s">
        <v>79</v>
      </c>
      <c r="Y94" t="s">
        <v>89</v>
      </c>
      <c r="Z94" t="s">
        <v>80</v>
      </c>
      <c r="AA94">
        <v>4</v>
      </c>
      <c r="AB94" t="s">
        <v>57</v>
      </c>
      <c r="AC94" t="s">
        <v>40</v>
      </c>
    </row>
    <row r="95" spans="1:29" x14ac:dyDescent="0.3">
      <c r="A95" t="s">
        <v>206</v>
      </c>
      <c r="B95" s="6">
        <v>45868</v>
      </c>
      <c r="C95" s="6" t="str">
        <f t="shared" si="6"/>
        <v>8 AM - 12 PM</v>
      </c>
      <c r="D95" s="4">
        <v>0.4548611111111111</v>
      </c>
      <c r="E95" t="s">
        <v>108</v>
      </c>
      <c r="F95" t="s">
        <v>24</v>
      </c>
      <c r="G95" t="s">
        <v>33</v>
      </c>
      <c r="H95" t="s">
        <v>102</v>
      </c>
      <c r="I95" t="s">
        <v>98</v>
      </c>
      <c r="J95" t="s">
        <v>93</v>
      </c>
      <c r="K95">
        <v>0</v>
      </c>
      <c r="L95" s="8">
        <v>1250</v>
      </c>
      <c r="M95" s="8" t="str">
        <f t="shared" si="7"/>
        <v>1-10%</v>
      </c>
      <c r="N95">
        <v>10</v>
      </c>
      <c r="O95" t="str">
        <f t="shared" si="8"/>
        <v>Valid</v>
      </c>
      <c r="P95" t="str">
        <f t="shared" si="9"/>
        <v>Match</v>
      </c>
      <c r="Q95" s="8">
        <v>2500</v>
      </c>
      <c r="R95" s="8">
        <v>250</v>
      </c>
      <c r="S95" s="8">
        <v>2250</v>
      </c>
      <c r="T95" s="8">
        <v>1764.27</v>
      </c>
      <c r="U95" s="8">
        <v>485.73</v>
      </c>
      <c r="V95" s="8" t="b">
        <f t="shared" si="10"/>
        <v>0</v>
      </c>
      <c r="W95" s="8">
        <f t="shared" si="11"/>
        <v>0</v>
      </c>
      <c r="X95" t="s">
        <v>36</v>
      </c>
      <c r="Y95" t="s">
        <v>89</v>
      </c>
      <c r="Z95" t="s">
        <v>64</v>
      </c>
      <c r="AA95">
        <v>4</v>
      </c>
      <c r="AB95" t="s">
        <v>29</v>
      </c>
      <c r="AC95" t="s">
        <v>40</v>
      </c>
    </row>
    <row r="96" spans="1:29" x14ac:dyDescent="0.3">
      <c r="A96" t="s">
        <v>207</v>
      </c>
      <c r="B96" s="6">
        <v>46016</v>
      </c>
      <c r="C96" s="6" t="str">
        <f t="shared" si="6"/>
        <v>8 AM - 12 PM</v>
      </c>
      <c r="D96" s="4">
        <v>0.35833333333333334</v>
      </c>
      <c r="E96" t="s">
        <v>60</v>
      </c>
      <c r="F96" t="s">
        <v>51</v>
      </c>
      <c r="G96" t="s">
        <v>140</v>
      </c>
      <c r="H96" t="s">
        <v>102</v>
      </c>
      <c r="I96" t="s">
        <v>98</v>
      </c>
      <c r="J96" t="s">
        <v>45</v>
      </c>
      <c r="K96">
        <v>2</v>
      </c>
      <c r="L96" s="8">
        <v>3750</v>
      </c>
      <c r="M96" s="8" t="str">
        <f t="shared" si="7"/>
        <v>1-10%</v>
      </c>
      <c r="N96">
        <v>10</v>
      </c>
      <c r="O96" t="str">
        <f t="shared" si="8"/>
        <v>Valid</v>
      </c>
      <c r="P96" t="str">
        <f t="shared" si="9"/>
        <v>Match</v>
      </c>
      <c r="Q96" s="8">
        <v>7500</v>
      </c>
      <c r="R96" s="8">
        <v>750</v>
      </c>
      <c r="S96" s="8">
        <v>6750</v>
      </c>
      <c r="T96" s="8">
        <v>5199.17</v>
      </c>
      <c r="U96" s="8">
        <v>1550.83</v>
      </c>
      <c r="V96" s="8" t="b">
        <f t="shared" si="10"/>
        <v>0</v>
      </c>
      <c r="W96" s="8">
        <f t="shared" si="11"/>
        <v>0</v>
      </c>
      <c r="X96" t="s">
        <v>46</v>
      </c>
      <c r="Y96" t="s">
        <v>70</v>
      </c>
      <c r="Z96" t="s">
        <v>56</v>
      </c>
      <c r="AA96">
        <v>4.5</v>
      </c>
      <c r="AB96" t="s">
        <v>39</v>
      </c>
      <c r="AC96" t="s">
        <v>67</v>
      </c>
    </row>
    <row r="97" spans="1:29" x14ac:dyDescent="0.3">
      <c r="A97" t="s">
        <v>208</v>
      </c>
      <c r="B97" s="6">
        <v>45874</v>
      </c>
      <c r="C97" s="6" t="str">
        <f t="shared" si="6"/>
        <v>8 AM - 12 PM</v>
      </c>
      <c r="D97" s="4">
        <v>0.47361111111111109</v>
      </c>
      <c r="E97" t="s">
        <v>23</v>
      </c>
      <c r="F97" t="s">
        <v>51</v>
      </c>
      <c r="G97" t="s">
        <v>140</v>
      </c>
      <c r="H97" t="s">
        <v>26</v>
      </c>
      <c r="I97" t="s">
        <v>63</v>
      </c>
      <c r="J97" t="s">
        <v>35</v>
      </c>
      <c r="K97">
        <v>2</v>
      </c>
      <c r="L97" s="8">
        <v>5700</v>
      </c>
      <c r="M97" s="8" t="str">
        <f t="shared" si="7"/>
        <v>0%</v>
      </c>
      <c r="N97">
        <v>0</v>
      </c>
      <c r="O97" t="str">
        <f t="shared" si="8"/>
        <v>Valid</v>
      </c>
      <c r="P97" t="str">
        <f t="shared" si="9"/>
        <v>Match</v>
      </c>
      <c r="Q97" s="8">
        <v>11400</v>
      </c>
      <c r="R97" s="8">
        <v>0</v>
      </c>
      <c r="S97" s="8">
        <v>11400</v>
      </c>
      <c r="T97" s="8">
        <v>7612.74</v>
      </c>
      <c r="U97" s="8">
        <v>3787.26</v>
      </c>
      <c r="V97" s="8" t="b">
        <f t="shared" si="10"/>
        <v>0</v>
      </c>
      <c r="W97" s="8">
        <f t="shared" si="11"/>
        <v>0</v>
      </c>
      <c r="X97" t="s">
        <v>79</v>
      </c>
      <c r="Y97" t="s">
        <v>47</v>
      </c>
      <c r="Z97" t="s">
        <v>38</v>
      </c>
      <c r="AA97">
        <v>4</v>
      </c>
      <c r="AB97" t="s">
        <v>90</v>
      </c>
      <c r="AC97" t="s">
        <v>86</v>
      </c>
    </row>
    <row r="98" spans="1:29" x14ac:dyDescent="0.3">
      <c r="A98" t="s">
        <v>209</v>
      </c>
      <c r="B98" s="6">
        <v>45880</v>
      </c>
      <c r="C98" s="6" t="str">
        <f t="shared" si="6"/>
        <v>8 PM - 12 AM</v>
      </c>
      <c r="D98" s="4">
        <v>0.88055555555555554</v>
      </c>
      <c r="E98" t="s">
        <v>23</v>
      </c>
      <c r="F98" t="s">
        <v>24</v>
      </c>
      <c r="G98" t="s">
        <v>84</v>
      </c>
      <c r="H98" t="s">
        <v>113</v>
      </c>
      <c r="I98" t="s">
        <v>98</v>
      </c>
      <c r="J98" t="s">
        <v>35</v>
      </c>
      <c r="K98">
        <v>1</v>
      </c>
      <c r="L98" s="8">
        <v>22950</v>
      </c>
      <c r="M98" s="8" t="str">
        <f t="shared" si="7"/>
        <v>11-20%</v>
      </c>
      <c r="N98">
        <v>20</v>
      </c>
      <c r="O98" t="str">
        <f t="shared" si="8"/>
        <v>Valid</v>
      </c>
      <c r="P98" t="str">
        <f t="shared" si="9"/>
        <v>Match</v>
      </c>
      <c r="Q98" s="8">
        <v>22950</v>
      </c>
      <c r="R98" s="8">
        <v>4590</v>
      </c>
      <c r="S98" s="8">
        <v>18360</v>
      </c>
      <c r="T98" s="8">
        <v>14800.93</v>
      </c>
      <c r="U98" s="8">
        <v>3559.07</v>
      </c>
      <c r="V98" s="8" t="b">
        <f t="shared" si="10"/>
        <v>0</v>
      </c>
      <c r="W98" s="8">
        <f t="shared" si="11"/>
        <v>0</v>
      </c>
      <c r="X98" t="s">
        <v>79</v>
      </c>
      <c r="Y98" t="s">
        <v>104</v>
      </c>
      <c r="Z98" t="s">
        <v>56</v>
      </c>
      <c r="AA98">
        <v>5</v>
      </c>
      <c r="AB98" t="s">
        <v>90</v>
      </c>
      <c r="AC98" t="s">
        <v>49</v>
      </c>
    </row>
    <row r="99" spans="1:29" x14ac:dyDescent="0.3">
      <c r="A99" t="s">
        <v>210</v>
      </c>
      <c r="B99" s="6">
        <v>46010</v>
      </c>
      <c r="C99" s="6" t="str">
        <f t="shared" si="6"/>
        <v>4 PM - 8 PM</v>
      </c>
      <c r="D99" s="4">
        <v>0.83263888888888893</v>
      </c>
      <c r="E99" t="s">
        <v>108</v>
      </c>
      <c r="F99" t="s">
        <v>24</v>
      </c>
      <c r="G99" t="s">
        <v>42</v>
      </c>
      <c r="H99" t="s">
        <v>113</v>
      </c>
      <c r="I99" t="s">
        <v>125</v>
      </c>
      <c r="J99" t="s">
        <v>78</v>
      </c>
      <c r="K99">
        <v>1</v>
      </c>
      <c r="L99" s="8">
        <v>29700</v>
      </c>
      <c r="M99" s="8" t="str">
        <f t="shared" si="7"/>
        <v>1-10%</v>
      </c>
      <c r="N99">
        <v>5</v>
      </c>
      <c r="O99" t="str">
        <f t="shared" si="8"/>
        <v>Valid</v>
      </c>
      <c r="P99" t="str">
        <f t="shared" si="9"/>
        <v>Match</v>
      </c>
      <c r="Q99" s="8">
        <v>29700</v>
      </c>
      <c r="R99" s="8">
        <v>1485</v>
      </c>
      <c r="S99" s="8">
        <v>28215</v>
      </c>
      <c r="T99" s="8">
        <v>18604.25</v>
      </c>
      <c r="U99" s="8">
        <v>9610.75</v>
      </c>
      <c r="V99" s="8" t="b">
        <f t="shared" si="10"/>
        <v>0</v>
      </c>
      <c r="W99" s="8">
        <f t="shared" si="11"/>
        <v>0</v>
      </c>
      <c r="X99" t="s">
        <v>36</v>
      </c>
      <c r="Y99" t="s">
        <v>47</v>
      </c>
      <c r="Z99" t="s">
        <v>80</v>
      </c>
      <c r="AA99">
        <v>4</v>
      </c>
      <c r="AB99" t="s">
        <v>39</v>
      </c>
      <c r="AC99" t="s">
        <v>58</v>
      </c>
    </row>
    <row r="100" spans="1:29" x14ac:dyDescent="0.3">
      <c r="A100" t="s">
        <v>211</v>
      </c>
      <c r="B100" s="6">
        <v>45883</v>
      </c>
      <c r="C100" s="6" t="str">
        <f t="shared" si="6"/>
        <v>12 PM - 4 PM</v>
      </c>
      <c r="D100" s="4">
        <v>0.61736111111111114</v>
      </c>
      <c r="E100" t="s">
        <v>60</v>
      </c>
      <c r="F100" t="s">
        <v>96</v>
      </c>
      <c r="G100" t="s">
        <v>97</v>
      </c>
      <c r="H100" t="s">
        <v>26</v>
      </c>
      <c r="I100" t="s">
        <v>103</v>
      </c>
      <c r="J100" t="s">
        <v>212</v>
      </c>
      <c r="K100">
        <v>1</v>
      </c>
      <c r="L100" s="8">
        <v>4650</v>
      </c>
      <c r="M100" s="8" t="str">
        <f t="shared" si="7"/>
        <v>21-30%</v>
      </c>
      <c r="N100">
        <v>25</v>
      </c>
      <c r="O100" t="str">
        <f t="shared" si="8"/>
        <v>Valid</v>
      </c>
      <c r="P100" t="str">
        <f t="shared" si="9"/>
        <v>Match</v>
      </c>
      <c r="Q100" s="8">
        <v>4650</v>
      </c>
      <c r="R100" s="8">
        <v>1162.5</v>
      </c>
      <c r="S100" s="8">
        <v>3487.5</v>
      </c>
      <c r="T100" s="8">
        <v>3386.91</v>
      </c>
      <c r="U100" s="8">
        <v>100.59</v>
      </c>
      <c r="V100" s="8" t="b">
        <f t="shared" si="10"/>
        <v>0</v>
      </c>
      <c r="W100" s="8">
        <f t="shared" si="11"/>
        <v>0</v>
      </c>
      <c r="X100" t="s">
        <v>79</v>
      </c>
      <c r="Y100" t="s">
        <v>37</v>
      </c>
      <c r="Z100" t="s">
        <v>64</v>
      </c>
      <c r="AA100">
        <v>3.5</v>
      </c>
      <c r="AB100" t="s">
        <v>90</v>
      </c>
      <c r="AC100" t="s">
        <v>67</v>
      </c>
    </row>
    <row r="101" spans="1:29" x14ac:dyDescent="0.3">
      <c r="A101" t="s">
        <v>213</v>
      </c>
      <c r="B101" s="6">
        <v>45853</v>
      </c>
      <c r="C101" s="6" t="str">
        <f t="shared" si="6"/>
        <v>8 PM - 12 AM</v>
      </c>
      <c r="D101" s="4">
        <v>0.84930555555555554</v>
      </c>
      <c r="E101" t="s">
        <v>622</v>
      </c>
      <c r="F101" t="s">
        <v>24</v>
      </c>
      <c r="G101" t="s">
        <v>61</v>
      </c>
      <c r="H101" t="s">
        <v>43</v>
      </c>
      <c r="I101" t="s">
        <v>125</v>
      </c>
      <c r="J101" t="s">
        <v>45</v>
      </c>
      <c r="K101">
        <v>2</v>
      </c>
      <c r="L101" s="8">
        <v>24300</v>
      </c>
      <c r="M101" s="8" t="str">
        <f t="shared" si="7"/>
        <v>21-30%</v>
      </c>
      <c r="N101">
        <v>25</v>
      </c>
      <c r="O101" t="str">
        <f t="shared" si="8"/>
        <v>Valid</v>
      </c>
      <c r="P101" t="str">
        <f t="shared" si="9"/>
        <v>Match</v>
      </c>
      <c r="Q101" s="8">
        <v>48600</v>
      </c>
      <c r="R101" s="8">
        <v>12150</v>
      </c>
      <c r="S101" s="8">
        <v>36450</v>
      </c>
      <c r="T101" s="8">
        <v>28075.03</v>
      </c>
      <c r="U101" s="8">
        <v>8374.9699999999993</v>
      </c>
      <c r="V101" s="8" t="b">
        <f t="shared" si="10"/>
        <v>0</v>
      </c>
      <c r="W101" s="8">
        <f t="shared" si="11"/>
        <v>0</v>
      </c>
      <c r="X101" t="s">
        <v>79</v>
      </c>
      <c r="Y101" t="s">
        <v>65</v>
      </c>
      <c r="Z101" t="s">
        <v>38</v>
      </c>
      <c r="AA101">
        <v>2.5</v>
      </c>
      <c r="AB101" t="s">
        <v>29</v>
      </c>
      <c r="AC101" t="s">
        <v>86</v>
      </c>
    </row>
    <row r="102" spans="1:29" x14ac:dyDescent="0.3">
      <c r="A102" t="s">
        <v>214</v>
      </c>
      <c r="B102" s="6">
        <v>45884</v>
      </c>
      <c r="C102" s="6" t="str">
        <f t="shared" si="6"/>
        <v>4 PM - 8 PM</v>
      </c>
      <c r="D102" s="4">
        <v>0.8256944444444444</v>
      </c>
      <c r="E102" t="s">
        <v>622</v>
      </c>
      <c r="F102" t="s">
        <v>24</v>
      </c>
      <c r="G102" t="s">
        <v>61</v>
      </c>
      <c r="H102" t="s">
        <v>113</v>
      </c>
      <c r="I102" t="s">
        <v>54</v>
      </c>
      <c r="J102" t="s">
        <v>45</v>
      </c>
      <c r="K102">
        <v>2</v>
      </c>
      <c r="L102" s="8">
        <v>16200</v>
      </c>
      <c r="M102" s="8" t="str">
        <f t="shared" si="7"/>
        <v>11-20%</v>
      </c>
      <c r="N102">
        <v>15</v>
      </c>
      <c r="O102" t="str">
        <f t="shared" si="8"/>
        <v>Valid</v>
      </c>
      <c r="P102" t="str">
        <f t="shared" si="9"/>
        <v>Match</v>
      </c>
      <c r="Q102" s="8">
        <v>32400</v>
      </c>
      <c r="R102" s="8">
        <v>4860</v>
      </c>
      <c r="S102" s="8">
        <v>27540</v>
      </c>
      <c r="T102" s="8">
        <v>22110.93</v>
      </c>
      <c r="U102" s="8">
        <v>5429.07</v>
      </c>
      <c r="V102" s="8" t="b">
        <f t="shared" si="10"/>
        <v>0</v>
      </c>
      <c r="W102" s="8">
        <f t="shared" si="11"/>
        <v>0</v>
      </c>
      <c r="X102" t="s">
        <v>46</v>
      </c>
      <c r="Y102" t="s">
        <v>47</v>
      </c>
      <c r="Z102" t="s">
        <v>45</v>
      </c>
      <c r="AA102">
        <v>3.5</v>
      </c>
      <c r="AB102" t="s">
        <v>90</v>
      </c>
      <c r="AC102" t="s">
        <v>58</v>
      </c>
    </row>
    <row r="103" spans="1:29" x14ac:dyDescent="0.3">
      <c r="A103" t="s">
        <v>215</v>
      </c>
      <c r="B103" s="6">
        <v>45940</v>
      </c>
      <c r="C103" s="6" t="str">
        <f t="shared" si="6"/>
        <v>4 AM - 8 AM</v>
      </c>
      <c r="D103" s="4">
        <v>0.18124999999999999</v>
      </c>
      <c r="E103" t="s">
        <v>60</v>
      </c>
      <c r="F103" t="s">
        <v>96</v>
      </c>
      <c r="G103" t="s">
        <v>129</v>
      </c>
      <c r="H103" t="s">
        <v>34</v>
      </c>
      <c r="I103" t="s">
        <v>44</v>
      </c>
      <c r="J103" t="s">
        <v>64</v>
      </c>
      <c r="K103">
        <v>1</v>
      </c>
      <c r="L103" s="8">
        <v>1750</v>
      </c>
      <c r="M103" s="8" t="str">
        <f t="shared" si="7"/>
        <v>21-30%</v>
      </c>
      <c r="N103">
        <v>25</v>
      </c>
      <c r="O103" t="str">
        <f t="shared" si="8"/>
        <v>Valid</v>
      </c>
      <c r="P103" t="str">
        <f t="shared" si="9"/>
        <v>Match</v>
      </c>
      <c r="Q103" s="8">
        <v>1750</v>
      </c>
      <c r="R103" s="8">
        <v>437.5</v>
      </c>
      <c r="S103" s="8">
        <v>1312.5</v>
      </c>
      <c r="T103" s="8">
        <v>915.26</v>
      </c>
      <c r="U103" s="8">
        <v>397.24</v>
      </c>
      <c r="V103" s="8" t="b">
        <f t="shared" si="10"/>
        <v>0</v>
      </c>
      <c r="W103" s="8">
        <f t="shared" si="11"/>
        <v>0</v>
      </c>
      <c r="X103" t="s">
        <v>55</v>
      </c>
      <c r="Y103" t="s">
        <v>104</v>
      </c>
      <c r="Z103" t="s">
        <v>45</v>
      </c>
      <c r="AA103">
        <v>3.5</v>
      </c>
      <c r="AB103" t="s">
        <v>57</v>
      </c>
      <c r="AC103" t="s">
        <v>58</v>
      </c>
    </row>
    <row r="104" spans="1:29" x14ac:dyDescent="0.3">
      <c r="A104" t="s">
        <v>216</v>
      </c>
      <c r="B104" s="6">
        <v>45821</v>
      </c>
      <c r="C104" s="6" t="str">
        <f t="shared" si="6"/>
        <v>8 PM - 12 AM</v>
      </c>
      <c r="D104" s="4">
        <v>0.88055555555555554</v>
      </c>
      <c r="E104" t="s">
        <v>32</v>
      </c>
      <c r="F104" t="s">
        <v>51</v>
      </c>
      <c r="G104" t="s">
        <v>52</v>
      </c>
      <c r="H104" t="s">
        <v>53</v>
      </c>
      <c r="I104" t="s">
        <v>125</v>
      </c>
      <c r="J104" t="s">
        <v>35</v>
      </c>
      <c r="K104">
        <v>2</v>
      </c>
      <c r="L104" s="8">
        <v>37600</v>
      </c>
      <c r="M104" s="8" t="str">
        <f t="shared" si="7"/>
        <v>11-20%</v>
      </c>
      <c r="N104">
        <v>20</v>
      </c>
      <c r="O104" t="str">
        <f t="shared" si="8"/>
        <v>Valid</v>
      </c>
      <c r="P104" t="str">
        <f t="shared" si="9"/>
        <v>Match</v>
      </c>
      <c r="Q104" s="8">
        <v>75200</v>
      </c>
      <c r="R104" s="8">
        <v>15040</v>
      </c>
      <c r="S104" s="8">
        <v>60160</v>
      </c>
      <c r="T104" s="8">
        <v>45789.4</v>
      </c>
      <c r="U104" s="8">
        <v>14370.6</v>
      </c>
      <c r="V104" s="8" t="b">
        <f t="shared" si="10"/>
        <v>0</v>
      </c>
      <c r="W104" s="8">
        <f t="shared" si="11"/>
        <v>0</v>
      </c>
      <c r="X104" t="s">
        <v>28</v>
      </c>
      <c r="Y104" t="s">
        <v>104</v>
      </c>
      <c r="Z104" t="s">
        <v>64</v>
      </c>
      <c r="AA104">
        <v>4</v>
      </c>
      <c r="AB104" t="s">
        <v>48</v>
      </c>
      <c r="AC104" t="s">
        <v>58</v>
      </c>
    </row>
    <row r="105" spans="1:29" x14ac:dyDescent="0.3">
      <c r="A105" t="s">
        <v>217</v>
      </c>
      <c r="B105" s="6">
        <v>45953</v>
      </c>
      <c r="C105" s="6" t="str">
        <f t="shared" si="6"/>
        <v>8 AM - 12 PM</v>
      </c>
      <c r="D105" s="4">
        <v>0.47361111111111109</v>
      </c>
      <c r="E105" t="s">
        <v>622</v>
      </c>
      <c r="F105" t="s">
        <v>24</v>
      </c>
      <c r="G105" t="s">
        <v>110</v>
      </c>
      <c r="H105" t="s">
        <v>43</v>
      </c>
      <c r="I105" t="s">
        <v>98</v>
      </c>
      <c r="J105" t="s">
        <v>35</v>
      </c>
      <c r="K105">
        <v>3</v>
      </c>
      <c r="L105" s="8">
        <v>2800</v>
      </c>
      <c r="M105" s="8" t="str">
        <f t="shared" si="7"/>
        <v>1-10%</v>
      </c>
      <c r="N105">
        <v>5</v>
      </c>
      <c r="O105" t="str">
        <f t="shared" si="8"/>
        <v>Valid</v>
      </c>
      <c r="P105" t="str">
        <f t="shared" si="9"/>
        <v>Match</v>
      </c>
      <c r="Q105" s="8">
        <v>8400</v>
      </c>
      <c r="R105" s="8">
        <v>420</v>
      </c>
      <c r="S105" s="8">
        <v>7980</v>
      </c>
      <c r="T105" s="8">
        <v>4493.96</v>
      </c>
      <c r="U105" s="8">
        <v>3486.04</v>
      </c>
      <c r="V105" s="8" t="b">
        <f t="shared" si="10"/>
        <v>0</v>
      </c>
      <c r="W105" s="8">
        <f t="shared" si="11"/>
        <v>0</v>
      </c>
      <c r="X105" t="s">
        <v>79</v>
      </c>
      <c r="Y105" t="s">
        <v>94</v>
      </c>
      <c r="Z105" t="s">
        <v>38</v>
      </c>
      <c r="AA105">
        <v>4</v>
      </c>
      <c r="AB105" t="s">
        <v>57</v>
      </c>
      <c r="AC105" t="s">
        <v>67</v>
      </c>
    </row>
    <row r="106" spans="1:29" x14ac:dyDescent="0.3">
      <c r="A106" t="s">
        <v>218</v>
      </c>
      <c r="B106" s="6">
        <v>45707</v>
      </c>
      <c r="C106" s="6" t="str">
        <f t="shared" si="6"/>
        <v>4 AM - 8 AM</v>
      </c>
      <c r="D106" s="4">
        <v>0.18055555555555555</v>
      </c>
      <c r="E106" t="s">
        <v>108</v>
      </c>
      <c r="F106" t="s">
        <v>51</v>
      </c>
      <c r="G106" t="s">
        <v>140</v>
      </c>
      <c r="H106" t="s">
        <v>26</v>
      </c>
      <c r="I106" t="s">
        <v>63</v>
      </c>
      <c r="J106" t="s">
        <v>64</v>
      </c>
      <c r="K106">
        <v>1</v>
      </c>
      <c r="L106" s="8">
        <v>5750</v>
      </c>
      <c r="M106" s="8" t="str">
        <f t="shared" si="7"/>
        <v>21-30%</v>
      </c>
      <c r="N106">
        <v>30</v>
      </c>
      <c r="O106" t="str">
        <f t="shared" si="8"/>
        <v>Valid</v>
      </c>
      <c r="P106" t="str">
        <f t="shared" si="9"/>
        <v>Match</v>
      </c>
      <c r="Q106" s="8">
        <v>5750</v>
      </c>
      <c r="R106" s="8">
        <v>1725</v>
      </c>
      <c r="S106" s="8">
        <v>4025</v>
      </c>
      <c r="T106" s="8">
        <v>3683.23</v>
      </c>
      <c r="U106" s="8">
        <v>341.77</v>
      </c>
      <c r="V106" s="8" t="b">
        <f t="shared" si="10"/>
        <v>0</v>
      </c>
      <c r="W106" s="8">
        <f t="shared" si="11"/>
        <v>0</v>
      </c>
      <c r="X106" t="s">
        <v>28</v>
      </c>
      <c r="Y106" t="s">
        <v>65</v>
      </c>
      <c r="Z106" t="s">
        <v>38</v>
      </c>
      <c r="AA106">
        <v>3</v>
      </c>
      <c r="AB106" t="s">
        <v>66</v>
      </c>
      <c r="AC106" t="s">
        <v>40</v>
      </c>
    </row>
    <row r="107" spans="1:29" x14ac:dyDescent="0.3">
      <c r="A107" t="s">
        <v>219</v>
      </c>
      <c r="B107" s="6">
        <v>46008</v>
      </c>
      <c r="C107" s="6" t="str">
        <f t="shared" si="6"/>
        <v>8 AM - 12 PM</v>
      </c>
      <c r="D107" s="4">
        <v>0.34583333333333333</v>
      </c>
      <c r="E107" t="s">
        <v>32</v>
      </c>
      <c r="F107" t="s">
        <v>24</v>
      </c>
      <c r="G107" t="s">
        <v>33</v>
      </c>
      <c r="H107" t="s">
        <v>74</v>
      </c>
      <c r="I107" t="s">
        <v>98</v>
      </c>
      <c r="J107" t="s">
        <v>64</v>
      </c>
      <c r="K107">
        <v>2</v>
      </c>
      <c r="L107" s="8">
        <v>2650</v>
      </c>
      <c r="M107" s="8" t="str">
        <f t="shared" si="7"/>
        <v>11-20%</v>
      </c>
      <c r="N107">
        <v>20</v>
      </c>
      <c r="O107" t="str">
        <f t="shared" si="8"/>
        <v>Valid</v>
      </c>
      <c r="P107" t="str">
        <f t="shared" si="9"/>
        <v>Match</v>
      </c>
      <c r="Q107" s="8">
        <v>5300</v>
      </c>
      <c r="R107" s="8">
        <v>1060</v>
      </c>
      <c r="S107" s="8">
        <v>4240</v>
      </c>
      <c r="T107" s="8">
        <v>3697.63</v>
      </c>
      <c r="U107" s="8">
        <v>542.37</v>
      </c>
      <c r="V107" s="8" t="b">
        <f t="shared" si="10"/>
        <v>0</v>
      </c>
      <c r="W107" s="8">
        <f t="shared" si="11"/>
        <v>0</v>
      </c>
      <c r="X107" t="s">
        <v>36</v>
      </c>
      <c r="Y107" t="s">
        <v>70</v>
      </c>
      <c r="Z107" t="s">
        <v>56</v>
      </c>
      <c r="AA107">
        <v>3.5</v>
      </c>
      <c r="AB107" t="s">
        <v>39</v>
      </c>
      <c r="AC107" t="s">
        <v>40</v>
      </c>
    </row>
    <row r="108" spans="1:29" x14ac:dyDescent="0.3">
      <c r="A108" t="s">
        <v>220</v>
      </c>
      <c r="B108" s="6">
        <v>45966</v>
      </c>
      <c r="C108" s="6" t="str">
        <f t="shared" si="6"/>
        <v>8 PM - 12 AM</v>
      </c>
      <c r="D108" s="4">
        <v>0.83333333333333337</v>
      </c>
      <c r="E108" t="s">
        <v>60</v>
      </c>
      <c r="F108" t="s">
        <v>96</v>
      </c>
      <c r="G108" t="s">
        <v>97</v>
      </c>
      <c r="H108" t="s">
        <v>113</v>
      </c>
      <c r="I108" t="s">
        <v>44</v>
      </c>
      <c r="J108" t="s">
        <v>35</v>
      </c>
      <c r="K108">
        <v>3</v>
      </c>
      <c r="L108" s="8">
        <v>4950</v>
      </c>
      <c r="M108" s="8" t="str">
        <f t="shared" si="7"/>
        <v>11-20%</v>
      </c>
      <c r="N108">
        <v>20</v>
      </c>
      <c r="O108" t="str">
        <f t="shared" si="8"/>
        <v>Valid</v>
      </c>
      <c r="P108" t="str">
        <f t="shared" si="9"/>
        <v>Match</v>
      </c>
      <c r="Q108" s="8">
        <v>14850</v>
      </c>
      <c r="R108" s="8">
        <v>2970</v>
      </c>
      <c r="S108" s="8">
        <v>11880</v>
      </c>
      <c r="T108" s="8">
        <v>9160.84</v>
      </c>
      <c r="U108" s="8">
        <v>2719.16</v>
      </c>
      <c r="V108" s="8" t="b">
        <f t="shared" si="10"/>
        <v>0</v>
      </c>
      <c r="W108" s="8">
        <f t="shared" si="11"/>
        <v>0</v>
      </c>
      <c r="X108" t="s">
        <v>55</v>
      </c>
      <c r="Y108" t="s">
        <v>89</v>
      </c>
      <c r="Z108" t="s">
        <v>80</v>
      </c>
      <c r="AA108">
        <v>3.5</v>
      </c>
      <c r="AB108" t="s">
        <v>75</v>
      </c>
      <c r="AC108" t="s">
        <v>40</v>
      </c>
    </row>
    <row r="109" spans="1:29" x14ac:dyDescent="0.3">
      <c r="A109" t="s">
        <v>221</v>
      </c>
      <c r="B109" s="6">
        <v>45975</v>
      </c>
      <c r="C109" s="6" t="str">
        <f t="shared" si="6"/>
        <v>8 AM - 12 PM</v>
      </c>
      <c r="D109" s="4">
        <v>0.48819444444444443</v>
      </c>
      <c r="E109" t="s">
        <v>77</v>
      </c>
      <c r="F109" t="s">
        <v>51</v>
      </c>
      <c r="G109" t="s">
        <v>101</v>
      </c>
      <c r="H109" t="s">
        <v>43</v>
      </c>
      <c r="I109" t="s">
        <v>103</v>
      </c>
      <c r="J109" t="s">
        <v>78</v>
      </c>
      <c r="K109">
        <v>2</v>
      </c>
      <c r="L109" s="8">
        <v>14550</v>
      </c>
      <c r="M109" s="8" t="str">
        <f t="shared" si="7"/>
        <v>11-20%</v>
      </c>
      <c r="N109">
        <v>15</v>
      </c>
      <c r="O109" t="str">
        <f t="shared" si="8"/>
        <v>Valid</v>
      </c>
      <c r="P109" t="str">
        <f t="shared" si="9"/>
        <v>Match</v>
      </c>
      <c r="Q109" s="8">
        <v>29100</v>
      </c>
      <c r="R109" s="8">
        <v>4365</v>
      </c>
      <c r="S109" s="8">
        <v>24735</v>
      </c>
      <c r="T109" s="8">
        <v>19540.36</v>
      </c>
      <c r="U109" s="8">
        <v>5194.6400000000003</v>
      </c>
      <c r="V109" s="8" t="b">
        <f t="shared" si="10"/>
        <v>0</v>
      </c>
      <c r="W109" s="8">
        <f t="shared" si="11"/>
        <v>0</v>
      </c>
      <c r="X109" t="s">
        <v>79</v>
      </c>
      <c r="Y109" t="s">
        <v>47</v>
      </c>
      <c r="Z109" t="s">
        <v>45</v>
      </c>
      <c r="AA109">
        <v>3</v>
      </c>
      <c r="AB109" t="s">
        <v>75</v>
      </c>
      <c r="AC109" t="s">
        <v>58</v>
      </c>
    </row>
    <row r="110" spans="1:29" x14ac:dyDescent="0.3">
      <c r="A110" t="s">
        <v>222</v>
      </c>
      <c r="B110" s="6">
        <v>45824</v>
      </c>
      <c r="C110" s="6" t="str">
        <f t="shared" si="6"/>
        <v>12 AM - 4 AM</v>
      </c>
      <c r="D110" s="4">
        <v>7.9166666666666663E-2</v>
      </c>
      <c r="E110" t="s">
        <v>60</v>
      </c>
      <c r="F110" t="s">
        <v>24</v>
      </c>
      <c r="G110" t="s">
        <v>120</v>
      </c>
      <c r="H110" t="s">
        <v>43</v>
      </c>
      <c r="I110" t="s">
        <v>82</v>
      </c>
      <c r="J110" t="s">
        <v>35</v>
      </c>
      <c r="K110">
        <v>1</v>
      </c>
      <c r="L110" s="8">
        <v>3700</v>
      </c>
      <c r="M110" s="8" t="str">
        <f t="shared" si="7"/>
        <v>1-10%</v>
      </c>
      <c r="N110">
        <v>5</v>
      </c>
      <c r="O110" t="str">
        <f t="shared" si="8"/>
        <v>Valid</v>
      </c>
      <c r="P110" t="str">
        <f t="shared" si="9"/>
        <v>Match</v>
      </c>
      <c r="Q110" s="8">
        <v>3700</v>
      </c>
      <c r="R110" s="8">
        <v>185</v>
      </c>
      <c r="S110" s="8">
        <v>3515</v>
      </c>
      <c r="T110" s="8">
        <v>2648.67</v>
      </c>
      <c r="U110" s="8">
        <v>866.33</v>
      </c>
      <c r="V110" s="8" t="b">
        <f t="shared" si="10"/>
        <v>0</v>
      </c>
      <c r="W110" s="8">
        <f t="shared" si="11"/>
        <v>0</v>
      </c>
      <c r="X110" t="s">
        <v>36</v>
      </c>
      <c r="Y110" t="s">
        <v>104</v>
      </c>
      <c r="Z110" t="s">
        <v>80</v>
      </c>
      <c r="AA110">
        <v>4</v>
      </c>
      <c r="AB110" t="s">
        <v>48</v>
      </c>
      <c r="AC110" t="s">
        <v>49</v>
      </c>
    </row>
    <row r="111" spans="1:29" x14ac:dyDescent="0.3">
      <c r="A111" t="s">
        <v>223</v>
      </c>
      <c r="B111" s="6">
        <v>45871</v>
      </c>
      <c r="C111" s="6" t="str">
        <f t="shared" si="6"/>
        <v>12 AM - 4 AM</v>
      </c>
      <c r="D111" s="4">
        <v>2.2222222222222223E-2</v>
      </c>
      <c r="E111" t="s">
        <v>108</v>
      </c>
      <c r="F111" t="s">
        <v>24</v>
      </c>
      <c r="G111" t="s">
        <v>61</v>
      </c>
      <c r="H111" t="s">
        <v>43</v>
      </c>
      <c r="I111" t="s">
        <v>125</v>
      </c>
      <c r="J111" t="s">
        <v>78</v>
      </c>
      <c r="K111">
        <v>1</v>
      </c>
      <c r="L111" s="8">
        <v>37500</v>
      </c>
      <c r="M111" s="8" t="str">
        <f t="shared" si="7"/>
        <v>21-30%</v>
      </c>
      <c r="N111">
        <v>30</v>
      </c>
      <c r="O111" t="str">
        <f t="shared" si="8"/>
        <v>Valid</v>
      </c>
      <c r="P111" t="str">
        <f t="shared" si="9"/>
        <v>Match</v>
      </c>
      <c r="Q111" s="8">
        <v>37500</v>
      </c>
      <c r="R111" s="8">
        <v>11250</v>
      </c>
      <c r="S111" s="8">
        <v>26250</v>
      </c>
      <c r="T111" s="8">
        <v>26920.82</v>
      </c>
      <c r="U111" s="8">
        <v>-670.82</v>
      </c>
      <c r="V111" s="8" t="b">
        <f t="shared" si="10"/>
        <v>1</v>
      </c>
      <c r="W111" s="8">
        <f t="shared" si="11"/>
        <v>670.82</v>
      </c>
      <c r="X111" t="s">
        <v>55</v>
      </c>
      <c r="Y111" t="s">
        <v>70</v>
      </c>
      <c r="Z111" t="s">
        <v>80</v>
      </c>
      <c r="AA111">
        <v>4.5</v>
      </c>
      <c r="AB111" t="s">
        <v>90</v>
      </c>
      <c r="AC111" t="s">
        <v>71</v>
      </c>
    </row>
    <row r="112" spans="1:29" x14ac:dyDescent="0.3">
      <c r="A112" t="s">
        <v>224</v>
      </c>
      <c r="B112" s="6">
        <v>45950</v>
      </c>
      <c r="C112" s="6" t="str">
        <f t="shared" si="6"/>
        <v>8 PM - 12 AM</v>
      </c>
      <c r="D112" s="4">
        <v>0.86041666666666672</v>
      </c>
      <c r="E112" t="s">
        <v>622</v>
      </c>
      <c r="F112" t="s">
        <v>96</v>
      </c>
      <c r="G112" t="s">
        <v>145</v>
      </c>
      <c r="H112" t="s">
        <v>62</v>
      </c>
      <c r="I112" t="s">
        <v>63</v>
      </c>
      <c r="J112" t="s">
        <v>35</v>
      </c>
      <c r="K112">
        <v>1</v>
      </c>
      <c r="L112" s="8">
        <v>2700</v>
      </c>
      <c r="M112" s="8" t="str">
        <f t="shared" si="7"/>
        <v>1-10%</v>
      </c>
      <c r="N112">
        <v>5</v>
      </c>
      <c r="O112" t="str">
        <f t="shared" si="8"/>
        <v>Valid</v>
      </c>
      <c r="P112" t="str">
        <f t="shared" si="9"/>
        <v>Match</v>
      </c>
      <c r="Q112" s="8">
        <v>2700</v>
      </c>
      <c r="R112" s="8">
        <v>135</v>
      </c>
      <c r="S112" s="8">
        <v>2565</v>
      </c>
      <c r="T112" s="8">
        <v>1698.19</v>
      </c>
      <c r="U112" s="8">
        <v>866.81</v>
      </c>
      <c r="V112" s="8" t="b">
        <f t="shared" si="10"/>
        <v>0</v>
      </c>
      <c r="W112" s="8">
        <f t="shared" si="11"/>
        <v>0</v>
      </c>
      <c r="X112" t="s">
        <v>36</v>
      </c>
      <c r="Y112" t="s">
        <v>65</v>
      </c>
      <c r="Z112" t="s">
        <v>56</v>
      </c>
      <c r="AA112">
        <v>4</v>
      </c>
      <c r="AB112" t="s">
        <v>57</v>
      </c>
      <c r="AC112" t="s">
        <v>49</v>
      </c>
    </row>
    <row r="113" spans="1:29" x14ac:dyDescent="0.3">
      <c r="A113" t="s">
        <v>225</v>
      </c>
      <c r="B113" s="6">
        <v>45865</v>
      </c>
      <c r="C113" s="6" t="str">
        <f t="shared" si="6"/>
        <v>8 AM - 12 PM</v>
      </c>
      <c r="D113" s="4">
        <v>0.44374999999999998</v>
      </c>
      <c r="E113" t="s">
        <v>77</v>
      </c>
      <c r="F113" t="s">
        <v>24</v>
      </c>
      <c r="G113" t="s">
        <v>33</v>
      </c>
      <c r="H113" t="s">
        <v>43</v>
      </c>
      <c r="I113" t="s">
        <v>63</v>
      </c>
      <c r="J113" t="s">
        <v>45</v>
      </c>
      <c r="K113">
        <v>1</v>
      </c>
      <c r="L113" s="8">
        <v>1900</v>
      </c>
      <c r="M113" s="8" t="str">
        <f t="shared" si="7"/>
        <v>21-30%</v>
      </c>
      <c r="N113">
        <v>25</v>
      </c>
      <c r="O113" t="str">
        <f t="shared" si="8"/>
        <v>Valid</v>
      </c>
      <c r="P113" t="str">
        <f t="shared" si="9"/>
        <v>Match</v>
      </c>
      <c r="Q113" s="8">
        <v>1900</v>
      </c>
      <c r="R113" s="8">
        <v>475</v>
      </c>
      <c r="S113" s="8">
        <v>1425</v>
      </c>
      <c r="T113" s="8">
        <v>1025.8</v>
      </c>
      <c r="U113" s="8">
        <v>399.2</v>
      </c>
      <c r="V113" s="8" t="b">
        <f t="shared" si="10"/>
        <v>0</v>
      </c>
      <c r="W113" s="8">
        <f t="shared" si="11"/>
        <v>0</v>
      </c>
      <c r="X113" t="s">
        <v>79</v>
      </c>
      <c r="Y113" t="s">
        <v>89</v>
      </c>
      <c r="Z113" t="s">
        <v>38</v>
      </c>
      <c r="AA113">
        <v>4</v>
      </c>
      <c r="AB113" t="s">
        <v>29</v>
      </c>
      <c r="AC113" t="s">
        <v>30</v>
      </c>
    </row>
    <row r="114" spans="1:29" x14ac:dyDescent="0.3">
      <c r="A114" t="s">
        <v>226</v>
      </c>
      <c r="B114" s="6">
        <v>45744</v>
      </c>
      <c r="C114" s="6" t="str">
        <f t="shared" si="6"/>
        <v>12 AM - 4 AM</v>
      </c>
      <c r="D114" s="4">
        <v>2.6388888888888889E-2</v>
      </c>
      <c r="E114" t="s">
        <v>622</v>
      </c>
      <c r="F114" t="s">
        <v>96</v>
      </c>
      <c r="G114" t="s">
        <v>129</v>
      </c>
      <c r="H114" t="s">
        <v>62</v>
      </c>
      <c r="I114" t="s">
        <v>98</v>
      </c>
      <c r="J114" t="s">
        <v>78</v>
      </c>
      <c r="K114">
        <v>1</v>
      </c>
      <c r="L114" s="8">
        <v>1250</v>
      </c>
      <c r="M114" s="8" t="str">
        <f t="shared" si="7"/>
        <v>21-30%</v>
      </c>
      <c r="N114">
        <v>30</v>
      </c>
      <c r="O114" t="str">
        <f t="shared" si="8"/>
        <v>Valid</v>
      </c>
      <c r="P114" t="str">
        <f t="shared" si="9"/>
        <v>Match</v>
      </c>
      <c r="Q114" s="8">
        <v>1250</v>
      </c>
      <c r="R114" s="8">
        <v>375</v>
      </c>
      <c r="S114" s="8">
        <v>875</v>
      </c>
      <c r="T114" s="8">
        <v>789.89</v>
      </c>
      <c r="U114" s="8">
        <v>85.11</v>
      </c>
      <c r="V114" s="8" t="b">
        <f t="shared" si="10"/>
        <v>0</v>
      </c>
      <c r="W114" s="8">
        <f t="shared" si="11"/>
        <v>0</v>
      </c>
      <c r="X114" t="s">
        <v>79</v>
      </c>
      <c r="Y114" t="s">
        <v>70</v>
      </c>
      <c r="Z114" t="s">
        <v>56</v>
      </c>
      <c r="AA114">
        <v>3</v>
      </c>
      <c r="AB114" t="s">
        <v>127</v>
      </c>
      <c r="AC114" t="s">
        <v>58</v>
      </c>
    </row>
    <row r="115" spans="1:29" x14ac:dyDescent="0.3">
      <c r="A115" t="s">
        <v>227</v>
      </c>
      <c r="B115" s="6">
        <v>45663</v>
      </c>
      <c r="C115" s="6" t="str">
        <f t="shared" si="6"/>
        <v>4 AM - 8 AM</v>
      </c>
      <c r="D115" s="4">
        <v>0.21736111111111112</v>
      </c>
      <c r="E115" t="s">
        <v>108</v>
      </c>
      <c r="F115" t="s">
        <v>24</v>
      </c>
      <c r="G115" t="s">
        <v>88</v>
      </c>
      <c r="H115" t="s">
        <v>113</v>
      </c>
      <c r="I115" t="s">
        <v>82</v>
      </c>
      <c r="J115" t="s">
        <v>35</v>
      </c>
      <c r="K115">
        <v>2</v>
      </c>
      <c r="L115" s="8">
        <v>4000</v>
      </c>
      <c r="M115" s="8" t="str">
        <f t="shared" si="7"/>
        <v>11-20%</v>
      </c>
      <c r="N115">
        <v>20</v>
      </c>
      <c r="O115" t="str">
        <f t="shared" si="8"/>
        <v>Valid</v>
      </c>
      <c r="P115" t="str">
        <f t="shared" si="9"/>
        <v>Match</v>
      </c>
      <c r="Q115" s="8">
        <v>8000</v>
      </c>
      <c r="R115" s="8">
        <v>1600</v>
      </c>
      <c r="S115" s="8">
        <v>6400</v>
      </c>
      <c r="T115" s="8">
        <v>5729.61</v>
      </c>
      <c r="U115" s="8">
        <v>670.39</v>
      </c>
      <c r="V115" s="8" t="b">
        <f t="shared" si="10"/>
        <v>0</v>
      </c>
      <c r="W115" s="8">
        <f t="shared" si="11"/>
        <v>0</v>
      </c>
      <c r="X115" t="s">
        <v>28</v>
      </c>
      <c r="Y115" t="s">
        <v>37</v>
      </c>
      <c r="Z115" t="s">
        <v>80</v>
      </c>
      <c r="AA115">
        <v>3</v>
      </c>
      <c r="AB115" t="s">
        <v>151</v>
      </c>
      <c r="AC115" t="s">
        <v>49</v>
      </c>
    </row>
    <row r="116" spans="1:29" x14ac:dyDescent="0.3">
      <c r="A116" t="s">
        <v>228</v>
      </c>
      <c r="B116" s="6">
        <v>45981</v>
      </c>
      <c r="C116" s="6" t="str">
        <f t="shared" si="6"/>
        <v>12 PM - 4 PM</v>
      </c>
      <c r="D116" s="4">
        <v>0.50208333333333333</v>
      </c>
      <c r="E116" t="s">
        <v>60</v>
      </c>
      <c r="F116" t="s">
        <v>96</v>
      </c>
      <c r="G116" t="s">
        <v>145</v>
      </c>
      <c r="H116" t="s">
        <v>34</v>
      </c>
      <c r="I116" t="s">
        <v>98</v>
      </c>
      <c r="J116" t="s">
        <v>35</v>
      </c>
      <c r="K116">
        <v>3</v>
      </c>
      <c r="L116" s="8">
        <v>2800</v>
      </c>
      <c r="M116" s="8" t="str">
        <f t="shared" si="7"/>
        <v>0%</v>
      </c>
      <c r="N116">
        <v>0</v>
      </c>
      <c r="O116" t="str">
        <f t="shared" si="8"/>
        <v>Valid</v>
      </c>
      <c r="P116" t="str">
        <f t="shared" si="9"/>
        <v>Match</v>
      </c>
      <c r="Q116" s="8">
        <v>8400</v>
      </c>
      <c r="R116" s="8">
        <v>0</v>
      </c>
      <c r="S116" s="8">
        <v>8400</v>
      </c>
      <c r="T116" s="8">
        <v>5539.42</v>
      </c>
      <c r="U116" s="8">
        <v>2860.58</v>
      </c>
      <c r="V116" s="8" t="b">
        <f t="shared" si="10"/>
        <v>0</v>
      </c>
      <c r="W116" s="8">
        <f t="shared" si="11"/>
        <v>0</v>
      </c>
      <c r="X116" t="s">
        <v>36</v>
      </c>
      <c r="Y116" t="s">
        <v>37</v>
      </c>
      <c r="Z116" t="s">
        <v>64</v>
      </c>
      <c r="AA116">
        <v>4</v>
      </c>
      <c r="AB116" t="s">
        <v>75</v>
      </c>
      <c r="AC116" t="s">
        <v>67</v>
      </c>
    </row>
    <row r="117" spans="1:29" x14ac:dyDescent="0.3">
      <c r="A117" t="s">
        <v>229</v>
      </c>
      <c r="B117" s="6">
        <v>45773</v>
      </c>
      <c r="C117" s="6" t="str">
        <f t="shared" si="6"/>
        <v>4 AM - 8 AM</v>
      </c>
      <c r="D117" s="4">
        <v>0.17291666666666666</v>
      </c>
      <c r="E117" t="s">
        <v>622</v>
      </c>
      <c r="F117" t="s">
        <v>24</v>
      </c>
      <c r="G117" t="s">
        <v>25</v>
      </c>
      <c r="H117" t="s">
        <v>62</v>
      </c>
      <c r="I117" t="s">
        <v>82</v>
      </c>
      <c r="J117" t="s">
        <v>35</v>
      </c>
      <c r="K117">
        <v>1</v>
      </c>
      <c r="L117" s="8">
        <v>3100</v>
      </c>
      <c r="M117" s="8" t="str">
        <f t="shared" si="7"/>
        <v>21-30%</v>
      </c>
      <c r="N117">
        <v>30</v>
      </c>
      <c r="O117" t="str">
        <f t="shared" si="8"/>
        <v>Valid</v>
      </c>
      <c r="P117" t="str">
        <f t="shared" si="9"/>
        <v>Match</v>
      </c>
      <c r="Q117" s="8">
        <v>3100</v>
      </c>
      <c r="R117" s="8">
        <v>930</v>
      </c>
      <c r="S117" s="8">
        <v>2170</v>
      </c>
      <c r="T117" s="8">
        <v>1943.64</v>
      </c>
      <c r="U117" s="8">
        <v>226.36</v>
      </c>
      <c r="V117" s="8" t="b">
        <f t="shared" si="10"/>
        <v>0</v>
      </c>
      <c r="W117" s="8">
        <f t="shared" si="11"/>
        <v>0</v>
      </c>
      <c r="X117" t="s">
        <v>230</v>
      </c>
      <c r="Y117" t="s">
        <v>94</v>
      </c>
      <c r="Z117" t="s">
        <v>80</v>
      </c>
      <c r="AA117">
        <v>4.5</v>
      </c>
      <c r="AB117" t="s">
        <v>99</v>
      </c>
      <c r="AC117" t="s">
        <v>71</v>
      </c>
    </row>
    <row r="118" spans="1:29" x14ac:dyDescent="0.3">
      <c r="A118" t="s">
        <v>231</v>
      </c>
      <c r="B118" s="6">
        <v>45888</v>
      </c>
      <c r="C118" s="6" t="str">
        <f t="shared" si="6"/>
        <v>4 PM - 8 PM</v>
      </c>
      <c r="D118" s="4">
        <v>0.68263888888888891</v>
      </c>
      <c r="E118" t="s">
        <v>108</v>
      </c>
      <c r="F118" t="s">
        <v>24</v>
      </c>
      <c r="G118" t="s">
        <v>25</v>
      </c>
      <c r="H118" t="s">
        <v>53</v>
      </c>
      <c r="I118" t="s">
        <v>82</v>
      </c>
      <c r="J118" t="s">
        <v>35</v>
      </c>
      <c r="K118">
        <v>1</v>
      </c>
      <c r="L118" s="8">
        <v>7150</v>
      </c>
      <c r="M118" s="8" t="str">
        <f t="shared" si="7"/>
        <v>21-30%</v>
      </c>
      <c r="N118">
        <v>30</v>
      </c>
      <c r="O118" t="str">
        <f t="shared" si="8"/>
        <v>Valid</v>
      </c>
      <c r="P118" t="str">
        <f t="shared" si="9"/>
        <v>Match</v>
      </c>
      <c r="Q118" s="8">
        <v>7150</v>
      </c>
      <c r="R118" s="8">
        <v>2145</v>
      </c>
      <c r="S118" s="8">
        <v>5005</v>
      </c>
      <c r="T118" s="8">
        <v>4980.2</v>
      </c>
      <c r="U118" s="8">
        <v>24.8</v>
      </c>
      <c r="V118" s="8" t="b">
        <f t="shared" si="10"/>
        <v>0</v>
      </c>
      <c r="W118" s="8">
        <f t="shared" si="11"/>
        <v>0</v>
      </c>
      <c r="X118" t="s">
        <v>55</v>
      </c>
      <c r="Y118" t="s">
        <v>94</v>
      </c>
      <c r="Z118" t="s">
        <v>38</v>
      </c>
      <c r="AA118">
        <v>3</v>
      </c>
      <c r="AB118" t="s">
        <v>90</v>
      </c>
      <c r="AC118" t="s">
        <v>86</v>
      </c>
    </row>
    <row r="119" spans="1:29" x14ac:dyDescent="0.3">
      <c r="A119" t="s">
        <v>232</v>
      </c>
      <c r="B119" s="6">
        <v>45894</v>
      </c>
      <c r="C119" s="6" t="str">
        <f t="shared" si="6"/>
        <v>12 AM - 4 AM</v>
      </c>
      <c r="D119" s="4">
        <v>8.6805555555555552E-2</v>
      </c>
      <c r="E119" t="s">
        <v>69</v>
      </c>
      <c r="F119" t="s">
        <v>24</v>
      </c>
      <c r="G119" t="s">
        <v>42</v>
      </c>
      <c r="H119" t="s">
        <v>102</v>
      </c>
      <c r="I119" t="s">
        <v>63</v>
      </c>
      <c r="J119" t="s">
        <v>45</v>
      </c>
      <c r="K119">
        <v>1</v>
      </c>
      <c r="L119" s="8">
        <v>44800</v>
      </c>
      <c r="M119" s="8" t="str">
        <f t="shared" si="7"/>
        <v>21-30%</v>
      </c>
      <c r="N119">
        <v>25</v>
      </c>
      <c r="O119" t="str">
        <f t="shared" si="8"/>
        <v>Valid</v>
      </c>
      <c r="P119" t="str">
        <f t="shared" si="9"/>
        <v>Match</v>
      </c>
      <c r="Q119" s="8">
        <v>44800</v>
      </c>
      <c r="R119" s="8">
        <v>11200</v>
      </c>
      <c r="S119" s="8">
        <v>33600</v>
      </c>
      <c r="T119" s="8">
        <v>27871.599999999999</v>
      </c>
      <c r="U119" s="8">
        <v>5728.4</v>
      </c>
      <c r="V119" s="8" t="b">
        <f t="shared" si="10"/>
        <v>0</v>
      </c>
      <c r="W119" s="8">
        <f t="shared" si="11"/>
        <v>0</v>
      </c>
      <c r="X119" t="s">
        <v>36</v>
      </c>
      <c r="Y119" t="s">
        <v>70</v>
      </c>
      <c r="Z119" t="s">
        <v>45</v>
      </c>
      <c r="AA119">
        <v>3.5</v>
      </c>
      <c r="AB119" t="s">
        <v>90</v>
      </c>
      <c r="AC119" t="s">
        <v>49</v>
      </c>
    </row>
    <row r="120" spans="1:29" x14ac:dyDescent="0.3">
      <c r="A120" t="s">
        <v>233</v>
      </c>
      <c r="B120" s="6">
        <v>45771</v>
      </c>
      <c r="C120" s="6" t="str">
        <f t="shared" si="6"/>
        <v>12 PM - 4 PM</v>
      </c>
      <c r="D120" s="4">
        <v>0.5541666666666667</v>
      </c>
      <c r="E120" t="s">
        <v>108</v>
      </c>
      <c r="F120" t="s">
        <v>51</v>
      </c>
      <c r="G120" t="s">
        <v>101</v>
      </c>
      <c r="H120" t="s">
        <v>62</v>
      </c>
      <c r="I120" t="s">
        <v>63</v>
      </c>
      <c r="J120" t="s">
        <v>35</v>
      </c>
      <c r="K120">
        <v>2</v>
      </c>
      <c r="L120" s="8">
        <v>17600</v>
      </c>
      <c r="M120" s="8" t="str">
        <f t="shared" si="7"/>
        <v>11-20%</v>
      </c>
      <c r="N120">
        <v>20</v>
      </c>
      <c r="O120" t="str">
        <f t="shared" si="8"/>
        <v>Valid</v>
      </c>
      <c r="P120" t="str">
        <f t="shared" si="9"/>
        <v>Match</v>
      </c>
      <c r="Q120" s="8">
        <v>35200</v>
      </c>
      <c r="R120" s="8">
        <v>7040</v>
      </c>
      <c r="S120" s="8">
        <v>28160</v>
      </c>
      <c r="T120" s="8">
        <v>22212.62</v>
      </c>
      <c r="U120" s="8">
        <v>5947.38</v>
      </c>
      <c r="V120" s="8" t="b">
        <f t="shared" si="10"/>
        <v>0</v>
      </c>
      <c r="W120" s="8">
        <f t="shared" si="11"/>
        <v>0</v>
      </c>
      <c r="X120" t="s">
        <v>55</v>
      </c>
      <c r="Y120" t="s">
        <v>104</v>
      </c>
      <c r="Z120" t="s">
        <v>56</v>
      </c>
      <c r="AA120">
        <v>4</v>
      </c>
      <c r="AB120" t="s">
        <v>99</v>
      </c>
      <c r="AC120" t="s">
        <v>67</v>
      </c>
    </row>
    <row r="121" spans="1:29" x14ac:dyDescent="0.3">
      <c r="A121" t="s">
        <v>234</v>
      </c>
      <c r="B121" s="6">
        <v>45661</v>
      </c>
      <c r="C121" s="6" t="str">
        <f t="shared" si="6"/>
        <v>8 PM - 12 AM</v>
      </c>
      <c r="D121" s="4">
        <v>0.90069444444444446</v>
      </c>
      <c r="E121" t="s">
        <v>108</v>
      </c>
      <c r="F121" t="s">
        <v>24</v>
      </c>
      <c r="G121" t="s">
        <v>110</v>
      </c>
      <c r="H121" t="s">
        <v>53</v>
      </c>
      <c r="I121" t="s">
        <v>82</v>
      </c>
      <c r="J121" t="s">
        <v>78</v>
      </c>
      <c r="K121">
        <v>2</v>
      </c>
      <c r="L121" s="8">
        <v>3850</v>
      </c>
      <c r="M121" s="8" t="str">
        <f t="shared" si="7"/>
        <v>0%</v>
      </c>
      <c r="N121">
        <v>0</v>
      </c>
      <c r="O121" t="str">
        <f t="shared" si="8"/>
        <v>Valid</v>
      </c>
      <c r="P121" t="str">
        <f t="shared" si="9"/>
        <v>Match</v>
      </c>
      <c r="Q121" s="8">
        <v>7700</v>
      </c>
      <c r="R121" s="8">
        <v>0</v>
      </c>
      <c r="S121" s="8">
        <v>7700</v>
      </c>
      <c r="T121" s="8">
        <v>4107.43</v>
      </c>
      <c r="U121" s="8">
        <v>3592.57</v>
      </c>
      <c r="V121" s="8" t="b">
        <f t="shared" si="10"/>
        <v>0</v>
      </c>
      <c r="W121" s="8">
        <f t="shared" si="11"/>
        <v>0</v>
      </c>
      <c r="X121" t="s">
        <v>55</v>
      </c>
      <c r="Y121" t="s">
        <v>47</v>
      </c>
      <c r="Z121" t="s">
        <v>56</v>
      </c>
      <c r="AA121">
        <v>3</v>
      </c>
      <c r="AB121" t="s">
        <v>151</v>
      </c>
      <c r="AC121" t="s">
        <v>71</v>
      </c>
    </row>
    <row r="122" spans="1:29" x14ac:dyDescent="0.3">
      <c r="A122" t="s">
        <v>235</v>
      </c>
      <c r="B122" s="6">
        <v>45782</v>
      </c>
      <c r="C122" s="6" t="str">
        <f t="shared" si="6"/>
        <v>8 PM - 12 AM</v>
      </c>
      <c r="D122" s="4">
        <v>0.94305555555555554</v>
      </c>
      <c r="E122" t="s">
        <v>32</v>
      </c>
      <c r="F122" t="s">
        <v>24</v>
      </c>
      <c r="G122" t="s">
        <v>33</v>
      </c>
      <c r="H122" t="s">
        <v>53</v>
      </c>
      <c r="I122" t="s">
        <v>82</v>
      </c>
      <c r="J122" t="s">
        <v>85</v>
      </c>
      <c r="K122">
        <v>1</v>
      </c>
      <c r="L122" s="8">
        <v>4350</v>
      </c>
      <c r="M122" s="8" t="str">
        <f t="shared" si="7"/>
        <v>21-30%</v>
      </c>
      <c r="N122">
        <v>30</v>
      </c>
      <c r="O122" t="str">
        <f t="shared" si="8"/>
        <v>Valid</v>
      </c>
      <c r="P122" t="str">
        <f t="shared" si="9"/>
        <v>Match</v>
      </c>
      <c r="Q122" s="8">
        <v>4350</v>
      </c>
      <c r="R122" s="8">
        <v>1305</v>
      </c>
      <c r="S122" s="8">
        <v>3045</v>
      </c>
      <c r="T122" s="8">
        <v>2720.33</v>
      </c>
      <c r="U122" s="8">
        <v>324.67</v>
      </c>
      <c r="V122" s="8" t="b">
        <f t="shared" si="10"/>
        <v>0</v>
      </c>
      <c r="W122" s="8">
        <f t="shared" si="11"/>
        <v>0</v>
      </c>
      <c r="X122" t="s">
        <v>28</v>
      </c>
      <c r="Y122" t="s">
        <v>47</v>
      </c>
      <c r="Z122" t="s">
        <v>1138</v>
      </c>
      <c r="AA122">
        <v>4</v>
      </c>
      <c r="AB122" t="s">
        <v>111</v>
      </c>
      <c r="AC122" t="s">
        <v>49</v>
      </c>
    </row>
    <row r="123" spans="1:29" x14ac:dyDescent="0.3">
      <c r="A123" t="s">
        <v>236</v>
      </c>
      <c r="B123" s="6">
        <v>45761</v>
      </c>
      <c r="C123" s="6" t="str">
        <f t="shared" si="6"/>
        <v>4 PM - 8 PM</v>
      </c>
      <c r="D123" s="4">
        <v>0.80277777777777781</v>
      </c>
      <c r="E123" t="s">
        <v>60</v>
      </c>
      <c r="F123" t="s">
        <v>24</v>
      </c>
      <c r="G123" t="s">
        <v>25</v>
      </c>
      <c r="H123" t="s">
        <v>102</v>
      </c>
      <c r="I123" t="s">
        <v>98</v>
      </c>
      <c r="J123" t="s">
        <v>35</v>
      </c>
      <c r="K123">
        <v>1</v>
      </c>
      <c r="L123" s="8">
        <v>3700</v>
      </c>
      <c r="M123" s="8" t="str">
        <f t="shared" si="7"/>
        <v>11-20%</v>
      </c>
      <c r="N123">
        <v>15</v>
      </c>
      <c r="O123" t="str">
        <f t="shared" si="8"/>
        <v>Valid</v>
      </c>
      <c r="P123" t="str">
        <f t="shared" si="9"/>
        <v>Match</v>
      </c>
      <c r="Q123" s="8">
        <v>3700</v>
      </c>
      <c r="R123" s="8">
        <v>555</v>
      </c>
      <c r="S123" s="8">
        <v>3145</v>
      </c>
      <c r="T123" s="8">
        <v>2054.13</v>
      </c>
      <c r="U123" s="8">
        <v>1090.8699999999999</v>
      </c>
      <c r="V123" s="8" t="b">
        <f t="shared" si="10"/>
        <v>0</v>
      </c>
      <c r="W123" s="8">
        <f t="shared" si="11"/>
        <v>0</v>
      </c>
      <c r="X123" t="s">
        <v>28</v>
      </c>
      <c r="Y123" t="s">
        <v>37</v>
      </c>
      <c r="Z123" t="s">
        <v>38</v>
      </c>
      <c r="AA123">
        <v>3</v>
      </c>
      <c r="AB123" t="s">
        <v>99</v>
      </c>
      <c r="AC123" t="s">
        <v>49</v>
      </c>
    </row>
    <row r="124" spans="1:29" x14ac:dyDescent="0.3">
      <c r="A124" t="s">
        <v>237</v>
      </c>
      <c r="B124" s="6">
        <v>45722</v>
      </c>
      <c r="C124" s="6" t="str">
        <f t="shared" si="6"/>
        <v>4 PM - 8 PM</v>
      </c>
      <c r="D124" s="4">
        <v>0.69027777777777777</v>
      </c>
      <c r="E124" t="s">
        <v>60</v>
      </c>
      <c r="F124" t="s">
        <v>24</v>
      </c>
      <c r="G124" t="s">
        <v>33</v>
      </c>
      <c r="H124" t="s">
        <v>113</v>
      </c>
      <c r="I124" t="s">
        <v>27</v>
      </c>
      <c r="J124" t="s">
        <v>35</v>
      </c>
      <c r="K124">
        <v>1</v>
      </c>
      <c r="L124" s="8">
        <v>4050</v>
      </c>
      <c r="M124" s="8" t="str">
        <f t="shared" si="7"/>
        <v>11-20%</v>
      </c>
      <c r="N124">
        <v>20</v>
      </c>
      <c r="O124" t="str">
        <f t="shared" si="8"/>
        <v>Valid</v>
      </c>
      <c r="P124" t="str">
        <f t="shared" si="9"/>
        <v>Match</v>
      </c>
      <c r="Q124" s="8">
        <v>4050</v>
      </c>
      <c r="R124" s="8">
        <v>810</v>
      </c>
      <c r="S124" s="8">
        <v>3240</v>
      </c>
      <c r="T124" s="8">
        <v>2404.0300000000002</v>
      </c>
      <c r="U124" s="8">
        <v>835.97</v>
      </c>
      <c r="V124" s="8" t="b">
        <f t="shared" si="10"/>
        <v>0</v>
      </c>
      <c r="W124" s="8">
        <f t="shared" si="11"/>
        <v>0</v>
      </c>
      <c r="X124" t="s">
        <v>36</v>
      </c>
      <c r="Y124" t="s">
        <v>37</v>
      </c>
      <c r="Z124" t="s">
        <v>45</v>
      </c>
      <c r="AA124">
        <v>4.5</v>
      </c>
      <c r="AB124" t="s">
        <v>127</v>
      </c>
      <c r="AC124" t="s">
        <v>67</v>
      </c>
    </row>
    <row r="125" spans="1:29" x14ac:dyDescent="0.3">
      <c r="A125" t="s">
        <v>238</v>
      </c>
      <c r="B125" s="6">
        <v>45796</v>
      </c>
      <c r="C125" s="6" t="str">
        <f t="shared" si="6"/>
        <v>8 AM - 12 PM</v>
      </c>
      <c r="D125" s="4">
        <v>0.40138888888888891</v>
      </c>
      <c r="E125" t="s">
        <v>69</v>
      </c>
      <c r="F125" t="s">
        <v>96</v>
      </c>
      <c r="G125" t="s">
        <v>134</v>
      </c>
      <c r="H125" t="s">
        <v>34</v>
      </c>
      <c r="I125" t="s">
        <v>125</v>
      </c>
      <c r="J125" t="s">
        <v>35</v>
      </c>
      <c r="K125">
        <v>2</v>
      </c>
      <c r="L125" s="8">
        <v>3950</v>
      </c>
      <c r="M125" s="8" t="str">
        <f t="shared" si="7"/>
        <v>1-10%</v>
      </c>
      <c r="N125">
        <v>10</v>
      </c>
      <c r="O125" t="str">
        <f t="shared" si="8"/>
        <v>Valid</v>
      </c>
      <c r="P125" t="str">
        <f t="shared" si="9"/>
        <v>Match</v>
      </c>
      <c r="Q125" s="8">
        <v>7900</v>
      </c>
      <c r="R125" s="8">
        <v>790</v>
      </c>
      <c r="S125" s="8">
        <v>7110</v>
      </c>
      <c r="T125" s="8">
        <v>5201.41</v>
      </c>
      <c r="U125" s="8">
        <v>1908.59</v>
      </c>
      <c r="V125" s="8" t="b">
        <f t="shared" si="10"/>
        <v>0</v>
      </c>
      <c r="W125" s="8">
        <f t="shared" si="11"/>
        <v>0</v>
      </c>
      <c r="X125" t="s">
        <v>79</v>
      </c>
      <c r="Y125" t="s">
        <v>89</v>
      </c>
      <c r="Z125" t="s">
        <v>85</v>
      </c>
      <c r="AA125">
        <v>3.5</v>
      </c>
      <c r="AB125" t="s">
        <v>111</v>
      </c>
      <c r="AC125" t="s">
        <v>49</v>
      </c>
    </row>
    <row r="126" spans="1:29" x14ac:dyDescent="0.3">
      <c r="A126" t="s">
        <v>239</v>
      </c>
      <c r="B126" s="6">
        <v>45718</v>
      </c>
      <c r="C126" s="6" t="str">
        <f t="shared" si="6"/>
        <v>8 PM - 12 AM</v>
      </c>
      <c r="D126" s="4">
        <v>0.88472222222222219</v>
      </c>
      <c r="E126" t="s">
        <v>77</v>
      </c>
      <c r="F126" t="s">
        <v>51</v>
      </c>
      <c r="G126" t="s">
        <v>73</v>
      </c>
      <c r="H126" t="s">
        <v>43</v>
      </c>
      <c r="I126" t="s">
        <v>103</v>
      </c>
      <c r="J126" t="s">
        <v>93</v>
      </c>
      <c r="K126">
        <v>1</v>
      </c>
      <c r="L126" s="8">
        <v>2500</v>
      </c>
      <c r="M126" s="8" t="str">
        <f t="shared" si="7"/>
        <v>11-20%</v>
      </c>
      <c r="N126">
        <v>20</v>
      </c>
      <c r="O126" t="str">
        <f t="shared" si="8"/>
        <v>Valid</v>
      </c>
      <c r="P126" t="str">
        <f t="shared" si="9"/>
        <v>Match</v>
      </c>
      <c r="Q126" s="8">
        <v>2500</v>
      </c>
      <c r="R126" s="8">
        <v>500</v>
      </c>
      <c r="S126" s="8">
        <v>2000</v>
      </c>
      <c r="T126" s="8">
        <v>1694.52</v>
      </c>
      <c r="U126" s="8">
        <v>305.48</v>
      </c>
      <c r="V126" s="8" t="b">
        <f t="shared" si="10"/>
        <v>0</v>
      </c>
      <c r="W126" s="8">
        <f t="shared" si="11"/>
        <v>0</v>
      </c>
      <c r="X126" t="s">
        <v>28</v>
      </c>
      <c r="Y126" t="s">
        <v>70</v>
      </c>
      <c r="Z126" t="s">
        <v>80</v>
      </c>
      <c r="AA126">
        <v>5</v>
      </c>
      <c r="AB126" t="s">
        <v>127</v>
      </c>
      <c r="AC126" t="s">
        <v>30</v>
      </c>
    </row>
    <row r="127" spans="1:29" x14ac:dyDescent="0.3">
      <c r="A127" t="s">
        <v>240</v>
      </c>
      <c r="B127" s="6">
        <v>45747</v>
      </c>
      <c r="C127" s="6" t="str">
        <f t="shared" si="6"/>
        <v>12 AM - 4 AM</v>
      </c>
      <c r="D127" s="4">
        <v>0.10902777777777778</v>
      </c>
      <c r="E127" t="s">
        <v>23</v>
      </c>
      <c r="F127" t="s">
        <v>24</v>
      </c>
      <c r="G127" t="s">
        <v>33</v>
      </c>
      <c r="H127" t="s">
        <v>102</v>
      </c>
      <c r="I127" t="s">
        <v>82</v>
      </c>
      <c r="J127" t="s">
        <v>64</v>
      </c>
      <c r="K127">
        <v>2</v>
      </c>
      <c r="L127" s="8">
        <v>3200</v>
      </c>
      <c r="M127" s="8" t="str">
        <f t="shared" si="7"/>
        <v>21-30%</v>
      </c>
      <c r="N127">
        <v>25</v>
      </c>
      <c r="O127" t="str">
        <f t="shared" si="8"/>
        <v>Valid</v>
      </c>
      <c r="P127" t="str">
        <f t="shared" si="9"/>
        <v>Match</v>
      </c>
      <c r="Q127" s="8">
        <v>6400</v>
      </c>
      <c r="R127" s="8">
        <v>1600</v>
      </c>
      <c r="S127" s="8">
        <v>4800</v>
      </c>
      <c r="T127" s="8">
        <v>4176.99</v>
      </c>
      <c r="U127" s="8">
        <v>623.01</v>
      </c>
      <c r="V127" s="8" t="b">
        <f t="shared" si="10"/>
        <v>0</v>
      </c>
      <c r="W127" s="8">
        <f t="shared" si="11"/>
        <v>0</v>
      </c>
      <c r="X127" t="s">
        <v>36</v>
      </c>
      <c r="Y127" t="s">
        <v>94</v>
      </c>
      <c r="Z127" t="s">
        <v>64</v>
      </c>
      <c r="AA127">
        <v>3.5</v>
      </c>
      <c r="AB127" t="s">
        <v>127</v>
      </c>
      <c r="AC127" t="s">
        <v>49</v>
      </c>
    </row>
    <row r="128" spans="1:29" x14ac:dyDescent="0.3">
      <c r="A128" t="s">
        <v>241</v>
      </c>
      <c r="B128" s="6">
        <v>45906</v>
      </c>
      <c r="C128" s="6" t="str">
        <f t="shared" si="6"/>
        <v>8 AM - 12 PM</v>
      </c>
      <c r="D128" s="4">
        <v>0.45624999999999999</v>
      </c>
      <c r="E128" t="s">
        <v>32</v>
      </c>
      <c r="F128" t="s">
        <v>24</v>
      </c>
      <c r="G128" t="s">
        <v>120</v>
      </c>
      <c r="H128" t="s">
        <v>62</v>
      </c>
      <c r="I128" t="s">
        <v>54</v>
      </c>
      <c r="J128" t="s">
        <v>64</v>
      </c>
      <c r="K128">
        <v>1</v>
      </c>
      <c r="L128" s="8">
        <v>12850</v>
      </c>
      <c r="M128" s="8" t="str">
        <f t="shared" si="7"/>
        <v>11-20%</v>
      </c>
      <c r="N128">
        <v>20</v>
      </c>
      <c r="O128" t="str">
        <f t="shared" si="8"/>
        <v>Valid</v>
      </c>
      <c r="P128" t="str">
        <f t="shared" si="9"/>
        <v>Match</v>
      </c>
      <c r="Q128" s="8">
        <v>12850</v>
      </c>
      <c r="R128" s="8">
        <v>2570</v>
      </c>
      <c r="S128" s="8">
        <v>10280</v>
      </c>
      <c r="T128" s="8">
        <v>7051.19</v>
      </c>
      <c r="U128" s="8">
        <v>3228.81</v>
      </c>
      <c r="V128" s="8" t="b">
        <f t="shared" si="10"/>
        <v>0</v>
      </c>
      <c r="W128" s="8">
        <f t="shared" si="11"/>
        <v>0</v>
      </c>
      <c r="X128" t="s">
        <v>46</v>
      </c>
      <c r="Y128" t="s">
        <v>94</v>
      </c>
      <c r="Z128" t="s">
        <v>85</v>
      </c>
      <c r="AA128">
        <v>4</v>
      </c>
      <c r="AB128" t="s">
        <v>155</v>
      </c>
      <c r="AC128" t="s">
        <v>71</v>
      </c>
    </row>
    <row r="129" spans="1:29" x14ac:dyDescent="0.3">
      <c r="A129" t="s">
        <v>242</v>
      </c>
      <c r="B129" s="6">
        <v>45698</v>
      </c>
      <c r="C129" s="6" t="str">
        <f t="shared" si="6"/>
        <v>12 AM - 4 AM</v>
      </c>
      <c r="E129" t="s">
        <v>32</v>
      </c>
      <c r="F129" t="s">
        <v>24</v>
      </c>
      <c r="G129" t="s">
        <v>61</v>
      </c>
      <c r="H129" t="s">
        <v>102</v>
      </c>
      <c r="I129" t="s">
        <v>63</v>
      </c>
      <c r="J129" t="s">
        <v>35</v>
      </c>
      <c r="K129">
        <v>3</v>
      </c>
      <c r="L129" s="8">
        <v>11400</v>
      </c>
      <c r="M129" s="8" t="str">
        <f t="shared" si="7"/>
        <v>11-20%</v>
      </c>
      <c r="N129">
        <v>15</v>
      </c>
      <c r="O129" t="str">
        <f t="shared" si="8"/>
        <v>Valid</v>
      </c>
      <c r="P129" t="str">
        <f t="shared" si="9"/>
        <v>Match</v>
      </c>
      <c r="Q129" s="8">
        <v>34200</v>
      </c>
      <c r="R129" s="8">
        <v>5130</v>
      </c>
      <c r="S129" s="8">
        <v>29070</v>
      </c>
      <c r="T129" s="8">
        <v>18284.349999999999</v>
      </c>
      <c r="U129" s="8">
        <v>10785.65</v>
      </c>
      <c r="V129" s="8" t="b">
        <f t="shared" si="10"/>
        <v>0</v>
      </c>
      <c r="W129" s="8">
        <f t="shared" si="11"/>
        <v>0</v>
      </c>
      <c r="X129" t="s">
        <v>79</v>
      </c>
      <c r="Y129" t="s">
        <v>94</v>
      </c>
      <c r="Z129" t="s">
        <v>80</v>
      </c>
      <c r="AA129">
        <v>4</v>
      </c>
      <c r="AB129" t="s">
        <v>57</v>
      </c>
      <c r="AC129" t="s">
        <v>67</v>
      </c>
    </row>
    <row r="130" spans="1:29" x14ac:dyDescent="0.3">
      <c r="A130" t="s">
        <v>243</v>
      </c>
      <c r="B130" s="6">
        <v>45832</v>
      </c>
      <c r="C130" s="6" t="str">
        <f t="shared" ref="C130:C193" si="12">IF(D130&lt;TIME(4,0,0),"12 AM - 4 AM",IF(D130&lt;TIME(8,0,0),"4 AM - 8 AM",IF(D130&lt;TIME(12,0,0),"8 AM - 12 PM",IF(D130&lt;TIME(16,0,0),"12 PM - 4 PM",IF(D130&lt;TIME(20,0,0),"4 PM - 8 PM","8 PM - 12 AM")))))</f>
        <v>12 PM - 4 PM</v>
      </c>
      <c r="D130" s="4">
        <v>0.61319444444444449</v>
      </c>
      <c r="E130" t="s">
        <v>23</v>
      </c>
      <c r="F130" t="s">
        <v>51</v>
      </c>
      <c r="G130" t="s">
        <v>122</v>
      </c>
      <c r="H130" t="s">
        <v>74</v>
      </c>
      <c r="I130" t="s">
        <v>103</v>
      </c>
      <c r="J130" t="s">
        <v>45</v>
      </c>
      <c r="K130">
        <v>2</v>
      </c>
      <c r="L130" s="8">
        <v>2750</v>
      </c>
      <c r="M130" s="8" t="str">
        <f t="shared" ref="M130:M193" si="13">IF(N130&lt;0,"Invalid",IF(N130=0,"0%",IF(N130&lt;=10,"1-10%",IF(N130&lt;=20,"11-20%",IF(N130&lt;=30,"21-30%","30%+")))))</f>
        <v>0%</v>
      </c>
      <c r="N130">
        <v>0</v>
      </c>
      <c r="O130" t="str">
        <f t="shared" ref="O130:O193" si="14">IF(OR(N130&lt;0,N130&gt;100),"Invalid Discount","Valid")</f>
        <v>Valid</v>
      </c>
      <c r="P130" t="str">
        <f t="shared" ref="P130:P193" si="15">IF(ROUND(R130,2)=ROUND(Q130*N130/100,2),"Match","Mismatch")</f>
        <v>Match</v>
      </c>
      <c r="Q130" s="8">
        <v>5500</v>
      </c>
      <c r="R130" s="8">
        <v>0</v>
      </c>
      <c r="S130" s="8">
        <v>5500</v>
      </c>
      <c r="T130" s="8">
        <v>2908.93</v>
      </c>
      <c r="U130" s="8">
        <v>2591.0700000000002</v>
      </c>
      <c r="V130" s="8" t="b">
        <f t="shared" ref="V130:V193" si="16">IF(AND(S130-T130&lt;0,U130=S130-T130),TRUE,FALSE)</f>
        <v>0</v>
      </c>
      <c r="W130" s="8">
        <f t="shared" ref="W130:W193" si="17">IF(V130=TRUE,ABS(U130),0)</f>
        <v>0</v>
      </c>
      <c r="X130" t="s">
        <v>79</v>
      </c>
      <c r="Y130" t="s">
        <v>104</v>
      </c>
      <c r="Z130" t="s">
        <v>38</v>
      </c>
      <c r="AA130">
        <v>4.5</v>
      </c>
      <c r="AB130" t="s">
        <v>48</v>
      </c>
      <c r="AC130" t="s">
        <v>86</v>
      </c>
    </row>
    <row r="131" spans="1:29" x14ac:dyDescent="0.3">
      <c r="A131" t="s">
        <v>244</v>
      </c>
      <c r="B131" s="6">
        <v>45935</v>
      </c>
      <c r="C131" s="6" t="str">
        <f t="shared" si="12"/>
        <v>8 PM - 12 AM</v>
      </c>
      <c r="D131" s="4">
        <v>0.8354166666666667</v>
      </c>
      <c r="E131" t="s">
        <v>69</v>
      </c>
      <c r="F131" t="s">
        <v>51</v>
      </c>
      <c r="G131" t="s">
        <v>140</v>
      </c>
      <c r="H131" t="s">
        <v>53</v>
      </c>
      <c r="I131" t="s">
        <v>63</v>
      </c>
      <c r="J131" t="s">
        <v>35</v>
      </c>
      <c r="K131">
        <v>2</v>
      </c>
      <c r="L131" s="8">
        <v>2750</v>
      </c>
      <c r="M131" s="8" t="str">
        <f t="shared" si="13"/>
        <v>11-20%</v>
      </c>
      <c r="N131">
        <v>15</v>
      </c>
      <c r="O131" t="str">
        <f t="shared" si="14"/>
        <v>Valid</v>
      </c>
      <c r="P131" t="str">
        <f t="shared" si="15"/>
        <v>Match</v>
      </c>
      <c r="Q131" s="8">
        <v>5500</v>
      </c>
      <c r="R131" s="8">
        <v>825</v>
      </c>
      <c r="S131" s="8">
        <v>4675</v>
      </c>
      <c r="T131" s="8">
        <v>3082.7</v>
      </c>
      <c r="U131" s="8">
        <v>1592.3</v>
      </c>
      <c r="V131" s="8" t="b">
        <f t="shared" si="16"/>
        <v>0</v>
      </c>
      <c r="W131" s="8">
        <f t="shared" si="17"/>
        <v>0</v>
      </c>
      <c r="X131" t="s">
        <v>36</v>
      </c>
      <c r="Y131" t="s">
        <v>94</v>
      </c>
      <c r="Z131" t="s">
        <v>64</v>
      </c>
      <c r="AA131">
        <v>3</v>
      </c>
      <c r="AB131" t="s">
        <v>57</v>
      </c>
      <c r="AC131" t="s">
        <v>30</v>
      </c>
    </row>
    <row r="132" spans="1:29" x14ac:dyDescent="0.3">
      <c r="A132" t="s">
        <v>245</v>
      </c>
      <c r="B132" s="6">
        <v>45759</v>
      </c>
      <c r="C132" s="6" t="str">
        <f t="shared" si="12"/>
        <v>4 PM - 8 PM</v>
      </c>
      <c r="D132" s="4">
        <v>0.70277777777777772</v>
      </c>
      <c r="E132" t="s">
        <v>69</v>
      </c>
      <c r="F132" t="s">
        <v>96</v>
      </c>
      <c r="G132" t="s">
        <v>115</v>
      </c>
      <c r="H132" t="s">
        <v>43</v>
      </c>
      <c r="I132" t="s">
        <v>63</v>
      </c>
      <c r="J132" t="s">
        <v>64</v>
      </c>
      <c r="K132">
        <v>1</v>
      </c>
      <c r="L132" s="8">
        <v>3950</v>
      </c>
      <c r="M132" s="8" t="str">
        <f t="shared" si="13"/>
        <v>21-30%</v>
      </c>
      <c r="N132">
        <v>25</v>
      </c>
      <c r="O132" t="str">
        <f t="shared" si="14"/>
        <v>Valid</v>
      </c>
      <c r="P132" t="str">
        <f t="shared" si="15"/>
        <v>Match</v>
      </c>
      <c r="Q132" s="8">
        <v>3950</v>
      </c>
      <c r="R132" s="8">
        <v>987.5</v>
      </c>
      <c r="S132" s="8">
        <v>2962.5</v>
      </c>
      <c r="T132" s="8">
        <v>2566.84</v>
      </c>
      <c r="U132" s="8">
        <v>395.66</v>
      </c>
      <c r="V132" s="8" t="b">
        <f t="shared" si="16"/>
        <v>0</v>
      </c>
      <c r="W132" s="8">
        <f t="shared" si="17"/>
        <v>0</v>
      </c>
      <c r="X132" t="s">
        <v>28</v>
      </c>
      <c r="Y132" t="s">
        <v>89</v>
      </c>
      <c r="Z132" t="s">
        <v>1138</v>
      </c>
      <c r="AA132">
        <v>2.5</v>
      </c>
      <c r="AB132" t="s">
        <v>99</v>
      </c>
      <c r="AC132" t="s">
        <v>71</v>
      </c>
    </row>
    <row r="133" spans="1:29" x14ac:dyDescent="0.3">
      <c r="A133" t="s">
        <v>246</v>
      </c>
      <c r="B133" s="6">
        <v>45804</v>
      </c>
      <c r="C133" s="6" t="str">
        <f t="shared" si="12"/>
        <v>4 AM - 8 AM</v>
      </c>
      <c r="D133" s="4">
        <v>0.3</v>
      </c>
      <c r="E133" t="s">
        <v>32</v>
      </c>
      <c r="F133" t="s">
        <v>96</v>
      </c>
      <c r="G133" t="s">
        <v>134</v>
      </c>
      <c r="H133" t="s">
        <v>62</v>
      </c>
      <c r="I133" t="s">
        <v>54</v>
      </c>
      <c r="J133" t="s">
        <v>35</v>
      </c>
      <c r="K133">
        <v>1</v>
      </c>
      <c r="L133" s="8">
        <v>4150</v>
      </c>
      <c r="M133" s="8" t="str">
        <f t="shared" si="13"/>
        <v>11-20%</v>
      </c>
      <c r="N133">
        <v>15</v>
      </c>
      <c r="O133" t="str">
        <f t="shared" si="14"/>
        <v>Valid</v>
      </c>
      <c r="P133" t="str">
        <f t="shared" si="15"/>
        <v>Match</v>
      </c>
      <c r="Q133" s="8">
        <v>4150</v>
      </c>
      <c r="R133" s="8">
        <v>622.5</v>
      </c>
      <c r="S133" s="8">
        <v>3527.5</v>
      </c>
      <c r="T133" s="8">
        <v>2557.4499999999998</v>
      </c>
      <c r="U133" s="8">
        <v>970.05</v>
      </c>
      <c r="V133" s="8" t="b">
        <f t="shared" si="16"/>
        <v>0</v>
      </c>
      <c r="W133" s="8">
        <f t="shared" si="17"/>
        <v>0</v>
      </c>
      <c r="X133" t="s">
        <v>46</v>
      </c>
      <c r="Y133" t="s">
        <v>70</v>
      </c>
      <c r="Z133" t="s">
        <v>45</v>
      </c>
      <c r="AA133">
        <v>3</v>
      </c>
      <c r="AB133" t="s">
        <v>111</v>
      </c>
      <c r="AC133" t="s">
        <v>86</v>
      </c>
    </row>
    <row r="134" spans="1:29" x14ac:dyDescent="0.3">
      <c r="A134" t="s">
        <v>247</v>
      </c>
      <c r="B134" s="6">
        <v>45740</v>
      </c>
      <c r="C134" s="6" t="str">
        <f t="shared" si="12"/>
        <v>12 AM - 4 AM</v>
      </c>
      <c r="D134" s="4">
        <v>8.5416666666666669E-2</v>
      </c>
      <c r="E134" t="s">
        <v>622</v>
      </c>
      <c r="F134" t="s">
        <v>51</v>
      </c>
      <c r="G134" t="s">
        <v>153</v>
      </c>
      <c r="H134" t="s">
        <v>53</v>
      </c>
      <c r="I134" t="s">
        <v>63</v>
      </c>
      <c r="J134" t="s">
        <v>35</v>
      </c>
      <c r="K134">
        <v>1</v>
      </c>
      <c r="L134" s="8">
        <v>1550</v>
      </c>
      <c r="M134" s="8" t="str">
        <f t="shared" si="13"/>
        <v>21-30%</v>
      </c>
      <c r="N134">
        <v>25</v>
      </c>
      <c r="O134" t="str">
        <f t="shared" si="14"/>
        <v>Valid</v>
      </c>
      <c r="P134" t="str">
        <f t="shared" si="15"/>
        <v>Match</v>
      </c>
      <c r="Q134" s="8">
        <v>1550</v>
      </c>
      <c r="R134" s="8">
        <v>387.5</v>
      </c>
      <c r="S134" s="8">
        <v>1162.5</v>
      </c>
      <c r="T134" s="8">
        <v>891.82</v>
      </c>
      <c r="U134" s="8">
        <v>270.68</v>
      </c>
      <c r="V134" s="8" t="b">
        <f t="shared" si="16"/>
        <v>0</v>
      </c>
      <c r="W134" s="8">
        <f t="shared" si="17"/>
        <v>0</v>
      </c>
      <c r="X134" t="s">
        <v>248</v>
      </c>
      <c r="Y134" t="s">
        <v>65</v>
      </c>
      <c r="Z134" t="s">
        <v>64</v>
      </c>
      <c r="AA134">
        <v>4.5</v>
      </c>
      <c r="AB134" t="s">
        <v>127</v>
      </c>
      <c r="AC134" t="s">
        <v>49</v>
      </c>
    </row>
    <row r="135" spans="1:29" x14ac:dyDescent="0.3">
      <c r="A135" t="s">
        <v>249</v>
      </c>
      <c r="B135" s="6">
        <v>45909</v>
      </c>
      <c r="C135" s="6" t="str">
        <f t="shared" si="12"/>
        <v>4 AM - 8 AM</v>
      </c>
      <c r="D135" s="4">
        <v>0.19097222222222221</v>
      </c>
      <c r="E135" t="s">
        <v>108</v>
      </c>
      <c r="F135" t="s">
        <v>24</v>
      </c>
      <c r="G135" t="s">
        <v>25</v>
      </c>
      <c r="H135" t="s">
        <v>34</v>
      </c>
      <c r="I135" t="s">
        <v>98</v>
      </c>
      <c r="J135" t="s">
        <v>78</v>
      </c>
      <c r="K135">
        <v>1</v>
      </c>
      <c r="L135" s="8">
        <v>5500</v>
      </c>
      <c r="M135" s="8" t="str">
        <f t="shared" si="13"/>
        <v>1-10%</v>
      </c>
      <c r="N135">
        <v>5</v>
      </c>
      <c r="O135" t="str">
        <f t="shared" si="14"/>
        <v>Valid</v>
      </c>
      <c r="P135" t="str">
        <f t="shared" si="15"/>
        <v>Match</v>
      </c>
      <c r="Q135" s="8">
        <v>5500</v>
      </c>
      <c r="R135" s="8">
        <v>275</v>
      </c>
      <c r="S135" s="8">
        <v>5225</v>
      </c>
      <c r="T135" s="8">
        <v>3241.81</v>
      </c>
      <c r="U135" s="8">
        <v>1983.19</v>
      </c>
      <c r="V135" s="8" t="b">
        <f t="shared" si="16"/>
        <v>0</v>
      </c>
      <c r="W135" s="8">
        <f t="shared" si="17"/>
        <v>0</v>
      </c>
      <c r="X135" t="s">
        <v>36</v>
      </c>
      <c r="Y135" t="s">
        <v>37</v>
      </c>
      <c r="Z135" t="s">
        <v>85</v>
      </c>
      <c r="AA135">
        <v>3</v>
      </c>
      <c r="AB135" t="s">
        <v>155</v>
      </c>
      <c r="AC135" t="s">
        <v>86</v>
      </c>
    </row>
    <row r="136" spans="1:29" x14ac:dyDescent="0.3">
      <c r="A136" t="s">
        <v>250</v>
      </c>
      <c r="B136" s="6">
        <v>45925</v>
      </c>
      <c r="C136" s="6" t="str">
        <f t="shared" si="12"/>
        <v>4 AM - 8 AM</v>
      </c>
      <c r="D136" s="4">
        <v>0.23958333333333334</v>
      </c>
      <c r="E136" t="s">
        <v>23</v>
      </c>
      <c r="F136" t="s">
        <v>51</v>
      </c>
      <c r="G136" t="s">
        <v>73</v>
      </c>
      <c r="H136" t="s">
        <v>74</v>
      </c>
      <c r="I136" t="s">
        <v>44</v>
      </c>
      <c r="J136" t="s">
        <v>35</v>
      </c>
      <c r="K136">
        <v>3</v>
      </c>
      <c r="L136" s="8">
        <v>4750</v>
      </c>
      <c r="M136" s="8" t="str">
        <f t="shared" si="13"/>
        <v>1-10%</v>
      </c>
      <c r="N136">
        <v>5</v>
      </c>
      <c r="O136" t="str">
        <f t="shared" si="14"/>
        <v>Valid</v>
      </c>
      <c r="P136" t="str">
        <f t="shared" si="15"/>
        <v>Match</v>
      </c>
      <c r="Q136" s="8">
        <v>14250</v>
      </c>
      <c r="R136" s="8">
        <v>712.5</v>
      </c>
      <c r="S136" s="8">
        <v>13537.5</v>
      </c>
      <c r="T136" s="8">
        <v>7885.17</v>
      </c>
      <c r="U136" s="8">
        <v>5652.33</v>
      </c>
      <c r="V136" s="8" t="b">
        <f t="shared" si="16"/>
        <v>0</v>
      </c>
      <c r="W136" s="8">
        <f t="shared" si="17"/>
        <v>0</v>
      </c>
      <c r="X136" t="s">
        <v>28</v>
      </c>
      <c r="Y136" t="s">
        <v>89</v>
      </c>
      <c r="Z136" t="s">
        <v>45</v>
      </c>
      <c r="AA136">
        <v>4</v>
      </c>
      <c r="AB136" t="s">
        <v>155</v>
      </c>
      <c r="AC136" t="s">
        <v>67</v>
      </c>
    </row>
    <row r="137" spans="1:29" x14ac:dyDescent="0.3">
      <c r="A137" t="s">
        <v>251</v>
      </c>
      <c r="B137" s="6">
        <v>45733</v>
      </c>
      <c r="C137" s="6" t="str">
        <f t="shared" si="12"/>
        <v>8 AM - 12 PM</v>
      </c>
      <c r="D137" s="4">
        <v>0.35972222222222222</v>
      </c>
      <c r="E137" t="s">
        <v>77</v>
      </c>
      <c r="F137" t="s">
        <v>24</v>
      </c>
      <c r="G137" t="s">
        <v>42</v>
      </c>
      <c r="H137" t="s">
        <v>26</v>
      </c>
      <c r="I137" t="s">
        <v>54</v>
      </c>
      <c r="J137" t="s">
        <v>78</v>
      </c>
      <c r="K137">
        <v>1</v>
      </c>
      <c r="L137" s="8">
        <v>116600</v>
      </c>
      <c r="M137" s="8" t="str">
        <f t="shared" si="13"/>
        <v>21-30%</v>
      </c>
      <c r="N137">
        <v>25</v>
      </c>
      <c r="O137" t="str">
        <f t="shared" si="14"/>
        <v>Valid</v>
      </c>
      <c r="P137" t="str">
        <f t="shared" si="15"/>
        <v>Match</v>
      </c>
      <c r="Q137" s="8">
        <v>116600</v>
      </c>
      <c r="R137" s="8">
        <v>29150</v>
      </c>
      <c r="S137" s="8">
        <v>87450</v>
      </c>
      <c r="T137" s="8">
        <v>77707.91</v>
      </c>
      <c r="U137" s="8">
        <v>9742.09</v>
      </c>
      <c r="V137" s="8" t="b">
        <f t="shared" si="16"/>
        <v>0</v>
      </c>
      <c r="W137" s="8">
        <f t="shared" si="17"/>
        <v>0</v>
      </c>
      <c r="X137" t="s">
        <v>46</v>
      </c>
      <c r="Y137" t="s">
        <v>37</v>
      </c>
      <c r="Z137" t="s">
        <v>45</v>
      </c>
      <c r="AA137">
        <v>4.5</v>
      </c>
      <c r="AB137" t="s">
        <v>127</v>
      </c>
      <c r="AC137" t="s">
        <v>49</v>
      </c>
    </row>
    <row r="138" spans="1:29" x14ac:dyDescent="0.3">
      <c r="A138" t="s">
        <v>252</v>
      </c>
      <c r="B138" s="6">
        <v>45793</v>
      </c>
      <c r="C138" s="6" t="str">
        <f t="shared" si="12"/>
        <v>8 AM - 12 PM</v>
      </c>
      <c r="D138" s="4">
        <v>0.44374999999999998</v>
      </c>
      <c r="E138" t="s">
        <v>32</v>
      </c>
      <c r="F138" t="s">
        <v>24</v>
      </c>
      <c r="G138" t="s">
        <v>84</v>
      </c>
      <c r="H138" t="s">
        <v>53</v>
      </c>
      <c r="I138" t="s">
        <v>27</v>
      </c>
      <c r="J138" t="s">
        <v>35</v>
      </c>
      <c r="K138">
        <v>2</v>
      </c>
      <c r="L138" s="8">
        <v>15400</v>
      </c>
      <c r="M138" s="8" t="str">
        <f t="shared" si="13"/>
        <v>1-10%</v>
      </c>
      <c r="N138">
        <v>5</v>
      </c>
      <c r="O138" t="str">
        <f t="shared" si="14"/>
        <v>Valid</v>
      </c>
      <c r="P138" t="str">
        <f t="shared" si="15"/>
        <v>Match</v>
      </c>
      <c r="Q138" s="8">
        <v>30800</v>
      </c>
      <c r="R138" s="8">
        <v>1540</v>
      </c>
      <c r="S138" s="8">
        <v>29260</v>
      </c>
      <c r="T138" s="8">
        <v>16523.04</v>
      </c>
      <c r="U138" s="8">
        <v>12736.96</v>
      </c>
      <c r="V138" s="8" t="b">
        <f t="shared" si="16"/>
        <v>0</v>
      </c>
      <c r="W138" s="8">
        <f t="shared" si="17"/>
        <v>0</v>
      </c>
      <c r="X138" t="s">
        <v>79</v>
      </c>
      <c r="Y138" t="s">
        <v>65</v>
      </c>
      <c r="Z138" t="s">
        <v>64</v>
      </c>
      <c r="AA138">
        <v>5</v>
      </c>
      <c r="AB138" t="s">
        <v>111</v>
      </c>
      <c r="AC138" t="s">
        <v>58</v>
      </c>
    </row>
    <row r="139" spans="1:29" x14ac:dyDescent="0.3">
      <c r="A139" t="s">
        <v>253</v>
      </c>
      <c r="B139" s="6">
        <v>45901</v>
      </c>
      <c r="C139" s="6" t="str">
        <f t="shared" si="12"/>
        <v>12 PM - 4 PM</v>
      </c>
      <c r="D139" s="4">
        <v>0.65347222222222223</v>
      </c>
      <c r="E139" t="s">
        <v>23</v>
      </c>
      <c r="F139" t="s">
        <v>24</v>
      </c>
      <c r="G139" t="s">
        <v>84</v>
      </c>
      <c r="H139" t="s">
        <v>62</v>
      </c>
      <c r="I139" t="s">
        <v>27</v>
      </c>
      <c r="J139" t="s">
        <v>64</v>
      </c>
      <c r="K139">
        <v>2</v>
      </c>
      <c r="L139" s="8">
        <v>1950</v>
      </c>
      <c r="M139" s="8" t="str">
        <f t="shared" si="13"/>
        <v>1-10%</v>
      </c>
      <c r="N139">
        <v>5</v>
      </c>
      <c r="O139" t="str">
        <f t="shared" si="14"/>
        <v>Valid</v>
      </c>
      <c r="P139" t="str">
        <f t="shared" si="15"/>
        <v>Match</v>
      </c>
      <c r="Q139" s="8">
        <v>3900</v>
      </c>
      <c r="R139" s="8">
        <v>195</v>
      </c>
      <c r="S139" s="8">
        <v>3705</v>
      </c>
      <c r="T139" s="8">
        <v>2377.13</v>
      </c>
      <c r="U139" s="8">
        <v>1327.87</v>
      </c>
      <c r="V139" s="8" t="b">
        <f t="shared" si="16"/>
        <v>0</v>
      </c>
      <c r="W139" s="8">
        <f t="shared" si="17"/>
        <v>0</v>
      </c>
      <c r="X139" t="s">
        <v>46</v>
      </c>
      <c r="Y139" t="s">
        <v>65</v>
      </c>
      <c r="Z139" t="s">
        <v>80</v>
      </c>
      <c r="AA139">
        <v>5</v>
      </c>
      <c r="AB139" t="s">
        <v>155</v>
      </c>
      <c r="AC139" t="s">
        <v>49</v>
      </c>
    </row>
    <row r="140" spans="1:29" x14ac:dyDescent="0.3">
      <c r="A140" t="s">
        <v>254</v>
      </c>
      <c r="B140" s="6">
        <v>45941</v>
      </c>
      <c r="C140" s="6" t="str">
        <f t="shared" si="12"/>
        <v>4 AM - 8 AM</v>
      </c>
      <c r="D140" s="4">
        <v>0.21944444444444444</v>
      </c>
      <c r="E140" t="s">
        <v>77</v>
      </c>
      <c r="F140" t="s">
        <v>24</v>
      </c>
      <c r="G140" t="s">
        <v>61</v>
      </c>
      <c r="H140" t="s">
        <v>43</v>
      </c>
      <c r="I140" t="s">
        <v>63</v>
      </c>
      <c r="J140" t="s">
        <v>35</v>
      </c>
      <c r="K140">
        <v>3</v>
      </c>
      <c r="L140" s="8">
        <v>35850</v>
      </c>
      <c r="M140" s="8" t="str">
        <f t="shared" si="13"/>
        <v>11-20%</v>
      </c>
      <c r="N140">
        <v>20</v>
      </c>
      <c r="O140" t="str">
        <f t="shared" si="14"/>
        <v>Valid</v>
      </c>
      <c r="P140" t="str">
        <f t="shared" si="15"/>
        <v>Match</v>
      </c>
      <c r="Q140" s="8">
        <v>107550</v>
      </c>
      <c r="R140" s="8">
        <v>21510</v>
      </c>
      <c r="S140" s="8">
        <v>86040</v>
      </c>
      <c r="T140" s="8">
        <v>68636.63</v>
      </c>
      <c r="U140" s="8">
        <v>17403.37</v>
      </c>
      <c r="V140" s="8" t="b">
        <f t="shared" si="16"/>
        <v>0</v>
      </c>
      <c r="W140" s="8">
        <f t="shared" si="17"/>
        <v>0</v>
      </c>
      <c r="X140" t="s">
        <v>46</v>
      </c>
      <c r="Y140" t="s">
        <v>89</v>
      </c>
      <c r="Z140" t="s">
        <v>85</v>
      </c>
      <c r="AA140">
        <v>4.5</v>
      </c>
      <c r="AB140" t="s">
        <v>57</v>
      </c>
      <c r="AC140" t="s">
        <v>71</v>
      </c>
    </row>
    <row r="141" spans="1:29" x14ac:dyDescent="0.3">
      <c r="A141" t="s">
        <v>255</v>
      </c>
      <c r="B141" s="6">
        <v>45747</v>
      </c>
      <c r="C141" s="6" t="str">
        <f t="shared" si="12"/>
        <v>4 PM - 8 PM</v>
      </c>
      <c r="D141" s="4">
        <v>0.81666666666666665</v>
      </c>
      <c r="E141" t="s">
        <v>60</v>
      </c>
      <c r="F141" t="s">
        <v>51</v>
      </c>
      <c r="G141" t="s">
        <v>122</v>
      </c>
      <c r="H141" t="s">
        <v>34</v>
      </c>
      <c r="I141" t="s">
        <v>44</v>
      </c>
      <c r="J141" t="s">
        <v>35</v>
      </c>
      <c r="K141">
        <v>0</v>
      </c>
      <c r="L141" s="8">
        <v>2450</v>
      </c>
      <c r="M141" s="8" t="str">
        <f t="shared" si="13"/>
        <v>11-20%</v>
      </c>
      <c r="N141">
        <v>15</v>
      </c>
      <c r="O141" t="str">
        <f t="shared" si="14"/>
        <v>Valid</v>
      </c>
      <c r="P141" t="str">
        <f t="shared" si="15"/>
        <v>Match</v>
      </c>
      <c r="Q141" s="8">
        <v>2450</v>
      </c>
      <c r="R141" s="8">
        <v>367.5</v>
      </c>
      <c r="S141" s="8">
        <v>2082.5</v>
      </c>
      <c r="T141" s="8">
        <v>1639.07</v>
      </c>
      <c r="U141" s="8">
        <v>443.43</v>
      </c>
      <c r="V141" s="8" t="b">
        <f t="shared" si="16"/>
        <v>0</v>
      </c>
      <c r="W141" s="8">
        <f t="shared" si="17"/>
        <v>0</v>
      </c>
      <c r="X141" t="s">
        <v>28</v>
      </c>
      <c r="Y141" t="s">
        <v>94</v>
      </c>
      <c r="Z141" t="s">
        <v>80</v>
      </c>
      <c r="AA141">
        <v>4</v>
      </c>
      <c r="AB141" t="s">
        <v>127</v>
      </c>
      <c r="AC141" t="s">
        <v>49</v>
      </c>
    </row>
    <row r="142" spans="1:29" x14ac:dyDescent="0.3">
      <c r="A142" t="s">
        <v>256</v>
      </c>
      <c r="B142" s="6">
        <v>45958</v>
      </c>
      <c r="C142" s="6" t="str">
        <f t="shared" si="12"/>
        <v>4 PM - 8 PM</v>
      </c>
      <c r="D142" s="4">
        <v>0.73263888888888884</v>
      </c>
      <c r="E142" t="s">
        <v>60</v>
      </c>
      <c r="F142" t="s">
        <v>24</v>
      </c>
      <c r="G142" t="s">
        <v>61</v>
      </c>
      <c r="H142" t="s">
        <v>62</v>
      </c>
      <c r="I142" t="s">
        <v>63</v>
      </c>
      <c r="J142" t="s">
        <v>45</v>
      </c>
      <c r="K142">
        <v>1</v>
      </c>
      <c r="L142" s="8">
        <v>35300</v>
      </c>
      <c r="M142" s="8" t="str">
        <f t="shared" si="13"/>
        <v>1-10%</v>
      </c>
      <c r="N142">
        <v>5</v>
      </c>
      <c r="O142" t="str">
        <f t="shared" si="14"/>
        <v>Valid</v>
      </c>
      <c r="P142" t="str">
        <f t="shared" si="15"/>
        <v>Match</v>
      </c>
      <c r="Q142" s="8">
        <v>35300</v>
      </c>
      <c r="R142" s="8">
        <v>1765</v>
      </c>
      <c r="S142" s="8">
        <v>33535</v>
      </c>
      <c r="T142" s="8">
        <v>22676.78</v>
      </c>
      <c r="U142" s="8">
        <v>10858.22</v>
      </c>
      <c r="V142" s="8" t="b">
        <f t="shared" si="16"/>
        <v>0</v>
      </c>
      <c r="W142" s="8">
        <f t="shared" si="17"/>
        <v>0</v>
      </c>
      <c r="X142" t="s">
        <v>79</v>
      </c>
      <c r="Y142" t="s">
        <v>47</v>
      </c>
      <c r="Z142" t="s">
        <v>56</v>
      </c>
      <c r="AA142">
        <v>5</v>
      </c>
      <c r="AB142" t="s">
        <v>57</v>
      </c>
      <c r="AC142" t="s">
        <v>86</v>
      </c>
    </row>
    <row r="143" spans="1:29" x14ac:dyDescent="0.3">
      <c r="A143" t="s">
        <v>257</v>
      </c>
      <c r="B143" s="6">
        <v>45746</v>
      </c>
      <c r="C143" s="6" t="str">
        <f t="shared" si="12"/>
        <v>4 PM - 8 PM</v>
      </c>
      <c r="D143" s="4">
        <v>0.71111111111111114</v>
      </c>
      <c r="E143" t="s">
        <v>23</v>
      </c>
      <c r="F143" t="s">
        <v>96</v>
      </c>
      <c r="G143" t="s">
        <v>145</v>
      </c>
      <c r="H143" t="s">
        <v>62</v>
      </c>
      <c r="I143" t="s">
        <v>103</v>
      </c>
      <c r="J143" t="s">
        <v>35</v>
      </c>
      <c r="K143">
        <v>1</v>
      </c>
      <c r="L143" s="8">
        <v>2450</v>
      </c>
      <c r="M143" s="8" t="str">
        <f t="shared" si="13"/>
        <v>0%</v>
      </c>
      <c r="N143">
        <v>0</v>
      </c>
      <c r="O143" t="str">
        <f t="shared" si="14"/>
        <v>Valid</v>
      </c>
      <c r="P143" t="str">
        <f t="shared" si="15"/>
        <v>Match</v>
      </c>
      <c r="Q143" s="8">
        <v>2450</v>
      </c>
      <c r="R143" s="8">
        <v>0</v>
      </c>
      <c r="S143" s="8">
        <v>2450</v>
      </c>
      <c r="T143" s="8">
        <v>1358.65</v>
      </c>
      <c r="U143" s="8">
        <v>1091.3499999999999</v>
      </c>
      <c r="V143" s="8" t="b">
        <f t="shared" si="16"/>
        <v>0</v>
      </c>
      <c r="W143" s="8">
        <f t="shared" si="17"/>
        <v>0</v>
      </c>
      <c r="X143" t="s">
        <v>36</v>
      </c>
      <c r="Y143" t="s">
        <v>89</v>
      </c>
      <c r="Z143" t="s">
        <v>64</v>
      </c>
      <c r="AA143">
        <v>4</v>
      </c>
      <c r="AB143" t="s">
        <v>127</v>
      </c>
      <c r="AC143" t="s">
        <v>30</v>
      </c>
    </row>
    <row r="144" spans="1:29" x14ac:dyDescent="0.3">
      <c r="A144" t="s">
        <v>258</v>
      </c>
      <c r="B144" s="6">
        <v>45666</v>
      </c>
      <c r="C144" s="6" t="str">
        <f t="shared" si="12"/>
        <v>12 PM - 4 PM</v>
      </c>
      <c r="D144" s="4">
        <v>0.52986111111111112</v>
      </c>
      <c r="E144" t="s">
        <v>622</v>
      </c>
      <c r="F144" t="s">
        <v>51</v>
      </c>
      <c r="G144" t="s">
        <v>140</v>
      </c>
      <c r="H144" t="s">
        <v>62</v>
      </c>
      <c r="I144" t="s">
        <v>63</v>
      </c>
      <c r="J144" t="s">
        <v>35</v>
      </c>
      <c r="K144">
        <v>1</v>
      </c>
      <c r="L144" s="8">
        <v>4100</v>
      </c>
      <c r="M144" s="8" t="str">
        <f t="shared" si="13"/>
        <v>11-20%</v>
      </c>
      <c r="N144">
        <v>15</v>
      </c>
      <c r="O144" t="str">
        <f t="shared" si="14"/>
        <v>Valid</v>
      </c>
      <c r="P144" t="str">
        <f t="shared" si="15"/>
        <v>Match</v>
      </c>
      <c r="Q144" s="8">
        <v>4100</v>
      </c>
      <c r="R144" s="8">
        <v>615</v>
      </c>
      <c r="S144" s="8">
        <v>3485</v>
      </c>
      <c r="T144" s="8">
        <v>2522.59</v>
      </c>
      <c r="U144" s="8">
        <v>962.41</v>
      </c>
      <c r="V144" s="8" t="b">
        <f t="shared" si="16"/>
        <v>0</v>
      </c>
      <c r="W144" s="8">
        <f t="shared" si="17"/>
        <v>0</v>
      </c>
      <c r="X144" t="s">
        <v>248</v>
      </c>
      <c r="Y144" t="s">
        <v>89</v>
      </c>
      <c r="Z144" t="s">
        <v>80</v>
      </c>
      <c r="AA144">
        <v>5</v>
      </c>
      <c r="AB144" t="s">
        <v>151</v>
      </c>
      <c r="AC144" t="s">
        <v>67</v>
      </c>
    </row>
    <row r="145" spans="1:29" x14ac:dyDescent="0.3">
      <c r="A145" t="s">
        <v>259</v>
      </c>
      <c r="B145" s="6">
        <v>45705</v>
      </c>
      <c r="C145" s="6" t="str">
        <f t="shared" si="12"/>
        <v>8 AM - 12 PM</v>
      </c>
      <c r="D145" s="4">
        <v>0.41875000000000001</v>
      </c>
      <c r="E145" t="s">
        <v>69</v>
      </c>
      <c r="F145" t="s">
        <v>24</v>
      </c>
      <c r="G145" t="s">
        <v>25</v>
      </c>
      <c r="H145" t="s">
        <v>34</v>
      </c>
      <c r="I145" t="s">
        <v>63</v>
      </c>
      <c r="J145" t="s">
        <v>45</v>
      </c>
      <c r="K145">
        <v>2</v>
      </c>
      <c r="L145" s="8">
        <v>2000</v>
      </c>
      <c r="M145" s="8" t="str">
        <f t="shared" si="13"/>
        <v>1-10%</v>
      </c>
      <c r="N145">
        <v>5</v>
      </c>
      <c r="O145" t="str">
        <f t="shared" si="14"/>
        <v>Valid</v>
      </c>
      <c r="P145" t="str">
        <f t="shared" si="15"/>
        <v>Match</v>
      </c>
      <c r="Q145" s="8">
        <v>4000</v>
      </c>
      <c r="R145" s="8">
        <v>200</v>
      </c>
      <c r="S145" s="8">
        <v>3800</v>
      </c>
      <c r="T145" s="8">
        <v>2472.46</v>
      </c>
      <c r="U145" s="8">
        <v>1327.54</v>
      </c>
      <c r="V145" s="8" t="b">
        <f t="shared" si="16"/>
        <v>0</v>
      </c>
      <c r="W145" s="8">
        <f t="shared" si="17"/>
        <v>0</v>
      </c>
      <c r="X145" t="s">
        <v>46</v>
      </c>
      <c r="Y145" t="s">
        <v>37</v>
      </c>
      <c r="Z145" t="s">
        <v>80</v>
      </c>
      <c r="AA145">
        <v>4</v>
      </c>
      <c r="AB145" t="s">
        <v>66</v>
      </c>
      <c r="AC145" t="s">
        <v>49</v>
      </c>
    </row>
    <row r="146" spans="1:29" x14ac:dyDescent="0.3">
      <c r="A146" t="s">
        <v>260</v>
      </c>
      <c r="B146" s="6">
        <v>45795</v>
      </c>
      <c r="C146" s="6" t="str">
        <f t="shared" si="12"/>
        <v>8 AM - 12 PM</v>
      </c>
      <c r="D146" s="4">
        <v>0.49861111111111112</v>
      </c>
      <c r="E146" t="s">
        <v>60</v>
      </c>
      <c r="F146" t="s">
        <v>24</v>
      </c>
      <c r="G146" t="s">
        <v>110</v>
      </c>
      <c r="H146" t="s">
        <v>34</v>
      </c>
      <c r="I146" t="s">
        <v>82</v>
      </c>
      <c r="J146" t="s">
        <v>35</v>
      </c>
      <c r="K146">
        <v>1</v>
      </c>
      <c r="L146" s="8">
        <v>6450</v>
      </c>
      <c r="M146" s="8" t="str">
        <f t="shared" si="13"/>
        <v>1-10%</v>
      </c>
      <c r="N146">
        <v>10</v>
      </c>
      <c r="O146" t="str">
        <f t="shared" si="14"/>
        <v>Valid</v>
      </c>
      <c r="P146" t="str">
        <f t="shared" si="15"/>
        <v>Match</v>
      </c>
      <c r="Q146" s="8">
        <v>6450</v>
      </c>
      <c r="R146" s="8">
        <v>645</v>
      </c>
      <c r="S146" s="8">
        <v>5805</v>
      </c>
      <c r="T146" s="8">
        <v>3848.14</v>
      </c>
      <c r="U146" s="8">
        <v>1956.86</v>
      </c>
      <c r="V146" s="8" t="b">
        <f t="shared" si="16"/>
        <v>0</v>
      </c>
      <c r="W146" s="8">
        <f t="shared" si="17"/>
        <v>0</v>
      </c>
      <c r="X146" t="s">
        <v>46</v>
      </c>
      <c r="Y146" t="s">
        <v>104</v>
      </c>
      <c r="Z146" t="s">
        <v>56</v>
      </c>
      <c r="AA146">
        <v>5</v>
      </c>
      <c r="AB146" t="s">
        <v>111</v>
      </c>
      <c r="AC146" t="s">
        <v>30</v>
      </c>
    </row>
    <row r="147" spans="1:29" x14ac:dyDescent="0.3">
      <c r="A147" t="s">
        <v>261</v>
      </c>
      <c r="B147" s="6">
        <v>45945</v>
      </c>
      <c r="C147" s="6" t="str">
        <f t="shared" si="12"/>
        <v>12 AM - 4 AM</v>
      </c>
      <c r="D147" s="4">
        <v>0.11458333333333333</v>
      </c>
      <c r="E147" t="s">
        <v>108</v>
      </c>
      <c r="F147" t="s">
        <v>24</v>
      </c>
      <c r="G147" t="s">
        <v>110</v>
      </c>
      <c r="H147" t="s">
        <v>53</v>
      </c>
      <c r="I147" t="s">
        <v>27</v>
      </c>
      <c r="J147" t="s">
        <v>35</v>
      </c>
      <c r="K147">
        <v>1</v>
      </c>
      <c r="L147" s="8">
        <v>5600</v>
      </c>
      <c r="M147" s="8" t="str">
        <f t="shared" si="13"/>
        <v>0%</v>
      </c>
      <c r="N147">
        <v>0</v>
      </c>
      <c r="O147" t="str">
        <f t="shared" si="14"/>
        <v>Valid</v>
      </c>
      <c r="P147" t="str">
        <f t="shared" si="15"/>
        <v>Match</v>
      </c>
      <c r="Q147" s="8">
        <v>5600</v>
      </c>
      <c r="R147" s="8">
        <v>0</v>
      </c>
      <c r="S147" s="8">
        <v>5600</v>
      </c>
      <c r="T147" s="8">
        <v>3426.13</v>
      </c>
      <c r="U147" s="8">
        <v>2173.87</v>
      </c>
      <c r="V147" s="8" t="b">
        <f t="shared" si="16"/>
        <v>0</v>
      </c>
      <c r="W147" s="8">
        <f t="shared" si="17"/>
        <v>0</v>
      </c>
      <c r="X147" t="s">
        <v>79</v>
      </c>
      <c r="Y147" t="s">
        <v>104</v>
      </c>
      <c r="Z147" t="s">
        <v>64</v>
      </c>
      <c r="AA147">
        <v>4</v>
      </c>
      <c r="AB147" t="s">
        <v>57</v>
      </c>
      <c r="AC147" t="s">
        <v>40</v>
      </c>
    </row>
    <row r="148" spans="1:29" x14ac:dyDescent="0.3">
      <c r="A148" t="s">
        <v>262</v>
      </c>
      <c r="B148" s="6">
        <v>45771</v>
      </c>
      <c r="C148" s="6" t="str">
        <f t="shared" si="12"/>
        <v>4 AM - 8 AM</v>
      </c>
      <c r="D148" s="4">
        <v>0.29236111111111113</v>
      </c>
      <c r="E148" t="s">
        <v>32</v>
      </c>
      <c r="F148" t="s">
        <v>51</v>
      </c>
      <c r="G148" t="s">
        <v>140</v>
      </c>
      <c r="H148" t="s">
        <v>43</v>
      </c>
      <c r="I148" t="s">
        <v>44</v>
      </c>
      <c r="J148" t="s">
        <v>35</v>
      </c>
      <c r="K148">
        <v>2</v>
      </c>
      <c r="L148" s="8">
        <v>3300</v>
      </c>
      <c r="M148" s="8" t="str">
        <f t="shared" si="13"/>
        <v>21-30%</v>
      </c>
      <c r="N148">
        <v>25</v>
      </c>
      <c r="O148" t="str">
        <f t="shared" si="14"/>
        <v>Valid</v>
      </c>
      <c r="P148" t="str">
        <f t="shared" si="15"/>
        <v>Match</v>
      </c>
      <c r="Q148" s="8">
        <v>6600</v>
      </c>
      <c r="R148" s="8">
        <v>1650</v>
      </c>
      <c r="S148" s="8">
        <v>4950</v>
      </c>
      <c r="T148" s="8">
        <v>3893.97</v>
      </c>
      <c r="U148" s="8">
        <v>1056.03</v>
      </c>
      <c r="V148" s="8" t="b">
        <f t="shared" si="16"/>
        <v>0</v>
      </c>
      <c r="W148" s="8">
        <f t="shared" si="17"/>
        <v>0</v>
      </c>
      <c r="X148" t="s">
        <v>55</v>
      </c>
      <c r="Y148" t="s">
        <v>104</v>
      </c>
      <c r="Z148" t="s">
        <v>64</v>
      </c>
      <c r="AA148">
        <v>5</v>
      </c>
      <c r="AB148" t="s">
        <v>99</v>
      </c>
      <c r="AC148" t="s">
        <v>67</v>
      </c>
    </row>
    <row r="149" spans="1:29" x14ac:dyDescent="0.3">
      <c r="A149" t="s">
        <v>263</v>
      </c>
      <c r="B149" s="6">
        <v>45910</v>
      </c>
      <c r="C149" s="6" t="str">
        <f t="shared" si="12"/>
        <v>12 PM - 4 PM</v>
      </c>
      <c r="D149" s="4">
        <v>0.51527777777777772</v>
      </c>
      <c r="E149" t="s">
        <v>69</v>
      </c>
      <c r="F149" t="s">
        <v>51</v>
      </c>
      <c r="G149" t="s">
        <v>52</v>
      </c>
      <c r="H149" t="s">
        <v>43</v>
      </c>
      <c r="I149" t="s">
        <v>54</v>
      </c>
      <c r="J149" t="s">
        <v>35</v>
      </c>
      <c r="K149">
        <v>2</v>
      </c>
      <c r="L149" s="8">
        <v>21650</v>
      </c>
      <c r="M149" s="8" t="str">
        <f t="shared" si="13"/>
        <v>1-10%</v>
      </c>
      <c r="N149">
        <v>5</v>
      </c>
      <c r="O149" t="str">
        <f t="shared" si="14"/>
        <v>Valid</v>
      </c>
      <c r="P149" t="str">
        <f t="shared" si="15"/>
        <v>Match</v>
      </c>
      <c r="Q149" s="8">
        <v>43300</v>
      </c>
      <c r="R149" s="8">
        <v>2165</v>
      </c>
      <c r="S149" s="8">
        <v>41135</v>
      </c>
      <c r="T149" s="8">
        <v>30942.240000000002</v>
      </c>
      <c r="U149" s="8">
        <v>10192.76</v>
      </c>
      <c r="V149" s="8" t="b">
        <f t="shared" si="16"/>
        <v>0</v>
      </c>
      <c r="W149" s="8">
        <f t="shared" si="17"/>
        <v>0</v>
      </c>
      <c r="X149" t="s">
        <v>46</v>
      </c>
      <c r="Y149" t="s">
        <v>94</v>
      </c>
      <c r="Z149" t="s">
        <v>45</v>
      </c>
      <c r="AA149">
        <v>3.5</v>
      </c>
      <c r="AB149" t="s">
        <v>155</v>
      </c>
      <c r="AC149" t="s">
        <v>40</v>
      </c>
    </row>
    <row r="150" spans="1:29" x14ac:dyDescent="0.3">
      <c r="A150" t="s">
        <v>264</v>
      </c>
      <c r="B150" s="6">
        <v>45958</v>
      </c>
      <c r="C150" s="6" t="str">
        <f t="shared" si="12"/>
        <v>8 AM - 12 PM</v>
      </c>
      <c r="D150" s="4">
        <v>0.4548611111111111</v>
      </c>
      <c r="E150" t="s">
        <v>622</v>
      </c>
      <c r="F150" t="s">
        <v>51</v>
      </c>
      <c r="G150" t="s">
        <v>122</v>
      </c>
      <c r="H150" t="s">
        <v>74</v>
      </c>
      <c r="I150" t="s">
        <v>44</v>
      </c>
      <c r="J150" t="s">
        <v>78</v>
      </c>
      <c r="K150">
        <v>1</v>
      </c>
      <c r="L150" s="8">
        <v>6700</v>
      </c>
      <c r="M150" s="8" t="str">
        <f t="shared" si="13"/>
        <v>11-20%</v>
      </c>
      <c r="N150">
        <v>20</v>
      </c>
      <c r="O150" t="str">
        <f t="shared" si="14"/>
        <v>Valid</v>
      </c>
      <c r="P150" t="str">
        <f t="shared" si="15"/>
        <v>Match</v>
      </c>
      <c r="Q150" s="8">
        <v>6700</v>
      </c>
      <c r="R150" s="8">
        <v>1340</v>
      </c>
      <c r="S150" s="8">
        <v>5360</v>
      </c>
      <c r="T150" s="8">
        <v>4928.78</v>
      </c>
      <c r="U150" s="8">
        <v>431.22</v>
      </c>
      <c r="V150" s="8" t="b">
        <f t="shared" si="16"/>
        <v>0</v>
      </c>
      <c r="W150" s="8">
        <f t="shared" si="17"/>
        <v>0</v>
      </c>
      <c r="X150" t="s">
        <v>46</v>
      </c>
      <c r="Y150" t="s">
        <v>47</v>
      </c>
      <c r="Z150" t="s">
        <v>45</v>
      </c>
      <c r="AA150">
        <v>4.5</v>
      </c>
      <c r="AB150" t="s">
        <v>57</v>
      </c>
      <c r="AC150" t="s">
        <v>86</v>
      </c>
    </row>
    <row r="151" spans="1:29" x14ac:dyDescent="0.3">
      <c r="A151" t="s">
        <v>265</v>
      </c>
      <c r="B151" s="6">
        <v>45951</v>
      </c>
      <c r="C151" s="6" t="str">
        <f t="shared" si="12"/>
        <v>8 AM - 12 PM</v>
      </c>
      <c r="D151" s="4">
        <v>0.43472222222222223</v>
      </c>
      <c r="E151" t="s">
        <v>60</v>
      </c>
      <c r="F151" t="s">
        <v>24</v>
      </c>
      <c r="G151" t="s">
        <v>42</v>
      </c>
      <c r="H151" t="s">
        <v>62</v>
      </c>
      <c r="I151" t="s">
        <v>125</v>
      </c>
      <c r="J151" t="s">
        <v>78</v>
      </c>
      <c r="K151">
        <v>1</v>
      </c>
      <c r="L151" s="8">
        <v>114700</v>
      </c>
      <c r="M151" s="8" t="str">
        <f t="shared" si="13"/>
        <v>11-20%</v>
      </c>
      <c r="N151">
        <v>20</v>
      </c>
      <c r="O151" t="str">
        <f t="shared" si="14"/>
        <v>Valid</v>
      </c>
      <c r="P151" t="str">
        <f t="shared" si="15"/>
        <v>Match</v>
      </c>
      <c r="Q151" s="8">
        <v>114700</v>
      </c>
      <c r="R151" s="8">
        <v>22940</v>
      </c>
      <c r="S151" s="8">
        <v>91760</v>
      </c>
      <c r="T151" s="8">
        <v>82507.39</v>
      </c>
      <c r="U151" s="8">
        <v>9252.61</v>
      </c>
      <c r="V151" s="8" t="b">
        <f t="shared" si="16"/>
        <v>0</v>
      </c>
      <c r="W151" s="8">
        <f t="shared" si="17"/>
        <v>0</v>
      </c>
      <c r="X151" t="s">
        <v>55</v>
      </c>
      <c r="Y151" t="s">
        <v>1137</v>
      </c>
      <c r="Z151" t="s">
        <v>56</v>
      </c>
      <c r="AA151">
        <v>3.5</v>
      </c>
      <c r="AB151" t="s">
        <v>57</v>
      </c>
      <c r="AC151" t="s">
        <v>86</v>
      </c>
    </row>
    <row r="152" spans="1:29" x14ac:dyDescent="0.3">
      <c r="A152" t="s">
        <v>266</v>
      </c>
      <c r="B152" s="6">
        <v>45679</v>
      </c>
      <c r="C152" s="6" t="str">
        <f t="shared" si="12"/>
        <v>4 PM - 8 PM</v>
      </c>
      <c r="D152" s="4">
        <v>0.82430555555555551</v>
      </c>
      <c r="E152" t="s">
        <v>108</v>
      </c>
      <c r="F152" t="s">
        <v>24</v>
      </c>
      <c r="G152" t="s">
        <v>120</v>
      </c>
      <c r="H152" t="s">
        <v>62</v>
      </c>
      <c r="I152" t="s">
        <v>82</v>
      </c>
      <c r="J152" t="s">
        <v>35</v>
      </c>
      <c r="K152">
        <v>3</v>
      </c>
      <c r="L152" s="8">
        <v>13350</v>
      </c>
      <c r="M152" s="8" t="str">
        <f t="shared" si="13"/>
        <v>11-20%</v>
      </c>
      <c r="N152">
        <v>15</v>
      </c>
      <c r="O152" t="str">
        <f t="shared" si="14"/>
        <v>Valid</v>
      </c>
      <c r="P152" t="str">
        <f t="shared" si="15"/>
        <v>Match</v>
      </c>
      <c r="Q152" s="8">
        <v>40050</v>
      </c>
      <c r="R152" s="8">
        <v>6007.5</v>
      </c>
      <c r="S152" s="8">
        <v>34042.5</v>
      </c>
      <c r="T152" s="8">
        <v>24393.279999999999</v>
      </c>
      <c r="U152" s="8">
        <v>9649.2199999999993</v>
      </c>
      <c r="V152" s="8" t="b">
        <f t="shared" si="16"/>
        <v>0</v>
      </c>
      <c r="W152" s="8">
        <f t="shared" si="17"/>
        <v>0</v>
      </c>
      <c r="X152" t="s">
        <v>55</v>
      </c>
      <c r="Y152" t="s">
        <v>37</v>
      </c>
      <c r="Z152" t="s">
        <v>38</v>
      </c>
      <c r="AA152">
        <v>5</v>
      </c>
      <c r="AB152" t="s">
        <v>151</v>
      </c>
      <c r="AC152" t="s">
        <v>40</v>
      </c>
    </row>
    <row r="153" spans="1:29" x14ac:dyDescent="0.3">
      <c r="A153" t="s">
        <v>267</v>
      </c>
      <c r="B153" s="6">
        <v>45785</v>
      </c>
      <c r="C153" s="6" t="str">
        <f t="shared" si="12"/>
        <v>12 AM - 4 AM</v>
      </c>
      <c r="D153" s="4">
        <v>0.11041666666666666</v>
      </c>
      <c r="E153" t="s">
        <v>622</v>
      </c>
      <c r="F153" t="s">
        <v>51</v>
      </c>
      <c r="G153" t="s">
        <v>101</v>
      </c>
      <c r="H153" t="s">
        <v>62</v>
      </c>
      <c r="I153" t="s">
        <v>63</v>
      </c>
      <c r="J153" t="s">
        <v>93</v>
      </c>
      <c r="K153">
        <v>2</v>
      </c>
      <c r="L153" s="8">
        <v>10700</v>
      </c>
      <c r="M153" s="8" t="str">
        <f t="shared" si="13"/>
        <v>21-30%</v>
      </c>
      <c r="N153">
        <v>30</v>
      </c>
      <c r="O153" t="str">
        <f t="shared" si="14"/>
        <v>Valid</v>
      </c>
      <c r="P153" t="str">
        <f t="shared" si="15"/>
        <v>Match</v>
      </c>
      <c r="Q153" s="8">
        <v>21400</v>
      </c>
      <c r="R153" s="8">
        <v>6420</v>
      </c>
      <c r="S153" s="8">
        <v>14980</v>
      </c>
      <c r="T153" s="8">
        <v>15773.77</v>
      </c>
      <c r="U153" s="8">
        <v>-793.77</v>
      </c>
      <c r="V153" s="8" t="b">
        <f t="shared" si="16"/>
        <v>1</v>
      </c>
      <c r="W153" s="8">
        <f t="shared" si="17"/>
        <v>793.77</v>
      </c>
      <c r="X153" t="s">
        <v>230</v>
      </c>
      <c r="Y153" t="s">
        <v>104</v>
      </c>
      <c r="Z153" t="s">
        <v>38</v>
      </c>
      <c r="AA153">
        <v>3</v>
      </c>
      <c r="AB153" t="s">
        <v>111</v>
      </c>
      <c r="AC153" t="s">
        <v>67</v>
      </c>
    </row>
    <row r="154" spans="1:29" x14ac:dyDescent="0.3">
      <c r="A154" t="s">
        <v>268</v>
      </c>
      <c r="B154" s="6">
        <v>45709</v>
      </c>
      <c r="C154" s="6" t="str">
        <f t="shared" si="12"/>
        <v>12 PM - 4 PM</v>
      </c>
      <c r="D154" s="4">
        <v>0.52222222222222225</v>
      </c>
      <c r="E154" t="s">
        <v>32</v>
      </c>
      <c r="F154" t="s">
        <v>24</v>
      </c>
      <c r="G154" t="s">
        <v>120</v>
      </c>
      <c r="H154" t="s">
        <v>62</v>
      </c>
      <c r="I154" t="s">
        <v>54</v>
      </c>
      <c r="J154" t="s">
        <v>35</v>
      </c>
      <c r="K154">
        <v>1</v>
      </c>
      <c r="L154" s="8">
        <v>7150</v>
      </c>
      <c r="M154" s="8" t="str">
        <f t="shared" si="13"/>
        <v>21-30%</v>
      </c>
      <c r="N154">
        <v>25</v>
      </c>
      <c r="O154" t="str">
        <f t="shared" si="14"/>
        <v>Valid</v>
      </c>
      <c r="P154" t="str">
        <f t="shared" si="15"/>
        <v>Match</v>
      </c>
      <c r="Q154" s="8">
        <v>7150</v>
      </c>
      <c r="R154" s="8">
        <v>1787.5</v>
      </c>
      <c r="S154" s="8">
        <v>5362.5</v>
      </c>
      <c r="T154" s="8">
        <v>4721.28</v>
      </c>
      <c r="U154" s="8">
        <v>641.22</v>
      </c>
      <c r="V154" s="8" t="b">
        <f t="shared" si="16"/>
        <v>0</v>
      </c>
      <c r="W154" s="8">
        <f t="shared" si="17"/>
        <v>0</v>
      </c>
      <c r="X154" t="s">
        <v>36</v>
      </c>
      <c r="Y154" t="s">
        <v>65</v>
      </c>
      <c r="Z154" t="s">
        <v>56</v>
      </c>
      <c r="AA154">
        <v>4</v>
      </c>
      <c r="AB154" t="s">
        <v>66</v>
      </c>
      <c r="AC154" t="s">
        <v>58</v>
      </c>
    </row>
    <row r="155" spans="1:29" x14ac:dyDescent="0.3">
      <c r="A155" t="s">
        <v>269</v>
      </c>
      <c r="B155" s="6">
        <v>45859</v>
      </c>
      <c r="C155" s="6" t="str">
        <f t="shared" si="12"/>
        <v>4 AM - 8 AM</v>
      </c>
      <c r="D155" s="4">
        <v>0.27013888888888887</v>
      </c>
      <c r="E155" t="s">
        <v>108</v>
      </c>
      <c r="F155" t="s">
        <v>24</v>
      </c>
      <c r="G155" t="s">
        <v>88</v>
      </c>
      <c r="H155" t="s">
        <v>62</v>
      </c>
      <c r="I155" t="s">
        <v>92</v>
      </c>
      <c r="J155" t="s">
        <v>64</v>
      </c>
      <c r="K155">
        <v>2</v>
      </c>
      <c r="L155" s="8">
        <v>1000</v>
      </c>
      <c r="M155" s="8" t="str">
        <f t="shared" si="13"/>
        <v>1-10%</v>
      </c>
      <c r="N155">
        <v>5</v>
      </c>
      <c r="O155" t="str">
        <f t="shared" si="14"/>
        <v>Valid</v>
      </c>
      <c r="P155" t="str">
        <f t="shared" si="15"/>
        <v>Match</v>
      </c>
      <c r="Q155" s="8">
        <v>2000</v>
      </c>
      <c r="R155" s="8">
        <v>100</v>
      </c>
      <c r="S155" s="8">
        <v>1900</v>
      </c>
      <c r="T155" s="8">
        <v>1093.1300000000001</v>
      </c>
      <c r="U155" s="8">
        <v>806.87</v>
      </c>
      <c r="V155" s="8" t="b">
        <f t="shared" si="16"/>
        <v>0</v>
      </c>
      <c r="W155" s="8">
        <f t="shared" si="17"/>
        <v>0</v>
      </c>
      <c r="X155" t="s">
        <v>55</v>
      </c>
      <c r="Y155" t="s">
        <v>37</v>
      </c>
      <c r="Z155" t="s">
        <v>38</v>
      </c>
      <c r="AA155">
        <v>4</v>
      </c>
      <c r="AB155" t="s">
        <v>29</v>
      </c>
      <c r="AC155" t="s">
        <v>49</v>
      </c>
    </row>
    <row r="156" spans="1:29" x14ac:dyDescent="0.3">
      <c r="A156" t="s">
        <v>270</v>
      </c>
      <c r="B156" s="6">
        <v>45944</v>
      </c>
      <c r="C156" s="6" t="str">
        <f t="shared" si="12"/>
        <v>8 AM - 12 PM</v>
      </c>
      <c r="D156" s="4">
        <v>0.49791666666666667</v>
      </c>
      <c r="E156" t="s">
        <v>60</v>
      </c>
      <c r="F156" t="s">
        <v>24</v>
      </c>
      <c r="G156" t="s">
        <v>84</v>
      </c>
      <c r="H156" t="s">
        <v>43</v>
      </c>
      <c r="I156" t="s">
        <v>98</v>
      </c>
      <c r="J156" t="s">
        <v>35</v>
      </c>
      <c r="K156">
        <v>2</v>
      </c>
      <c r="L156" s="8">
        <v>8150</v>
      </c>
      <c r="M156" s="8" t="str">
        <f t="shared" si="13"/>
        <v>1-10%</v>
      </c>
      <c r="N156">
        <v>10</v>
      </c>
      <c r="O156" t="str">
        <f t="shared" si="14"/>
        <v>Valid</v>
      </c>
      <c r="P156" t="str">
        <f t="shared" si="15"/>
        <v>Match</v>
      </c>
      <c r="Q156" s="8">
        <v>16300</v>
      </c>
      <c r="R156" s="8">
        <v>1630</v>
      </c>
      <c r="S156" s="8">
        <v>14670</v>
      </c>
      <c r="T156" s="8">
        <v>11673.23</v>
      </c>
      <c r="U156" s="8">
        <v>2996.77</v>
      </c>
      <c r="V156" s="8" t="b">
        <f t="shared" si="16"/>
        <v>0</v>
      </c>
      <c r="W156" s="8">
        <f t="shared" si="17"/>
        <v>0</v>
      </c>
      <c r="X156" t="s">
        <v>28</v>
      </c>
      <c r="Y156" t="s">
        <v>47</v>
      </c>
      <c r="Z156" t="s">
        <v>80</v>
      </c>
      <c r="AA156">
        <v>3</v>
      </c>
      <c r="AB156" t="s">
        <v>57</v>
      </c>
      <c r="AC156" t="s">
        <v>86</v>
      </c>
    </row>
    <row r="157" spans="1:29" x14ac:dyDescent="0.3">
      <c r="A157" t="s">
        <v>271</v>
      </c>
      <c r="B157" s="6">
        <v>45796</v>
      </c>
      <c r="C157" s="6" t="str">
        <f t="shared" si="12"/>
        <v>4 AM - 8 AM</v>
      </c>
      <c r="D157" s="4">
        <v>0.21319444444444444</v>
      </c>
      <c r="E157" t="s">
        <v>108</v>
      </c>
      <c r="F157" t="s">
        <v>96</v>
      </c>
      <c r="G157" t="s">
        <v>115</v>
      </c>
      <c r="H157" t="s">
        <v>74</v>
      </c>
      <c r="I157" t="s">
        <v>103</v>
      </c>
      <c r="J157" t="s">
        <v>35</v>
      </c>
      <c r="K157">
        <v>1</v>
      </c>
      <c r="L157" s="8">
        <v>11550</v>
      </c>
      <c r="M157" s="8" t="str">
        <f t="shared" si="13"/>
        <v>21-30%</v>
      </c>
      <c r="N157">
        <v>30</v>
      </c>
      <c r="O157" t="str">
        <f t="shared" si="14"/>
        <v>Valid</v>
      </c>
      <c r="P157" t="str">
        <f t="shared" si="15"/>
        <v>Match</v>
      </c>
      <c r="Q157" s="8">
        <v>11550</v>
      </c>
      <c r="R157" s="8">
        <v>3465</v>
      </c>
      <c r="S157" s="8">
        <v>8085</v>
      </c>
      <c r="T157" s="8">
        <v>8024.64</v>
      </c>
      <c r="U157" s="8">
        <v>60.36</v>
      </c>
      <c r="V157" s="8" t="b">
        <f t="shared" si="16"/>
        <v>0</v>
      </c>
      <c r="W157" s="8">
        <f t="shared" si="17"/>
        <v>0</v>
      </c>
      <c r="X157" t="s">
        <v>79</v>
      </c>
      <c r="Y157" t="s">
        <v>94</v>
      </c>
      <c r="Z157" t="s">
        <v>45</v>
      </c>
      <c r="AA157">
        <v>3.5</v>
      </c>
      <c r="AB157" t="s">
        <v>111</v>
      </c>
      <c r="AC157" t="s">
        <v>49</v>
      </c>
    </row>
    <row r="158" spans="1:29" x14ac:dyDescent="0.3">
      <c r="A158" t="s">
        <v>272</v>
      </c>
      <c r="B158" s="6">
        <v>45916</v>
      </c>
      <c r="C158" s="6" t="str">
        <f t="shared" si="12"/>
        <v>8 AM - 12 PM</v>
      </c>
      <c r="D158" s="4">
        <v>0.35625000000000001</v>
      </c>
      <c r="E158" t="s">
        <v>77</v>
      </c>
      <c r="F158" t="s">
        <v>24</v>
      </c>
      <c r="G158" t="s">
        <v>33</v>
      </c>
      <c r="H158" t="s">
        <v>43</v>
      </c>
      <c r="I158" t="s">
        <v>82</v>
      </c>
      <c r="J158" t="s">
        <v>93</v>
      </c>
      <c r="K158">
        <v>1</v>
      </c>
      <c r="L158" s="8">
        <v>1500</v>
      </c>
      <c r="M158" s="8" t="str">
        <f t="shared" si="13"/>
        <v>21-30%</v>
      </c>
      <c r="N158">
        <v>25</v>
      </c>
      <c r="O158" t="str">
        <f t="shared" si="14"/>
        <v>Valid</v>
      </c>
      <c r="P158" t="str">
        <f t="shared" si="15"/>
        <v>Match</v>
      </c>
      <c r="Q158" s="8">
        <v>1500</v>
      </c>
      <c r="R158" s="8">
        <v>375</v>
      </c>
      <c r="S158" s="8">
        <v>1125</v>
      </c>
      <c r="T158" s="8">
        <v>1063.07</v>
      </c>
      <c r="U158" s="8">
        <v>61.93</v>
      </c>
      <c r="V158" s="8" t="b">
        <f t="shared" si="16"/>
        <v>0</v>
      </c>
      <c r="W158" s="8">
        <f t="shared" si="17"/>
        <v>0</v>
      </c>
      <c r="X158" t="s">
        <v>55</v>
      </c>
      <c r="Y158" t="s">
        <v>47</v>
      </c>
      <c r="Z158" t="s">
        <v>56</v>
      </c>
      <c r="AA158">
        <v>2.5</v>
      </c>
      <c r="AB158" t="s">
        <v>155</v>
      </c>
      <c r="AC158" t="s">
        <v>86</v>
      </c>
    </row>
    <row r="159" spans="1:29" x14ac:dyDescent="0.3">
      <c r="A159" t="s">
        <v>273</v>
      </c>
      <c r="B159" s="6">
        <v>45968</v>
      </c>
      <c r="C159" s="6" t="str">
        <f t="shared" si="12"/>
        <v>12 AM - 4 AM</v>
      </c>
      <c r="D159" s="4">
        <v>9.4444444444444442E-2</v>
      </c>
      <c r="E159" t="s">
        <v>622</v>
      </c>
      <c r="F159" t="s">
        <v>24</v>
      </c>
      <c r="G159" t="s">
        <v>25</v>
      </c>
      <c r="H159" t="s">
        <v>74</v>
      </c>
      <c r="I159" t="s">
        <v>98</v>
      </c>
      <c r="J159" t="s">
        <v>78</v>
      </c>
      <c r="K159">
        <v>1</v>
      </c>
      <c r="L159" s="8">
        <v>8500</v>
      </c>
      <c r="M159" s="8" t="str">
        <f t="shared" si="13"/>
        <v>1-10%</v>
      </c>
      <c r="N159">
        <v>10</v>
      </c>
      <c r="O159" t="str">
        <f t="shared" si="14"/>
        <v>Valid</v>
      </c>
      <c r="P159" t="str">
        <f t="shared" si="15"/>
        <v>Match</v>
      </c>
      <c r="Q159" s="8">
        <v>8500</v>
      </c>
      <c r="R159" s="8">
        <v>850</v>
      </c>
      <c r="S159" s="8">
        <v>7650</v>
      </c>
      <c r="T159" s="8">
        <v>4693.66</v>
      </c>
      <c r="U159" s="8">
        <v>2956.34</v>
      </c>
      <c r="V159" s="8" t="b">
        <f t="shared" si="16"/>
        <v>0</v>
      </c>
      <c r="W159" s="8">
        <f t="shared" si="17"/>
        <v>0</v>
      </c>
      <c r="X159" t="s">
        <v>36</v>
      </c>
      <c r="Y159" t="s">
        <v>94</v>
      </c>
      <c r="Z159" t="s">
        <v>56</v>
      </c>
      <c r="AA159">
        <v>3</v>
      </c>
      <c r="AB159" t="s">
        <v>75</v>
      </c>
      <c r="AC159" t="s">
        <v>58</v>
      </c>
    </row>
    <row r="160" spans="1:29" x14ac:dyDescent="0.3">
      <c r="A160" t="s">
        <v>274</v>
      </c>
      <c r="B160" s="6">
        <v>45780</v>
      </c>
      <c r="C160" s="6" t="str">
        <f t="shared" si="12"/>
        <v>8 AM - 12 PM</v>
      </c>
      <c r="D160" s="4">
        <v>0.44861111111111113</v>
      </c>
      <c r="E160" t="s">
        <v>622</v>
      </c>
      <c r="F160" t="s">
        <v>24</v>
      </c>
      <c r="G160" t="s">
        <v>84</v>
      </c>
      <c r="H160" t="s">
        <v>43</v>
      </c>
      <c r="I160" t="s">
        <v>98</v>
      </c>
      <c r="J160" t="s">
        <v>45</v>
      </c>
      <c r="K160">
        <v>2</v>
      </c>
      <c r="L160" s="8">
        <v>31100</v>
      </c>
      <c r="M160" s="8" t="str">
        <f t="shared" si="13"/>
        <v>1-10%</v>
      </c>
      <c r="N160">
        <v>10</v>
      </c>
      <c r="O160" t="str">
        <f t="shared" si="14"/>
        <v>Valid</v>
      </c>
      <c r="P160" t="str">
        <f t="shared" si="15"/>
        <v>Match</v>
      </c>
      <c r="Q160" s="8">
        <v>62200</v>
      </c>
      <c r="R160" s="8">
        <v>6220</v>
      </c>
      <c r="S160" s="8">
        <v>55980</v>
      </c>
      <c r="T160" s="8">
        <v>42963.01</v>
      </c>
      <c r="U160" s="8">
        <v>13016.99</v>
      </c>
      <c r="V160" s="8" t="b">
        <f t="shared" si="16"/>
        <v>0</v>
      </c>
      <c r="W160" s="8">
        <f t="shared" si="17"/>
        <v>0</v>
      </c>
      <c r="X160" t="s">
        <v>55</v>
      </c>
      <c r="Y160" t="s">
        <v>70</v>
      </c>
      <c r="Z160" t="s">
        <v>80</v>
      </c>
      <c r="AA160">
        <v>3.5</v>
      </c>
      <c r="AB160" t="s">
        <v>111</v>
      </c>
      <c r="AC160" t="s">
        <v>71</v>
      </c>
    </row>
    <row r="161" spans="1:29" x14ac:dyDescent="0.3">
      <c r="A161" t="s">
        <v>275</v>
      </c>
      <c r="B161" s="6">
        <v>45804</v>
      </c>
      <c r="C161" s="6" t="str">
        <f t="shared" si="12"/>
        <v>4 AM - 8 AM</v>
      </c>
      <c r="D161" s="4">
        <v>0.31805555555555554</v>
      </c>
      <c r="E161" t="s">
        <v>108</v>
      </c>
      <c r="F161" t="s">
        <v>51</v>
      </c>
      <c r="G161" t="s">
        <v>52</v>
      </c>
      <c r="H161" t="s">
        <v>26</v>
      </c>
      <c r="I161" t="s">
        <v>125</v>
      </c>
      <c r="J161" t="s">
        <v>35</v>
      </c>
      <c r="K161">
        <v>2</v>
      </c>
      <c r="L161" s="8">
        <v>41600</v>
      </c>
      <c r="M161" s="8" t="str">
        <f t="shared" si="13"/>
        <v>21-30%</v>
      </c>
      <c r="N161">
        <v>30</v>
      </c>
      <c r="O161" t="str">
        <f t="shared" si="14"/>
        <v>Valid</v>
      </c>
      <c r="P161" t="str">
        <f t="shared" si="15"/>
        <v>Match</v>
      </c>
      <c r="Q161" s="8">
        <v>83200</v>
      </c>
      <c r="R161" s="8">
        <v>24960</v>
      </c>
      <c r="S161" s="8">
        <v>58240</v>
      </c>
      <c r="T161" s="8">
        <v>59813.66</v>
      </c>
      <c r="U161" s="8">
        <v>-1573.66</v>
      </c>
      <c r="V161" s="8" t="b">
        <f t="shared" si="16"/>
        <v>1</v>
      </c>
      <c r="W161" s="8">
        <f t="shared" si="17"/>
        <v>1573.66</v>
      </c>
      <c r="X161" t="s">
        <v>46</v>
      </c>
      <c r="Y161" t="s">
        <v>65</v>
      </c>
      <c r="Z161" t="s">
        <v>64</v>
      </c>
      <c r="AA161">
        <v>5</v>
      </c>
      <c r="AB161" t="s">
        <v>111</v>
      </c>
      <c r="AC161" t="s">
        <v>86</v>
      </c>
    </row>
    <row r="162" spans="1:29" x14ac:dyDescent="0.3">
      <c r="A162" t="s">
        <v>276</v>
      </c>
      <c r="B162" s="6">
        <v>45829</v>
      </c>
      <c r="C162" s="6" t="str">
        <f t="shared" si="12"/>
        <v>4 PM - 8 PM</v>
      </c>
      <c r="D162" s="4">
        <v>0.78819444444444442</v>
      </c>
      <c r="E162" t="s">
        <v>32</v>
      </c>
      <c r="F162" t="s">
        <v>24</v>
      </c>
      <c r="G162" t="s">
        <v>84</v>
      </c>
      <c r="H162" t="s">
        <v>62</v>
      </c>
      <c r="I162" t="s">
        <v>63</v>
      </c>
      <c r="J162" t="s">
        <v>93</v>
      </c>
      <c r="K162">
        <v>1</v>
      </c>
      <c r="L162" s="8">
        <v>14350</v>
      </c>
      <c r="M162" s="8" t="str">
        <f t="shared" si="13"/>
        <v>21-30%</v>
      </c>
      <c r="N162">
        <v>30</v>
      </c>
      <c r="O162" t="str">
        <f t="shared" si="14"/>
        <v>Valid</v>
      </c>
      <c r="P162" t="str">
        <f t="shared" si="15"/>
        <v>Match</v>
      </c>
      <c r="Q162" s="8">
        <v>14350</v>
      </c>
      <c r="R162" s="8">
        <v>4305</v>
      </c>
      <c r="S162" s="8">
        <v>10045</v>
      </c>
      <c r="T162" s="8">
        <v>8001.48</v>
      </c>
      <c r="U162" s="8">
        <v>2043.52</v>
      </c>
      <c r="V162" s="8" t="b">
        <f t="shared" si="16"/>
        <v>0</v>
      </c>
      <c r="W162" s="8">
        <f t="shared" si="17"/>
        <v>0</v>
      </c>
      <c r="X162" t="s">
        <v>28</v>
      </c>
      <c r="Y162" t="s">
        <v>89</v>
      </c>
      <c r="Z162" t="s">
        <v>56</v>
      </c>
      <c r="AA162">
        <v>3.5</v>
      </c>
      <c r="AB162" t="s">
        <v>48</v>
      </c>
      <c r="AC162" t="s">
        <v>71</v>
      </c>
    </row>
    <row r="163" spans="1:29" x14ac:dyDescent="0.3">
      <c r="A163" t="s">
        <v>277</v>
      </c>
      <c r="B163" s="6">
        <v>45698</v>
      </c>
      <c r="C163" s="6" t="str">
        <f t="shared" si="12"/>
        <v>8 AM - 12 PM</v>
      </c>
      <c r="D163" s="4">
        <v>0.47569444444444442</v>
      </c>
      <c r="E163" t="s">
        <v>77</v>
      </c>
      <c r="F163" t="s">
        <v>24</v>
      </c>
      <c r="G163" t="s">
        <v>110</v>
      </c>
      <c r="H163" t="s">
        <v>26</v>
      </c>
      <c r="I163" t="s">
        <v>98</v>
      </c>
      <c r="J163" t="s">
        <v>35</v>
      </c>
      <c r="K163">
        <v>1</v>
      </c>
      <c r="L163" s="8">
        <v>6800</v>
      </c>
      <c r="M163" s="8" t="str">
        <f t="shared" si="13"/>
        <v>21-30%</v>
      </c>
      <c r="N163">
        <v>30</v>
      </c>
      <c r="O163" t="str">
        <f t="shared" si="14"/>
        <v>Valid</v>
      </c>
      <c r="P163" t="str">
        <f t="shared" si="15"/>
        <v>Match</v>
      </c>
      <c r="Q163" s="8">
        <v>6800</v>
      </c>
      <c r="R163" s="8">
        <v>2040</v>
      </c>
      <c r="S163" s="8">
        <v>4760</v>
      </c>
      <c r="T163" s="8">
        <v>4704.8100000000004</v>
      </c>
      <c r="U163" s="8">
        <v>55.19</v>
      </c>
      <c r="V163" s="8" t="b">
        <f t="shared" si="16"/>
        <v>0</v>
      </c>
      <c r="W163" s="8">
        <f t="shared" si="17"/>
        <v>0</v>
      </c>
      <c r="X163" t="s">
        <v>28</v>
      </c>
      <c r="Y163" t="s">
        <v>37</v>
      </c>
      <c r="Z163" t="s">
        <v>1138</v>
      </c>
      <c r="AA163">
        <v>4.5</v>
      </c>
      <c r="AB163" t="s">
        <v>66</v>
      </c>
      <c r="AC163" t="s">
        <v>49</v>
      </c>
    </row>
    <row r="164" spans="1:29" x14ac:dyDescent="0.3">
      <c r="A164" t="s">
        <v>278</v>
      </c>
      <c r="B164" s="6">
        <v>45672</v>
      </c>
      <c r="C164" s="6" t="str">
        <f t="shared" si="12"/>
        <v>4 AM - 8 AM</v>
      </c>
      <c r="D164" s="4">
        <v>0.30416666666666664</v>
      </c>
      <c r="E164" t="s">
        <v>23</v>
      </c>
      <c r="F164" t="s">
        <v>24</v>
      </c>
      <c r="G164" t="s">
        <v>61</v>
      </c>
      <c r="H164" t="s">
        <v>62</v>
      </c>
      <c r="I164" t="s">
        <v>44</v>
      </c>
      <c r="J164" t="s">
        <v>35</v>
      </c>
      <c r="K164">
        <v>1</v>
      </c>
      <c r="L164" s="8">
        <v>10950</v>
      </c>
      <c r="M164" s="8" t="str">
        <f t="shared" si="13"/>
        <v>21-30%</v>
      </c>
      <c r="N164">
        <v>30</v>
      </c>
      <c r="O164" t="str">
        <f t="shared" si="14"/>
        <v>Valid</v>
      </c>
      <c r="P164" t="str">
        <f t="shared" si="15"/>
        <v>Match</v>
      </c>
      <c r="Q164" s="8">
        <v>10950</v>
      </c>
      <c r="R164" s="8">
        <v>3285</v>
      </c>
      <c r="S164" s="8">
        <v>7665</v>
      </c>
      <c r="T164" s="8">
        <v>7733.48</v>
      </c>
      <c r="U164" s="8">
        <v>-68.48</v>
      </c>
      <c r="V164" s="8" t="b">
        <f t="shared" si="16"/>
        <v>0</v>
      </c>
      <c r="W164" s="8">
        <f t="shared" si="17"/>
        <v>0</v>
      </c>
      <c r="X164" t="s">
        <v>36</v>
      </c>
      <c r="Y164" t="s">
        <v>89</v>
      </c>
      <c r="Z164" t="s">
        <v>45</v>
      </c>
      <c r="AA164">
        <v>3</v>
      </c>
      <c r="AB164" t="s">
        <v>151</v>
      </c>
      <c r="AC164" t="s">
        <v>40</v>
      </c>
    </row>
    <row r="165" spans="1:29" x14ac:dyDescent="0.3">
      <c r="A165" t="s">
        <v>279</v>
      </c>
      <c r="B165" s="6">
        <v>45766</v>
      </c>
      <c r="C165" s="6" t="str">
        <f t="shared" si="12"/>
        <v>4 AM - 8 AM</v>
      </c>
      <c r="D165" s="4">
        <v>0.24166666666666667</v>
      </c>
      <c r="E165" t="s">
        <v>32</v>
      </c>
      <c r="F165" t="s">
        <v>24</v>
      </c>
      <c r="G165" t="s">
        <v>110</v>
      </c>
      <c r="H165" t="s">
        <v>26</v>
      </c>
      <c r="I165" t="s">
        <v>54</v>
      </c>
      <c r="J165" t="s">
        <v>45</v>
      </c>
      <c r="K165">
        <v>1</v>
      </c>
      <c r="L165" s="8">
        <v>6750</v>
      </c>
      <c r="M165" s="8" t="str">
        <f t="shared" si="13"/>
        <v>11-20%</v>
      </c>
      <c r="N165">
        <v>20</v>
      </c>
      <c r="O165" t="str">
        <f t="shared" si="14"/>
        <v>Valid</v>
      </c>
      <c r="P165" t="str">
        <f t="shared" si="15"/>
        <v>Match</v>
      </c>
      <c r="Q165" s="8">
        <v>6750</v>
      </c>
      <c r="R165" s="8">
        <v>1350</v>
      </c>
      <c r="S165" s="8">
        <v>5400</v>
      </c>
      <c r="T165" s="8">
        <v>3867.74</v>
      </c>
      <c r="U165" s="8">
        <v>1532.26</v>
      </c>
      <c r="V165" s="8" t="b">
        <f t="shared" si="16"/>
        <v>0</v>
      </c>
      <c r="W165" s="8">
        <f t="shared" si="17"/>
        <v>0</v>
      </c>
      <c r="X165" t="s">
        <v>79</v>
      </c>
      <c r="Y165" t="s">
        <v>104</v>
      </c>
      <c r="Z165" t="s">
        <v>56</v>
      </c>
      <c r="AA165">
        <v>3</v>
      </c>
      <c r="AB165" t="s">
        <v>99</v>
      </c>
      <c r="AC165" t="s">
        <v>71</v>
      </c>
    </row>
    <row r="166" spans="1:29" x14ac:dyDescent="0.3">
      <c r="A166" t="s">
        <v>280</v>
      </c>
      <c r="B166" s="6">
        <v>45721</v>
      </c>
      <c r="C166" s="6" t="str">
        <f t="shared" si="12"/>
        <v>12 AM - 4 AM</v>
      </c>
      <c r="D166" s="4">
        <v>6.3194444444444442E-2</v>
      </c>
      <c r="E166" t="s">
        <v>157</v>
      </c>
      <c r="F166" t="s">
        <v>24</v>
      </c>
      <c r="G166" t="s">
        <v>25</v>
      </c>
      <c r="H166" t="s">
        <v>102</v>
      </c>
      <c r="I166" t="s">
        <v>92</v>
      </c>
      <c r="J166" t="s">
        <v>35</v>
      </c>
      <c r="K166">
        <v>1</v>
      </c>
      <c r="L166" s="8">
        <v>1900</v>
      </c>
      <c r="M166" s="8" t="str">
        <f t="shared" si="13"/>
        <v>1-10%</v>
      </c>
      <c r="N166">
        <v>10</v>
      </c>
      <c r="O166" t="str">
        <f t="shared" si="14"/>
        <v>Valid</v>
      </c>
      <c r="P166" t="str">
        <f t="shared" si="15"/>
        <v>Match</v>
      </c>
      <c r="Q166" s="8">
        <v>1900</v>
      </c>
      <c r="R166" s="8">
        <v>190</v>
      </c>
      <c r="S166" s="8">
        <v>1710</v>
      </c>
      <c r="T166" s="8">
        <v>1333.05</v>
      </c>
      <c r="U166" s="8">
        <v>376.95</v>
      </c>
      <c r="V166" s="8" t="b">
        <f t="shared" si="16"/>
        <v>0</v>
      </c>
      <c r="W166" s="8">
        <f t="shared" si="17"/>
        <v>0</v>
      </c>
      <c r="X166" t="s">
        <v>36</v>
      </c>
      <c r="Y166" t="s">
        <v>89</v>
      </c>
      <c r="Z166" t="s">
        <v>56</v>
      </c>
      <c r="AA166">
        <v>3</v>
      </c>
      <c r="AB166" t="s">
        <v>127</v>
      </c>
      <c r="AC166" t="s">
        <v>40</v>
      </c>
    </row>
    <row r="167" spans="1:29" x14ac:dyDescent="0.3">
      <c r="A167" t="s">
        <v>281</v>
      </c>
      <c r="B167" s="6">
        <v>45749</v>
      </c>
      <c r="C167" s="6" t="str">
        <f t="shared" si="12"/>
        <v>4 PM - 8 PM</v>
      </c>
      <c r="D167" s="4">
        <v>0.71319444444444446</v>
      </c>
      <c r="E167" t="s">
        <v>108</v>
      </c>
      <c r="F167" t="s">
        <v>51</v>
      </c>
      <c r="G167" t="s">
        <v>73</v>
      </c>
      <c r="H167" t="s">
        <v>26</v>
      </c>
      <c r="I167" t="s">
        <v>98</v>
      </c>
      <c r="J167" t="s">
        <v>35</v>
      </c>
      <c r="K167">
        <v>1</v>
      </c>
      <c r="L167" s="8">
        <v>5400</v>
      </c>
      <c r="M167" s="8" t="str">
        <f t="shared" si="13"/>
        <v>21-30%</v>
      </c>
      <c r="N167">
        <v>30</v>
      </c>
      <c r="O167" t="str">
        <f t="shared" si="14"/>
        <v>Valid</v>
      </c>
      <c r="P167" t="str">
        <f t="shared" si="15"/>
        <v>Match</v>
      </c>
      <c r="Q167" s="8">
        <v>5400</v>
      </c>
      <c r="R167" s="8">
        <v>1620</v>
      </c>
      <c r="S167" s="8">
        <v>3780</v>
      </c>
      <c r="T167" s="8">
        <v>2928.59</v>
      </c>
      <c r="U167" s="8">
        <v>851.41</v>
      </c>
      <c r="V167" s="8" t="b">
        <f t="shared" si="16"/>
        <v>0</v>
      </c>
      <c r="W167" s="8">
        <f t="shared" si="17"/>
        <v>0</v>
      </c>
      <c r="X167" t="s">
        <v>36</v>
      </c>
      <c r="Y167" t="s">
        <v>94</v>
      </c>
      <c r="Z167" t="s">
        <v>45</v>
      </c>
      <c r="AA167">
        <v>3.5</v>
      </c>
      <c r="AB167" t="s">
        <v>99</v>
      </c>
      <c r="AC167" t="s">
        <v>40</v>
      </c>
    </row>
    <row r="168" spans="1:29" x14ac:dyDescent="0.3">
      <c r="A168" t="s">
        <v>282</v>
      </c>
      <c r="B168" s="6">
        <v>45830</v>
      </c>
      <c r="C168" s="6" t="str">
        <f t="shared" si="12"/>
        <v>12 PM - 4 PM</v>
      </c>
      <c r="D168" s="4">
        <v>0.61805555555555558</v>
      </c>
      <c r="E168" t="s">
        <v>32</v>
      </c>
      <c r="F168" t="s">
        <v>24</v>
      </c>
      <c r="G168" t="s">
        <v>84</v>
      </c>
      <c r="H168" t="s">
        <v>62</v>
      </c>
      <c r="I168" t="s">
        <v>63</v>
      </c>
      <c r="J168" t="s">
        <v>45</v>
      </c>
      <c r="K168">
        <v>2</v>
      </c>
      <c r="L168" s="8">
        <v>26650</v>
      </c>
      <c r="M168" s="8" t="str">
        <f t="shared" si="13"/>
        <v>1-10%</v>
      </c>
      <c r="N168">
        <v>10</v>
      </c>
      <c r="O168" t="str">
        <f t="shared" si="14"/>
        <v>Valid</v>
      </c>
      <c r="P168" t="str">
        <f t="shared" si="15"/>
        <v>Match</v>
      </c>
      <c r="Q168" s="8">
        <v>53300</v>
      </c>
      <c r="R168" s="8">
        <v>5330</v>
      </c>
      <c r="S168" s="8">
        <v>47970</v>
      </c>
      <c r="T168" s="8">
        <v>33229.379999999997</v>
      </c>
      <c r="U168" s="8">
        <v>14740.62</v>
      </c>
      <c r="V168" s="8" t="b">
        <f t="shared" si="16"/>
        <v>0</v>
      </c>
      <c r="W168" s="8">
        <f t="shared" si="17"/>
        <v>0</v>
      </c>
      <c r="X168" t="s">
        <v>55</v>
      </c>
      <c r="Y168" t="s">
        <v>94</v>
      </c>
      <c r="Z168" t="s">
        <v>85</v>
      </c>
      <c r="AA168">
        <v>3</v>
      </c>
      <c r="AB168" t="s">
        <v>48</v>
      </c>
      <c r="AC168" t="s">
        <v>30</v>
      </c>
    </row>
    <row r="169" spans="1:29" x14ac:dyDescent="0.3">
      <c r="A169" t="s">
        <v>283</v>
      </c>
      <c r="B169" s="6">
        <v>45727</v>
      </c>
      <c r="C169" s="6" t="str">
        <f t="shared" si="12"/>
        <v>4 PM - 8 PM</v>
      </c>
      <c r="D169" s="4">
        <v>0.73611111111111116</v>
      </c>
      <c r="E169" t="s">
        <v>32</v>
      </c>
      <c r="F169" t="s">
        <v>24</v>
      </c>
      <c r="G169" t="s">
        <v>25</v>
      </c>
      <c r="H169" t="s">
        <v>74</v>
      </c>
      <c r="I169" t="s">
        <v>27</v>
      </c>
      <c r="J169" t="s">
        <v>35</v>
      </c>
      <c r="K169">
        <v>4</v>
      </c>
      <c r="L169" s="8">
        <v>6600</v>
      </c>
      <c r="M169" s="8" t="str">
        <f t="shared" si="13"/>
        <v>21-30%</v>
      </c>
      <c r="N169">
        <v>25</v>
      </c>
      <c r="O169" t="str">
        <f t="shared" si="14"/>
        <v>Valid</v>
      </c>
      <c r="P169" t="str">
        <f t="shared" si="15"/>
        <v>Match</v>
      </c>
      <c r="Q169" s="8">
        <v>26400</v>
      </c>
      <c r="R169" s="8">
        <v>6600</v>
      </c>
      <c r="S169" s="8">
        <v>19800</v>
      </c>
      <c r="T169" s="8">
        <v>14442.95</v>
      </c>
      <c r="U169" s="8">
        <v>5357.05</v>
      </c>
      <c r="V169" s="8" t="b">
        <f t="shared" si="16"/>
        <v>0</v>
      </c>
      <c r="W169" s="8">
        <f t="shared" si="17"/>
        <v>0</v>
      </c>
      <c r="X169" t="s">
        <v>79</v>
      </c>
      <c r="Y169" t="s">
        <v>104</v>
      </c>
      <c r="Z169" t="s">
        <v>64</v>
      </c>
      <c r="AA169">
        <v>3.5</v>
      </c>
      <c r="AB169" t="s">
        <v>127</v>
      </c>
      <c r="AC169" t="s">
        <v>86</v>
      </c>
    </row>
    <row r="170" spans="1:29" x14ac:dyDescent="0.3">
      <c r="A170" t="s">
        <v>284</v>
      </c>
      <c r="B170" s="6">
        <v>45659</v>
      </c>
      <c r="C170" s="6" t="str">
        <f t="shared" si="12"/>
        <v>12 PM - 4 PM</v>
      </c>
      <c r="D170" s="4">
        <v>0.56180555555555556</v>
      </c>
      <c r="E170" t="s">
        <v>23</v>
      </c>
      <c r="F170" t="s">
        <v>96</v>
      </c>
      <c r="G170" t="s">
        <v>145</v>
      </c>
      <c r="H170" t="s">
        <v>43</v>
      </c>
      <c r="I170" t="s">
        <v>63</v>
      </c>
      <c r="J170" t="s">
        <v>35</v>
      </c>
      <c r="K170">
        <v>4</v>
      </c>
      <c r="L170" s="8">
        <v>2050</v>
      </c>
      <c r="M170" s="8" t="str">
        <f t="shared" si="13"/>
        <v>11-20%</v>
      </c>
      <c r="N170">
        <v>15</v>
      </c>
      <c r="O170" t="str">
        <f t="shared" si="14"/>
        <v>Valid</v>
      </c>
      <c r="P170" t="str">
        <f t="shared" si="15"/>
        <v>Match</v>
      </c>
      <c r="Q170" s="8">
        <v>8200</v>
      </c>
      <c r="R170" s="8">
        <v>1230</v>
      </c>
      <c r="S170" s="8">
        <v>6970</v>
      </c>
      <c r="T170" s="8">
        <v>4352.28</v>
      </c>
      <c r="U170" s="8">
        <v>2617.7199999999998</v>
      </c>
      <c r="V170" s="8" t="b">
        <f t="shared" si="16"/>
        <v>0</v>
      </c>
      <c r="W170" s="8">
        <f t="shared" si="17"/>
        <v>0</v>
      </c>
      <c r="X170" t="s">
        <v>55</v>
      </c>
      <c r="Y170" t="s">
        <v>89</v>
      </c>
      <c r="Z170" t="s">
        <v>85</v>
      </c>
      <c r="AA170">
        <v>5</v>
      </c>
      <c r="AB170" t="s">
        <v>151</v>
      </c>
      <c r="AC170" t="s">
        <v>67</v>
      </c>
    </row>
    <row r="171" spans="1:29" x14ac:dyDescent="0.3">
      <c r="A171" t="s">
        <v>285</v>
      </c>
      <c r="B171" s="6">
        <v>45939</v>
      </c>
      <c r="C171" s="6" t="str">
        <f t="shared" si="12"/>
        <v>8 AM - 12 PM</v>
      </c>
      <c r="D171" s="4">
        <v>0.34930555555555554</v>
      </c>
      <c r="E171" t="s">
        <v>77</v>
      </c>
      <c r="F171" t="s">
        <v>24</v>
      </c>
      <c r="G171" t="s">
        <v>120</v>
      </c>
      <c r="H171" t="s">
        <v>102</v>
      </c>
      <c r="I171" t="s">
        <v>54</v>
      </c>
      <c r="J171" t="s">
        <v>35</v>
      </c>
      <c r="K171">
        <v>2</v>
      </c>
      <c r="L171" s="8">
        <v>10100</v>
      </c>
      <c r="M171" s="8" t="str">
        <f t="shared" si="13"/>
        <v>1-10%</v>
      </c>
      <c r="N171">
        <v>5</v>
      </c>
      <c r="O171" t="str">
        <f t="shared" si="14"/>
        <v>Valid</v>
      </c>
      <c r="P171" t="str">
        <f t="shared" si="15"/>
        <v>Match</v>
      </c>
      <c r="Q171" s="8">
        <v>20200</v>
      </c>
      <c r="R171" s="8">
        <v>1010</v>
      </c>
      <c r="S171" s="8">
        <v>19190</v>
      </c>
      <c r="T171" s="8">
        <v>12170.78</v>
      </c>
      <c r="U171" s="8">
        <v>7019.22</v>
      </c>
      <c r="V171" s="8" t="b">
        <f t="shared" si="16"/>
        <v>0</v>
      </c>
      <c r="W171" s="8">
        <f t="shared" si="17"/>
        <v>0</v>
      </c>
      <c r="X171" t="s">
        <v>55</v>
      </c>
      <c r="Y171" t="s">
        <v>37</v>
      </c>
      <c r="Z171" t="s">
        <v>80</v>
      </c>
      <c r="AA171">
        <v>3</v>
      </c>
      <c r="AB171" t="s">
        <v>57</v>
      </c>
      <c r="AC171" t="s">
        <v>67</v>
      </c>
    </row>
    <row r="172" spans="1:29" x14ac:dyDescent="0.3">
      <c r="A172" t="s">
        <v>286</v>
      </c>
      <c r="B172" s="6">
        <v>45702</v>
      </c>
      <c r="C172" s="6" t="str">
        <f t="shared" si="12"/>
        <v>12 PM - 4 PM</v>
      </c>
      <c r="D172" s="4">
        <v>0.5229166666666667</v>
      </c>
      <c r="E172" t="s">
        <v>32</v>
      </c>
      <c r="F172" t="s">
        <v>96</v>
      </c>
      <c r="G172" t="s">
        <v>129</v>
      </c>
      <c r="H172" t="s">
        <v>34</v>
      </c>
      <c r="I172" t="s">
        <v>98</v>
      </c>
      <c r="J172" t="s">
        <v>45</v>
      </c>
      <c r="K172">
        <v>1</v>
      </c>
      <c r="L172" s="8">
        <v>1500</v>
      </c>
      <c r="M172" s="8" t="str">
        <f t="shared" si="13"/>
        <v>11-20%</v>
      </c>
      <c r="N172">
        <v>15</v>
      </c>
      <c r="O172" t="str">
        <f t="shared" si="14"/>
        <v>Valid</v>
      </c>
      <c r="P172" t="str">
        <f t="shared" si="15"/>
        <v>Match</v>
      </c>
      <c r="Q172" s="8">
        <v>1500</v>
      </c>
      <c r="R172" s="8">
        <v>225</v>
      </c>
      <c r="S172" s="8">
        <v>1275</v>
      </c>
      <c r="T172" s="8">
        <v>996.79</v>
      </c>
      <c r="U172" s="8">
        <v>278.20999999999998</v>
      </c>
      <c r="V172" s="8" t="b">
        <f t="shared" si="16"/>
        <v>0</v>
      </c>
      <c r="W172" s="8">
        <f t="shared" si="17"/>
        <v>0</v>
      </c>
      <c r="X172" t="s">
        <v>55</v>
      </c>
      <c r="Y172" t="s">
        <v>70</v>
      </c>
      <c r="Z172" t="s">
        <v>38</v>
      </c>
      <c r="AA172">
        <v>4</v>
      </c>
      <c r="AB172" t="s">
        <v>66</v>
      </c>
      <c r="AC172" t="s">
        <v>58</v>
      </c>
    </row>
    <row r="173" spans="1:29" x14ac:dyDescent="0.3">
      <c r="A173" t="s">
        <v>287</v>
      </c>
      <c r="B173" s="6">
        <v>45703</v>
      </c>
      <c r="C173" s="6" t="str">
        <f t="shared" si="12"/>
        <v>12 PM - 4 PM</v>
      </c>
      <c r="D173" s="4">
        <v>0.53055555555555556</v>
      </c>
      <c r="E173" t="s">
        <v>622</v>
      </c>
      <c r="F173" t="s">
        <v>24</v>
      </c>
      <c r="G173" t="s">
        <v>25</v>
      </c>
      <c r="H173" t="s">
        <v>34</v>
      </c>
      <c r="I173" t="s">
        <v>27</v>
      </c>
      <c r="J173" t="s">
        <v>93</v>
      </c>
      <c r="K173">
        <v>2</v>
      </c>
      <c r="L173" s="8">
        <v>2150</v>
      </c>
      <c r="M173" s="8" t="str">
        <f t="shared" si="13"/>
        <v>11-20%</v>
      </c>
      <c r="N173">
        <v>20</v>
      </c>
      <c r="O173" t="str">
        <f t="shared" si="14"/>
        <v>Valid</v>
      </c>
      <c r="P173" t="str">
        <f t="shared" si="15"/>
        <v>Match</v>
      </c>
      <c r="Q173" s="8">
        <v>4300</v>
      </c>
      <c r="R173" s="8">
        <v>860</v>
      </c>
      <c r="S173" s="8">
        <v>3440</v>
      </c>
      <c r="T173" s="8">
        <v>2302.16</v>
      </c>
      <c r="U173" s="8">
        <v>1137.8399999999999</v>
      </c>
      <c r="V173" s="8" t="b">
        <f t="shared" si="16"/>
        <v>0</v>
      </c>
      <c r="W173" s="8">
        <f t="shared" si="17"/>
        <v>0</v>
      </c>
      <c r="X173" t="s">
        <v>55</v>
      </c>
      <c r="Y173" t="s">
        <v>47</v>
      </c>
      <c r="Z173" t="s">
        <v>56</v>
      </c>
      <c r="AA173">
        <v>4</v>
      </c>
      <c r="AB173" t="s">
        <v>66</v>
      </c>
      <c r="AC173" t="s">
        <v>71</v>
      </c>
    </row>
    <row r="174" spans="1:29" x14ac:dyDescent="0.3">
      <c r="A174" t="s">
        <v>288</v>
      </c>
      <c r="B174" s="6">
        <v>45873</v>
      </c>
      <c r="C174" s="6" t="str">
        <f t="shared" si="12"/>
        <v>12 PM - 4 PM</v>
      </c>
      <c r="D174" s="4">
        <v>0.65694444444444444</v>
      </c>
      <c r="E174" t="s">
        <v>69</v>
      </c>
      <c r="F174" t="s">
        <v>24</v>
      </c>
      <c r="G174" t="s">
        <v>33</v>
      </c>
      <c r="H174" t="s">
        <v>26</v>
      </c>
      <c r="I174" t="s">
        <v>92</v>
      </c>
      <c r="J174" t="s">
        <v>35</v>
      </c>
      <c r="K174">
        <v>1</v>
      </c>
      <c r="L174" s="8">
        <v>4150</v>
      </c>
      <c r="M174" s="8" t="str">
        <f t="shared" si="13"/>
        <v>11-20%</v>
      </c>
      <c r="N174">
        <v>20</v>
      </c>
      <c r="O174" t="str">
        <f t="shared" si="14"/>
        <v>Valid</v>
      </c>
      <c r="P174" t="str">
        <f t="shared" si="15"/>
        <v>Match</v>
      </c>
      <c r="Q174" s="8">
        <v>4150</v>
      </c>
      <c r="R174" s="8">
        <v>830</v>
      </c>
      <c r="S174" s="8">
        <v>3320</v>
      </c>
      <c r="T174" s="8">
        <v>2391.9899999999998</v>
      </c>
      <c r="U174" s="8">
        <v>928.01</v>
      </c>
      <c r="V174" s="8" t="b">
        <f t="shared" si="16"/>
        <v>0</v>
      </c>
      <c r="W174" s="8">
        <f t="shared" si="17"/>
        <v>0</v>
      </c>
      <c r="X174" t="s">
        <v>79</v>
      </c>
      <c r="Y174" t="s">
        <v>47</v>
      </c>
      <c r="Z174" t="s">
        <v>38</v>
      </c>
      <c r="AA174">
        <v>3</v>
      </c>
      <c r="AB174" t="s">
        <v>90</v>
      </c>
      <c r="AC174" t="s">
        <v>49</v>
      </c>
    </row>
    <row r="175" spans="1:29" x14ac:dyDescent="0.3">
      <c r="A175" t="s">
        <v>289</v>
      </c>
      <c r="B175" s="6">
        <v>45966</v>
      </c>
      <c r="C175" s="6" t="str">
        <f t="shared" si="12"/>
        <v>4 PM - 8 PM</v>
      </c>
      <c r="D175" s="4">
        <v>0.74444444444444446</v>
      </c>
      <c r="E175" t="s">
        <v>622</v>
      </c>
      <c r="F175" t="s">
        <v>24</v>
      </c>
      <c r="G175" t="s">
        <v>42</v>
      </c>
      <c r="H175" t="s">
        <v>53</v>
      </c>
      <c r="I175" t="s">
        <v>63</v>
      </c>
      <c r="J175" t="s">
        <v>93</v>
      </c>
      <c r="K175">
        <v>1</v>
      </c>
      <c r="L175" s="8">
        <v>111900</v>
      </c>
      <c r="M175" s="8" t="str">
        <f t="shared" si="13"/>
        <v>11-20%</v>
      </c>
      <c r="N175">
        <v>15</v>
      </c>
      <c r="O175" t="str">
        <f t="shared" si="14"/>
        <v>Valid</v>
      </c>
      <c r="P175" t="str">
        <f t="shared" si="15"/>
        <v>Match</v>
      </c>
      <c r="Q175" s="8">
        <v>111900</v>
      </c>
      <c r="R175" s="8">
        <v>16785</v>
      </c>
      <c r="S175" s="8">
        <v>95115</v>
      </c>
      <c r="T175" s="8">
        <v>74420.929999999993</v>
      </c>
      <c r="U175" s="8">
        <v>20694.07</v>
      </c>
      <c r="V175" s="8" t="b">
        <f t="shared" si="16"/>
        <v>0</v>
      </c>
      <c r="W175" s="8">
        <f t="shared" si="17"/>
        <v>0</v>
      </c>
      <c r="X175" t="s">
        <v>79</v>
      </c>
      <c r="Y175" t="s">
        <v>94</v>
      </c>
      <c r="Z175" t="s">
        <v>45</v>
      </c>
      <c r="AA175">
        <v>4.5</v>
      </c>
      <c r="AB175" t="s">
        <v>75</v>
      </c>
      <c r="AC175" t="s">
        <v>40</v>
      </c>
    </row>
    <row r="176" spans="1:29" x14ac:dyDescent="0.3">
      <c r="A176" t="s">
        <v>290</v>
      </c>
      <c r="B176" s="6">
        <v>45683</v>
      </c>
      <c r="C176" s="6" t="str">
        <f t="shared" si="12"/>
        <v>8 AM - 12 PM</v>
      </c>
      <c r="D176" s="4">
        <v>0.39652777777777776</v>
      </c>
      <c r="E176" t="s">
        <v>69</v>
      </c>
      <c r="F176" t="s">
        <v>96</v>
      </c>
      <c r="G176" t="s">
        <v>134</v>
      </c>
      <c r="H176" t="s">
        <v>62</v>
      </c>
      <c r="I176" t="s">
        <v>63</v>
      </c>
      <c r="J176" t="s">
        <v>93</v>
      </c>
      <c r="K176">
        <v>1</v>
      </c>
      <c r="L176" s="8">
        <v>3700</v>
      </c>
      <c r="M176" s="8" t="str">
        <f t="shared" si="13"/>
        <v>11-20%</v>
      </c>
      <c r="N176">
        <v>20</v>
      </c>
      <c r="O176" t="str">
        <f t="shared" si="14"/>
        <v>Valid</v>
      </c>
      <c r="P176" t="str">
        <f t="shared" si="15"/>
        <v>Match</v>
      </c>
      <c r="Q176" s="8">
        <v>3700</v>
      </c>
      <c r="R176" s="8">
        <v>740</v>
      </c>
      <c r="S176" s="8">
        <v>2960</v>
      </c>
      <c r="T176" s="8">
        <v>2211.2600000000002</v>
      </c>
      <c r="U176" s="8">
        <v>748.74</v>
      </c>
      <c r="V176" s="8" t="b">
        <f t="shared" si="16"/>
        <v>0</v>
      </c>
      <c r="W176" s="8">
        <f t="shared" si="17"/>
        <v>0</v>
      </c>
      <c r="X176" t="s">
        <v>46</v>
      </c>
      <c r="Y176" t="s">
        <v>104</v>
      </c>
      <c r="Z176" t="s">
        <v>85</v>
      </c>
      <c r="AA176">
        <v>4</v>
      </c>
      <c r="AB176" t="s">
        <v>151</v>
      </c>
      <c r="AC176" t="s">
        <v>30</v>
      </c>
    </row>
    <row r="177" spans="1:29" x14ac:dyDescent="0.3">
      <c r="A177" t="s">
        <v>291</v>
      </c>
      <c r="B177" s="6">
        <v>45708</v>
      </c>
      <c r="C177" s="6" t="str">
        <f t="shared" si="12"/>
        <v>4 AM - 8 AM</v>
      </c>
      <c r="D177" s="4">
        <v>0.19791666666666666</v>
      </c>
      <c r="E177" t="s">
        <v>77</v>
      </c>
      <c r="F177" t="s">
        <v>24</v>
      </c>
      <c r="G177" t="s">
        <v>120</v>
      </c>
      <c r="H177" t="s">
        <v>43</v>
      </c>
      <c r="I177" t="s">
        <v>92</v>
      </c>
      <c r="J177" t="s">
        <v>93</v>
      </c>
      <c r="K177">
        <v>1</v>
      </c>
      <c r="M177" s="8" t="str">
        <f t="shared" si="13"/>
        <v>21-30%</v>
      </c>
      <c r="N177">
        <v>30</v>
      </c>
      <c r="O177" t="str">
        <f t="shared" si="14"/>
        <v>Valid</v>
      </c>
      <c r="P177" t="str">
        <f t="shared" si="15"/>
        <v>Match</v>
      </c>
      <c r="Q177" s="8">
        <v>8950</v>
      </c>
      <c r="R177" s="8">
        <v>2685</v>
      </c>
      <c r="S177" s="8">
        <v>6265</v>
      </c>
      <c r="T177" s="8">
        <v>5365.34</v>
      </c>
      <c r="U177" s="8">
        <v>899.66</v>
      </c>
      <c r="V177" s="8" t="b">
        <f t="shared" si="16"/>
        <v>0</v>
      </c>
      <c r="W177" s="8">
        <f t="shared" si="17"/>
        <v>0</v>
      </c>
      <c r="X177" t="s">
        <v>36</v>
      </c>
      <c r="Y177" t="s">
        <v>1137</v>
      </c>
      <c r="Z177" t="s">
        <v>45</v>
      </c>
      <c r="AA177">
        <v>4</v>
      </c>
      <c r="AB177" t="s">
        <v>66</v>
      </c>
      <c r="AC177" t="s">
        <v>67</v>
      </c>
    </row>
    <row r="178" spans="1:29" x14ac:dyDescent="0.3">
      <c r="A178" t="s">
        <v>292</v>
      </c>
      <c r="B178" s="6">
        <v>45735</v>
      </c>
      <c r="C178" s="6" t="str">
        <f t="shared" si="12"/>
        <v>8 AM - 12 PM</v>
      </c>
      <c r="D178" s="4">
        <v>0.38819444444444445</v>
      </c>
      <c r="E178" t="s">
        <v>77</v>
      </c>
      <c r="F178" t="s">
        <v>24</v>
      </c>
      <c r="G178" t="s">
        <v>25</v>
      </c>
      <c r="H178" t="s">
        <v>74</v>
      </c>
      <c r="I178" t="s">
        <v>27</v>
      </c>
      <c r="J178" t="s">
        <v>45</v>
      </c>
      <c r="K178">
        <v>1</v>
      </c>
      <c r="L178" s="8">
        <v>4950</v>
      </c>
      <c r="M178" s="8" t="str">
        <f t="shared" si="13"/>
        <v>21-30%</v>
      </c>
      <c r="N178">
        <v>25</v>
      </c>
      <c r="O178" t="str">
        <f t="shared" si="14"/>
        <v>Valid</v>
      </c>
      <c r="P178" t="str">
        <f t="shared" si="15"/>
        <v>Match</v>
      </c>
      <c r="Q178" s="8">
        <v>4950</v>
      </c>
      <c r="R178" s="8">
        <v>1237.5</v>
      </c>
      <c r="S178" s="8">
        <v>3712.5</v>
      </c>
      <c r="T178" s="8">
        <v>2769.88</v>
      </c>
      <c r="U178" s="8">
        <v>942.62</v>
      </c>
      <c r="V178" s="8" t="b">
        <f t="shared" si="16"/>
        <v>0</v>
      </c>
      <c r="W178" s="8">
        <f t="shared" si="17"/>
        <v>0</v>
      </c>
      <c r="X178" t="s">
        <v>28</v>
      </c>
      <c r="Y178" t="s">
        <v>94</v>
      </c>
      <c r="Z178" t="s">
        <v>1138</v>
      </c>
      <c r="AA178">
        <v>4</v>
      </c>
      <c r="AB178" t="s">
        <v>127</v>
      </c>
      <c r="AC178" t="s">
        <v>40</v>
      </c>
    </row>
    <row r="179" spans="1:29" x14ac:dyDescent="0.3">
      <c r="A179" t="s">
        <v>293</v>
      </c>
      <c r="B179" s="6">
        <v>45853</v>
      </c>
      <c r="C179" s="6" t="str">
        <f t="shared" si="12"/>
        <v>4 PM - 8 PM</v>
      </c>
      <c r="D179" s="4">
        <v>0.68055555555555558</v>
      </c>
      <c r="E179" t="s">
        <v>294</v>
      </c>
      <c r="F179" t="s">
        <v>24</v>
      </c>
      <c r="G179" t="s">
        <v>33</v>
      </c>
      <c r="H179" t="s">
        <v>34</v>
      </c>
      <c r="I179" t="s">
        <v>98</v>
      </c>
      <c r="J179" t="s">
        <v>35</v>
      </c>
      <c r="K179">
        <v>2</v>
      </c>
      <c r="L179" s="8">
        <v>3750</v>
      </c>
      <c r="M179" s="8" t="str">
        <f t="shared" si="13"/>
        <v>1-10%</v>
      </c>
      <c r="N179">
        <v>5</v>
      </c>
      <c r="O179" t="str">
        <f t="shared" si="14"/>
        <v>Valid</v>
      </c>
      <c r="P179" t="str">
        <f t="shared" si="15"/>
        <v>Match</v>
      </c>
      <c r="Q179" s="8">
        <v>7500</v>
      </c>
      <c r="R179" s="8">
        <v>375</v>
      </c>
      <c r="S179" s="8">
        <v>7125</v>
      </c>
      <c r="T179" s="8">
        <v>4903.3</v>
      </c>
      <c r="U179" s="8">
        <v>2221.6999999999998</v>
      </c>
      <c r="V179" s="8" t="b">
        <f t="shared" si="16"/>
        <v>0</v>
      </c>
      <c r="W179" s="8">
        <f t="shared" si="17"/>
        <v>0</v>
      </c>
      <c r="X179" t="s">
        <v>46</v>
      </c>
      <c r="Y179" t="s">
        <v>65</v>
      </c>
      <c r="Z179" t="s">
        <v>85</v>
      </c>
      <c r="AA179">
        <v>3</v>
      </c>
      <c r="AB179" t="s">
        <v>29</v>
      </c>
      <c r="AC179" t="s">
        <v>86</v>
      </c>
    </row>
    <row r="180" spans="1:29" x14ac:dyDescent="0.3">
      <c r="A180" t="s">
        <v>295</v>
      </c>
      <c r="B180" s="6">
        <v>45955</v>
      </c>
      <c r="C180" s="6" t="str">
        <f t="shared" si="12"/>
        <v>4 PM - 8 PM</v>
      </c>
      <c r="D180" s="4">
        <v>0.76736111111111116</v>
      </c>
      <c r="E180" t="s">
        <v>108</v>
      </c>
      <c r="F180" t="s">
        <v>24</v>
      </c>
      <c r="G180" t="s">
        <v>61</v>
      </c>
      <c r="H180" t="s">
        <v>43</v>
      </c>
      <c r="I180" t="s">
        <v>125</v>
      </c>
      <c r="J180" t="s">
        <v>45</v>
      </c>
      <c r="K180">
        <v>3</v>
      </c>
      <c r="L180" s="8">
        <v>40900</v>
      </c>
      <c r="M180" s="8" t="str">
        <f t="shared" si="13"/>
        <v>21-30%</v>
      </c>
      <c r="N180">
        <v>25</v>
      </c>
      <c r="O180" t="str">
        <f t="shared" si="14"/>
        <v>Valid</v>
      </c>
      <c r="P180" t="str">
        <f t="shared" si="15"/>
        <v>Match</v>
      </c>
      <c r="Q180" s="8">
        <v>122700</v>
      </c>
      <c r="R180" s="8">
        <v>30675</v>
      </c>
      <c r="S180" s="8">
        <v>92025</v>
      </c>
      <c r="T180" s="8">
        <v>64646.06</v>
      </c>
      <c r="U180" s="8">
        <v>27378.94</v>
      </c>
      <c r="V180" s="8" t="b">
        <f t="shared" si="16"/>
        <v>0</v>
      </c>
      <c r="W180" s="8">
        <f t="shared" si="17"/>
        <v>0</v>
      </c>
      <c r="X180" t="s">
        <v>36</v>
      </c>
      <c r="Y180" t="s">
        <v>89</v>
      </c>
      <c r="Z180" t="s">
        <v>38</v>
      </c>
      <c r="AA180">
        <v>4.5</v>
      </c>
      <c r="AB180" t="s">
        <v>57</v>
      </c>
      <c r="AC180" t="s">
        <v>71</v>
      </c>
    </row>
    <row r="181" spans="1:29" x14ac:dyDescent="0.3">
      <c r="A181" t="s">
        <v>296</v>
      </c>
      <c r="B181" s="6">
        <v>45834</v>
      </c>
      <c r="C181" s="6" t="str">
        <f t="shared" si="12"/>
        <v>12 PM - 4 PM</v>
      </c>
      <c r="D181" s="4">
        <v>0.65972222222222221</v>
      </c>
      <c r="E181" t="s">
        <v>77</v>
      </c>
      <c r="F181" t="s">
        <v>24</v>
      </c>
      <c r="G181" t="s">
        <v>88</v>
      </c>
      <c r="H181" t="s">
        <v>26</v>
      </c>
      <c r="I181" t="s">
        <v>63</v>
      </c>
      <c r="J181" t="s">
        <v>93</v>
      </c>
      <c r="K181">
        <v>1</v>
      </c>
      <c r="L181" s="8">
        <v>4900</v>
      </c>
      <c r="M181" s="8" t="str">
        <f t="shared" si="13"/>
        <v>11-20%</v>
      </c>
      <c r="N181">
        <v>15</v>
      </c>
      <c r="O181" t="str">
        <f t="shared" si="14"/>
        <v>Valid</v>
      </c>
      <c r="P181" t="str">
        <f t="shared" si="15"/>
        <v>Match</v>
      </c>
      <c r="Q181" s="8">
        <v>4900</v>
      </c>
      <c r="R181" s="8">
        <v>735</v>
      </c>
      <c r="S181" s="8">
        <v>4165</v>
      </c>
      <c r="T181" s="8">
        <v>2928.42</v>
      </c>
      <c r="U181" s="8">
        <v>1236.58</v>
      </c>
      <c r="V181" s="8" t="b">
        <f t="shared" si="16"/>
        <v>0</v>
      </c>
      <c r="W181" s="8">
        <f t="shared" si="17"/>
        <v>0</v>
      </c>
      <c r="X181" t="s">
        <v>36</v>
      </c>
      <c r="Y181" t="s">
        <v>37</v>
      </c>
      <c r="Z181" t="s">
        <v>80</v>
      </c>
      <c r="AA181">
        <v>4</v>
      </c>
      <c r="AB181" t="s">
        <v>48</v>
      </c>
      <c r="AC181" t="s">
        <v>67</v>
      </c>
    </row>
    <row r="182" spans="1:29" x14ac:dyDescent="0.3">
      <c r="A182" t="s">
        <v>297</v>
      </c>
      <c r="B182" s="6">
        <v>45960</v>
      </c>
      <c r="C182" s="6" t="str">
        <f t="shared" si="12"/>
        <v>4 PM - 8 PM</v>
      </c>
      <c r="D182" s="4">
        <v>0.71666666666666667</v>
      </c>
      <c r="E182" t="s">
        <v>108</v>
      </c>
      <c r="F182" t="s">
        <v>24</v>
      </c>
      <c r="G182" t="s">
        <v>120</v>
      </c>
      <c r="H182" t="s">
        <v>26</v>
      </c>
      <c r="I182" t="s">
        <v>27</v>
      </c>
      <c r="J182" t="s">
        <v>35</v>
      </c>
      <c r="K182">
        <v>2</v>
      </c>
      <c r="L182" s="8">
        <v>14450</v>
      </c>
      <c r="M182" s="8" t="str">
        <f t="shared" si="13"/>
        <v>0%</v>
      </c>
      <c r="N182">
        <v>0</v>
      </c>
      <c r="O182" t="str">
        <f t="shared" si="14"/>
        <v>Valid</v>
      </c>
      <c r="P182" t="str">
        <f t="shared" si="15"/>
        <v>Match</v>
      </c>
      <c r="Q182" s="8">
        <v>28900</v>
      </c>
      <c r="R182" s="8">
        <v>0</v>
      </c>
      <c r="S182" s="8">
        <v>28900</v>
      </c>
      <c r="T182" s="8">
        <v>17004.060000000001</v>
      </c>
      <c r="U182" s="8">
        <v>11895.94</v>
      </c>
      <c r="V182" s="8" t="b">
        <f t="shared" si="16"/>
        <v>0</v>
      </c>
      <c r="W182" s="8">
        <f t="shared" si="17"/>
        <v>0</v>
      </c>
      <c r="X182" t="s">
        <v>55</v>
      </c>
      <c r="Y182" t="s">
        <v>65</v>
      </c>
      <c r="Z182" t="s">
        <v>80</v>
      </c>
      <c r="AA182">
        <v>5</v>
      </c>
      <c r="AB182" t="s">
        <v>57</v>
      </c>
      <c r="AC182" t="s">
        <v>67</v>
      </c>
    </row>
    <row r="183" spans="1:29" x14ac:dyDescent="0.3">
      <c r="A183" t="s">
        <v>298</v>
      </c>
      <c r="B183" s="6">
        <v>45715</v>
      </c>
      <c r="C183" s="6" t="str">
        <f t="shared" si="12"/>
        <v>12 AM - 4 AM</v>
      </c>
      <c r="D183" s="4">
        <v>8.4027777777777785E-2</v>
      </c>
      <c r="E183" t="s">
        <v>108</v>
      </c>
      <c r="F183" t="s">
        <v>24</v>
      </c>
      <c r="G183" t="s">
        <v>33</v>
      </c>
      <c r="H183" t="s">
        <v>43</v>
      </c>
      <c r="I183" t="s">
        <v>63</v>
      </c>
      <c r="J183" t="s">
        <v>85</v>
      </c>
      <c r="K183">
        <v>1</v>
      </c>
      <c r="L183" s="8">
        <v>1200</v>
      </c>
      <c r="M183" s="8" t="str">
        <f t="shared" si="13"/>
        <v>21-30%</v>
      </c>
      <c r="N183">
        <v>25</v>
      </c>
      <c r="O183" t="str">
        <f t="shared" si="14"/>
        <v>Valid</v>
      </c>
      <c r="P183" t="str">
        <f t="shared" si="15"/>
        <v>Match</v>
      </c>
      <c r="Q183" s="8">
        <v>1200</v>
      </c>
      <c r="R183" s="8">
        <v>300</v>
      </c>
      <c r="S183" s="8">
        <v>900</v>
      </c>
      <c r="T183" s="8">
        <v>825.44</v>
      </c>
      <c r="U183" s="8">
        <v>74.56</v>
      </c>
      <c r="V183" s="8" t="b">
        <f t="shared" si="16"/>
        <v>0</v>
      </c>
      <c r="W183" s="8">
        <f t="shared" si="17"/>
        <v>0</v>
      </c>
      <c r="X183" t="s">
        <v>46</v>
      </c>
      <c r="Y183" t="s">
        <v>89</v>
      </c>
      <c r="Z183" t="s">
        <v>45</v>
      </c>
      <c r="AA183">
        <v>2.5</v>
      </c>
      <c r="AB183" t="s">
        <v>66</v>
      </c>
      <c r="AC183" t="s">
        <v>67</v>
      </c>
    </row>
    <row r="184" spans="1:29" x14ac:dyDescent="0.3">
      <c r="A184" t="s">
        <v>299</v>
      </c>
      <c r="B184" s="6">
        <v>46007</v>
      </c>
      <c r="C184" s="6" t="str">
        <f t="shared" si="12"/>
        <v>4 AM - 8 AM</v>
      </c>
      <c r="D184" s="4">
        <v>0.3034722222222222</v>
      </c>
      <c r="E184" t="s">
        <v>108</v>
      </c>
      <c r="F184" t="s">
        <v>24</v>
      </c>
      <c r="G184" t="s">
        <v>120</v>
      </c>
      <c r="H184" t="s">
        <v>102</v>
      </c>
      <c r="I184" t="s">
        <v>54</v>
      </c>
      <c r="J184" t="s">
        <v>78</v>
      </c>
      <c r="K184">
        <v>1</v>
      </c>
      <c r="L184" s="8">
        <v>11250</v>
      </c>
      <c r="M184" s="8" t="str">
        <f t="shared" si="13"/>
        <v>11-20%</v>
      </c>
      <c r="N184">
        <v>20</v>
      </c>
      <c r="O184" t="str">
        <f t="shared" si="14"/>
        <v>Valid</v>
      </c>
      <c r="P184" t="str">
        <f t="shared" si="15"/>
        <v>Match</v>
      </c>
      <c r="Q184" s="8">
        <v>11250</v>
      </c>
      <c r="R184" s="8">
        <v>2250</v>
      </c>
      <c r="S184" s="8">
        <v>9000</v>
      </c>
      <c r="T184" s="8">
        <v>6898.86</v>
      </c>
      <c r="U184" s="8">
        <v>2101.14</v>
      </c>
      <c r="V184" s="8" t="b">
        <f t="shared" si="16"/>
        <v>0</v>
      </c>
      <c r="W184" s="8">
        <f t="shared" si="17"/>
        <v>0</v>
      </c>
      <c r="X184" t="s">
        <v>46</v>
      </c>
      <c r="Y184" t="s">
        <v>65</v>
      </c>
      <c r="Z184" t="s">
        <v>80</v>
      </c>
      <c r="AA184">
        <v>4</v>
      </c>
      <c r="AB184" t="s">
        <v>39</v>
      </c>
      <c r="AC184" t="s">
        <v>86</v>
      </c>
    </row>
    <row r="185" spans="1:29" x14ac:dyDescent="0.3">
      <c r="A185" t="s">
        <v>300</v>
      </c>
      <c r="B185" s="6">
        <v>45988</v>
      </c>
      <c r="C185" s="6" t="str">
        <f t="shared" si="12"/>
        <v>4 PM - 8 PM</v>
      </c>
      <c r="D185" s="4">
        <v>0.68194444444444446</v>
      </c>
      <c r="E185" t="s">
        <v>77</v>
      </c>
      <c r="F185" t="s">
        <v>96</v>
      </c>
      <c r="G185" t="s">
        <v>134</v>
      </c>
      <c r="H185" t="s">
        <v>26</v>
      </c>
      <c r="I185" t="s">
        <v>125</v>
      </c>
      <c r="J185" t="s">
        <v>35</v>
      </c>
      <c r="K185">
        <v>1</v>
      </c>
      <c r="L185" s="8">
        <v>2850</v>
      </c>
      <c r="M185" s="8" t="str">
        <f t="shared" si="13"/>
        <v>11-20%</v>
      </c>
      <c r="N185">
        <v>20</v>
      </c>
      <c r="O185" t="str">
        <f t="shared" si="14"/>
        <v>Valid</v>
      </c>
      <c r="P185" t="str">
        <f t="shared" si="15"/>
        <v>Match</v>
      </c>
      <c r="Q185" s="8">
        <v>2850</v>
      </c>
      <c r="R185" s="8">
        <v>570</v>
      </c>
      <c r="S185" s="8">
        <v>2280</v>
      </c>
      <c r="T185" s="8">
        <v>2000.33</v>
      </c>
      <c r="U185" s="8">
        <v>279.67</v>
      </c>
      <c r="V185" s="8" t="b">
        <f t="shared" si="16"/>
        <v>0</v>
      </c>
      <c r="W185" s="8">
        <f t="shared" si="17"/>
        <v>0</v>
      </c>
      <c r="X185" t="s">
        <v>230</v>
      </c>
      <c r="Y185" t="s">
        <v>70</v>
      </c>
      <c r="Z185" t="s">
        <v>45</v>
      </c>
      <c r="AA185">
        <v>4</v>
      </c>
      <c r="AB185" t="s">
        <v>75</v>
      </c>
      <c r="AC185" t="s">
        <v>67</v>
      </c>
    </row>
    <row r="186" spans="1:29" x14ac:dyDescent="0.3">
      <c r="A186" t="s">
        <v>301</v>
      </c>
      <c r="B186" s="6">
        <v>45988</v>
      </c>
      <c r="C186" s="6" t="str">
        <f t="shared" si="12"/>
        <v>4 PM - 8 PM</v>
      </c>
      <c r="D186" s="4">
        <v>0.68263888888888891</v>
      </c>
      <c r="E186" t="s">
        <v>77</v>
      </c>
      <c r="F186" t="s">
        <v>51</v>
      </c>
      <c r="G186" t="s">
        <v>153</v>
      </c>
      <c r="H186" t="s">
        <v>43</v>
      </c>
      <c r="I186" t="s">
        <v>44</v>
      </c>
      <c r="J186" t="s">
        <v>35</v>
      </c>
      <c r="K186">
        <v>1</v>
      </c>
      <c r="L186" s="8">
        <v>2750</v>
      </c>
      <c r="M186" s="8" t="str">
        <f t="shared" si="13"/>
        <v>11-20%</v>
      </c>
      <c r="N186">
        <v>15</v>
      </c>
      <c r="O186" t="str">
        <f t="shared" si="14"/>
        <v>Valid</v>
      </c>
      <c r="P186" t="str">
        <f t="shared" si="15"/>
        <v>Match</v>
      </c>
      <c r="Q186" s="8">
        <v>2750</v>
      </c>
      <c r="R186" s="8">
        <v>412.5</v>
      </c>
      <c r="S186" s="8">
        <v>2337.5</v>
      </c>
      <c r="T186" s="8">
        <v>1884.54</v>
      </c>
      <c r="U186" s="8">
        <v>452.96</v>
      </c>
      <c r="V186" s="8" t="b">
        <f t="shared" si="16"/>
        <v>0</v>
      </c>
      <c r="W186" s="8">
        <f t="shared" si="17"/>
        <v>0</v>
      </c>
      <c r="X186" t="s">
        <v>28</v>
      </c>
      <c r="Y186" t="s">
        <v>104</v>
      </c>
      <c r="Z186" t="s">
        <v>56</v>
      </c>
      <c r="AA186">
        <v>4.5</v>
      </c>
      <c r="AB186" t="s">
        <v>75</v>
      </c>
      <c r="AC186" t="s">
        <v>67</v>
      </c>
    </row>
    <row r="187" spans="1:29" x14ac:dyDescent="0.3">
      <c r="A187" t="s">
        <v>302</v>
      </c>
      <c r="B187" s="6">
        <v>45760</v>
      </c>
      <c r="C187" s="6" t="str">
        <f t="shared" si="12"/>
        <v>8 PM - 12 AM</v>
      </c>
      <c r="D187" s="4">
        <v>0.84652777777777777</v>
      </c>
      <c r="E187" t="s">
        <v>60</v>
      </c>
      <c r="F187" t="s">
        <v>51</v>
      </c>
      <c r="G187" t="s">
        <v>73</v>
      </c>
      <c r="H187" t="s">
        <v>26</v>
      </c>
      <c r="I187" t="s">
        <v>98</v>
      </c>
      <c r="J187" t="s">
        <v>45</v>
      </c>
      <c r="K187">
        <v>2</v>
      </c>
      <c r="L187" s="8">
        <v>5600</v>
      </c>
      <c r="M187" s="8" t="str">
        <f t="shared" si="13"/>
        <v>1-10%</v>
      </c>
      <c r="N187">
        <v>5</v>
      </c>
      <c r="O187" t="str">
        <f t="shared" si="14"/>
        <v>Valid</v>
      </c>
      <c r="P187" t="str">
        <f t="shared" si="15"/>
        <v>Match</v>
      </c>
      <c r="Q187" s="8">
        <v>11200</v>
      </c>
      <c r="R187" s="8">
        <v>560</v>
      </c>
      <c r="S187" s="8">
        <v>10640</v>
      </c>
      <c r="T187" s="8">
        <v>5831.58</v>
      </c>
      <c r="U187" s="8">
        <v>4808.42</v>
      </c>
      <c r="V187" s="8" t="b">
        <f t="shared" si="16"/>
        <v>0</v>
      </c>
      <c r="W187" s="8">
        <f t="shared" si="17"/>
        <v>0</v>
      </c>
      <c r="X187" t="s">
        <v>55</v>
      </c>
      <c r="Y187" t="s">
        <v>65</v>
      </c>
      <c r="Z187" t="s">
        <v>38</v>
      </c>
      <c r="AA187">
        <v>4.5</v>
      </c>
      <c r="AB187" t="s">
        <v>99</v>
      </c>
      <c r="AC187" t="s">
        <v>30</v>
      </c>
    </row>
    <row r="188" spans="1:29" x14ac:dyDescent="0.3">
      <c r="A188" t="s">
        <v>303</v>
      </c>
      <c r="B188" s="6">
        <v>45741</v>
      </c>
      <c r="C188" s="6" t="str">
        <f t="shared" si="12"/>
        <v>4 PM - 8 PM</v>
      </c>
      <c r="D188" s="4">
        <v>0.67361111111111116</v>
      </c>
      <c r="E188" t="s">
        <v>60</v>
      </c>
      <c r="F188" t="s">
        <v>24</v>
      </c>
      <c r="G188" t="s">
        <v>88</v>
      </c>
      <c r="H188" t="s">
        <v>26</v>
      </c>
      <c r="I188" t="s">
        <v>82</v>
      </c>
      <c r="J188" t="s">
        <v>93</v>
      </c>
      <c r="K188">
        <v>4</v>
      </c>
      <c r="L188" s="8">
        <v>4000</v>
      </c>
      <c r="M188" s="8" t="str">
        <f t="shared" si="13"/>
        <v>11-20%</v>
      </c>
      <c r="N188">
        <v>15</v>
      </c>
      <c r="O188" t="str">
        <f t="shared" si="14"/>
        <v>Valid</v>
      </c>
      <c r="P188" t="str">
        <f t="shared" si="15"/>
        <v>Match</v>
      </c>
      <c r="Q188" s="8">
        <v>16000</v>
      </c>
      <c r="R188" s="8">
        <v>2400</v>
      </c>
      <c r="S188" s="8">
        <v>13600</v>
      </c>
      <c r="T188" s="8">
        <v>10407.629999999999</v>
      </c>
      <c r="U188" s="8">
        <v>3192.37</v>
      </c>
      <c r="V188" s="8" t="b">
        <f t="shared" si="16"/>
        <v>0</v>
      </c>
      <c r="W188" s="8">
        <f t="shared" si="17"/>
        <v>0</v>
      </c>
      <c r="X188" t="s">
        <v>36</v>
      </c>
      <c r="Y188" t="s">
        <v>65</v>
      </c>
      <c r="Z188" t="s">
        <v>56</v>
      </c>
      <c r="AA188">
        <v>3.5</v>
      </c>
      <c r="AB188" t="s">
        <v>127</v>
      </c>
      <c r="AC188" t="s">
        <v>86</v>
      </c>
    </row>
    <row r="189" spans="1:29" x14ac:dyDescent="0.3">
      <c r="A189" t="s">
        <v>304</v>
      </c>
      <c r="B189" s="6">
        <v>45898</v>
      </c>
      <c r="C189" s="6" t="str">
        <f t="shared" si="12"/>
        <v>8 AM - 12 PM</v>
      </c>
      <c r="D189" s="4">
        <v>0.45694444444444443</v>
      </c>
      <c r="E189" t="s">
        <v>23</v>
      </c>
      <c r="F189" t="s">
        <v>24</v>
      </c>
      <c r="G189" t="s">
        <v>25</v>
      </c>
      <c r="H189" t="s">
        <v>26</v>
      </c>
      <c r="I189" t="s">
        <v>82</v>
      </c>
      <c r="J189" t="s">
        <v>35</v>
      </c>
      <c r="K189">
        <v>3</v>
      </c>
      <c r="L189" s="8">
        <v>4400</v>
      </c>
      <c r="M189" s="8" t="str">
        <f t="shared" si="13"/>
        <v>11-20%</v>
      </c>
      <c r="N189">
        <v>15</v>
      </c>
      <c r="O189" t="str">
        <f t="shared" si="14"/>
        <v>Valid</v>
      </c>
      <c r="P189" t="str">
        <f t="shared" si="15"/>
        <v>Match</v>
      </c>
      <c r="Q189" s="8">
        <v>13200</v>
      </c>
      <c r="R189" s="8">
        <v>1980</v>
      </c>
      <c r="S189" s="8">
        <v>11220</v>
      </c>
      <c r="T189" s="8">
        <v>7150.36</v>
      </c>
      <c r="U189" s="8">
        <v>4069.64</v>
      </c>
      <c r="V189" s="8" t="b">
        <f t="shared" si="16"/>
        <v>0</v>
      </c>
      <c r="W189" s="8">
        <f t="shared" si="17"/>
        <v>0</v>
      </c>
      <c r="X189" t="s">
        <v>46</v>
      </c>
      <c r="Y189" t="s">
        <v>89</v>
      </c>
      <c r="Z189" t="s">
        <v>80</v>
      </c>
      <c r="AA189">
        <v>3.5</v>
      </c>
      <c r="AB189" t="s">
        <v>90</v>
      </c>
      <c r="AC189" t="s">
        <v>58</v>
      </c>
    </row>
    <row r="190" spans="1:29" x14ac:dyDescent="0.3">
      <c r="A190" t="s">
        <v>305</v>
      </c>
      <c r="B190" s="6">
        <v>45747</v>
      </c>
      <c r="C190" s="6" t="str">
        <f t="shared" si="12"/>
        <v>4 PM - 8 PM</v>
      </c>
      <c r="D190" s="4">
        <v>0.78263888888888888</v>
      </c>
      <c r="E190" t="s">
        <v>23</v>
      </c>
      <c r="F190" t="s">
        <v>24</v>
      </c>
      <c r="G190" t="s">
        <v>25</v>
      </c>
      <c r="H190" t="s">
        <v>34</v>
      </c>
      <c r="I190" t="s">
        <v>63</v>
      </c>
      <c r="J190" t="s">
        <v>45</v>
      </c>
      <c r="K190">
        <v>1</v>
      </c>
      <c r="L190" s="8">
        <v>3800</v>
      </c>
      <c r="M190" s="8" t="str">
        <f t="shared" si="13"/>
        <v>21-30%</v>
      </c>
      <c r="N190">
        <v>25</v>
      </c>
      <c r="O190" t="str">
        <f t="shared" si="14"/>
        <v>Valid</v>
      </c>
      <c r="P190" t="str">
        <f t="shared" si="15"/>
        <v>Match</v>
      </c>
      <c r="Q190" s="8">
        <v>3800</v>
      </c>
      <c r="R190" s="8">
        <v>950</v>
      </c>
      <c r="S190" s="8">
        <v>2850</v>
      </c>
      <c r="T190" s="8">
        <v>2069.2600000000002</v>
      </c>
      <c r="U190" s="8">
        <v>780.74</v>
      </c>
      <c r="V190" s="8" t="b">
        <f t="shared" si="16"/>
        <v>0</v>
      </c>
      <c r="W190" s="8">
        <f t="shared" si="17"/>
        <v>0</v>
      </c>
      <c r="X190" t="s">
        <v>28</v>
      </c>
      <c r="Y190" t="s">
        <v>70</v>
      </c>
      <c r="Z190" t="s">
        <v>80</v>
      </c>
      <c r="AA190">
        <v>4</v>
      </c>
      <c r="AB190" t="s">
        <v>127</v>
      </c>
      <c r="AC190" t="s">
        <v>49</v>
      </c>
    </row>
    <row r="191" spans="1:29" x14ac:dyDescent="0.3">
      <c r="A191" t="s">
        <v>306</v>
      </c>
      <c r="B191" s="6">
        <v>45770</v>
      </c>
      <c r="C191" s="6" t="str">
        <f t="shared" si="12"/>
        <v>4 AM - 8 AM</v>
      </c>
      <c r="D191" s="4">
        <v>0.31180555555555556</v>
      </c>
      <c r="E191" t="s">
        <v>23</v>
      </c>
      <c r="F191" t="s">
        <v>51</v>
      </c>
      <c r="G191" t="s">
        <v>140</v>
      </c>
      <c r="H191" t="s">
        <v>53</v>
      </c>
      <c r="I191" t="s">
        <v>44</v>
      </c>
      <c r="J191" t="s">
        <v>78</v>
      </c>
      <c r="K191">
        <v>1</v>
      </c>
      <c r="L191" s="8">
        <v>2400</v>
      </c>
      <c r="M191" s="8" t="str">
        <f t="shared" si="13"/>
        <v>1-10%</v>
      </c>
      <c r="N191">
        <v>5</v>
      </c>
      <c r="O191" t="str">
        <f t="shared" si="14"/>
        <v>Valid</v>
      </c>
      <c r="P191" t="str">
        <f t="shared" si="15"/>
        <v>Match</v>
      </c>
      <c r="Q191" s="8">
        <v>2400</v>
      </c>
      <c r="R191" s="8">
        <v>120</v>
      </c>
      <c r="S191" s="8">
        <v>2280</v>
      </c>
      <c r="T191" s="8">
        <v>1693.89</v>
      </c>
      <c r="U191" s="8">
        <v>586.11</v>
      </c>
      <c r="V191" s="8" t="b">
        <f t="shared" si="16"/>
        <v>0</v>
      </c>
      <c r="W191" s="8">
        <f t="shared" si="17"/>
        <v>0</v>
      </c>
      <c r="X191" t="s">
        <v>28</v>
      </c>
      <c r="Y191" t="s">
        <v>47</v>
      </c>
      <c r="Z191" t="s">
        <v>56</v>
      </c>
      <c r="AA191">
        <v>4</v>
      </c>
      <c r="AB191" t="s">
        <v>99</v>
      </c>
      <c r="AC191" t="s">
        <v>40</v>
      </c>
    </row>
    <row r="192" spans="1:29" x14ac:dyDescent="0.3">
      <c r="A192" t="s">
        <v>307</v>
      </c>
      <c r="B192" s="6">
        <v>45743</v>
      </c>
      <c r="C192" s="6" t="str">
        <f t="shared" si="12"/>
        <v>12 AM - 4 AM</v>
      </c>
      <c r="D192" s="4">
        <v>0.11944444444444445</v>
      </c>
      <c r="E192" t="s">
        <v>622</v>
      </c>
      <c r="F192" t="s">
        <v>24</v>
      </c>
      <c r="G192" t="s">
        <v>120</v>
      </c>
      <c r="H192" t="s">
        <v>113</v>
      </c>
      <c r="I192" t="s">
        <v>54</v>
      </c>
      <c r="J192" t="s">
        <v>35</v>
      </c>
      <c r="K192">
        <v>1</v>
      </c>
      <c r="L192" s="8">
        <v>6400</v>
      </c>
      <c r="M192" s="8" t="str">
        <f t="shared" si="13"/>
        <v>11-20%</v>
      </c>
      <c r="N192">
        <v>20</v>
      </c>
      <c r="O192" t="str">
        <f t="shared" si="14"/>
        <v>Valid</v>
      </c>
      <c r="P192" t="str">
        <f t="shared" si="15"/>
        <v>Match</v>
      </c>
      <c r="Q192" s="8">
        <v>6400</v>
      </c>
      <c r="R192" s="8">
        <v>1280</v>
      </c>
      <c r="S192" s="8">
        <v>5120</v>
      </c>
      <c r="T192" s="8">
        <v>4156.8500000000004</v>
      </c>
      <c r="U192" s="8">
        <v>963.15</v>
      </c>
      <c r="V192" s="8" t="b">
        <f t="shared" si="16"/>
        <v>0</v>
      </c>
      <c r="W192" s="8">
        <f t="shared" si="17"/>
        <v>0</v>
      </c>
      <c r="X192" t="s">
        <v>28</v>
      </c>
      <c r="Y192" t="s">
        <v>65</v>
      </c>
      <c r="Z192" t="s">
        <v>85</v>
      </c>
      <c r="AA192">
        <v>4.5</v>
      </c>
      <c r="AB192" t="s">
        <v>127</v>
      </c>
      <c r="AC192" t="s">
        <v>67</v>
      </c>
    </row>
    <row r="193" spans="1:29" x14ac:dyDescent="0.3">
      <c r="A193" t="s">
        <v>308</v>
      </c>
      <c r="B193" s="6">
        <v>45894</v>
      </c>
      <c r="C193" s="6" t="str">
        <f t="shared" si="12"/>
        <v>12 PM - 4 PM</v>
      </c>
      <c r="D193" s="4">
        <v>0.59375</v>
      </c>
      <c r="E193" t="s">
        <v>32</v>
      </c>
      <c r="F193" t="s">
        <v>96</v>
      </c>
      <c r="G193" t="s">
        <v>129</v>
      </c>
      <c r="H193" t="s">
        <v>74</v>
      </c>
      <c r="I193" t="s">
        <v>98</v>
      </c>
      <c r="J193" t="s">
        <v>45</v>
      </c>
      <c r="K193">
        <v>1</v>
      </c>
      <c r="L193" s="8">
        <v>1250</v>
      </c>
      <c r="M193" s="8" t="str">
        <f t="shared" si="13"/>
        <v>0%</v>
      </c>
      <c r="N193">
        <v>0</v>
      </c>
      <c r="O193" t="str">
        <f t="shared" si="14"/>
        <v>Valid</v>
      </c>
      <c r="P193" t="str">
        <f t="shared" si="15"/>
        <v>Match</v>
      </c>
      <c r="Q193" s="8">
        <v>1250</v>
      </c>
      <c r="R193" s="8">
        <v>0</v>
      </c>
      <c r="S193" s="8">
        <v>1250</v>
      </c>
      <c r="T193" s="8">
        <v>706.93</v>
      </c>
      <c r="U193" s="8">
        <v>543.07000000000005</v>
      </c>
      <c r="V193" s="8" t="b">
        <f t="shared" si="16"/>
        <v>0</v>
      </c>
      <c r="W193" s="8">
        <f t="shared" si="17"/>
        <v>0</v>
      </c>
      <c r="X193" t="s">
        <v>55</v>
      </c>
      <c r="Y193" t="s">
        <v>94</v>
      </c>
      <c r="Z193" t="s">
        <v>56</v>
      </c>
      <c r="AA193">
        <v>4</v>
      </c>
      <c r="AB193" t="s">
        <v>90</v>
      </c>
      <c r="AC193" t="s">
        <v>49</v>
      </c>
    </row>
    <row r="194" spans="1:29" x14ac:dyDescent="0.3">
      <c r="A194" t="s">
        <v>309</v>
      </c>
      <c r="B194" s="6">
        <v>45873</v>
      </c>
      <c r="C194" s="6" t="str">
        <f t="shared" ref="C194:C257" si="18">IF(D194&lt;TIME(4,0,0),"12 AM - 4 AM",IF(D194&lt;TIME(8,0,0),"4 AM - 8 AM",IF(D194&lt;TIME(12,0,0),"8 AM - 12 PM",IF(D194&lt;TIME(16,0,0),"12 PM - 4 PM",IF(D194&lt;TIME(20,0,0),"4 PM - 8 PM","8 PM - 12 AM")))))</f>
        <v>4 AM - 8 AM</v>
      </c>
      <c r="D194" s="4">
        <v>0.30069444444444443</v>
      </c>
      <c r="E194" t="s">
        <v>108</v>
      </c>
      <c r="F194" t="s">
        <v>24</v>
      </c>
      <c r="G194" t="s">
        <v>84</v>
      </c>
      <c r="H194" t="s">
        <v>53</v>
      </c>
      <c r="I194" t="s">
        <v>92</v>
      </c>
      <c r="J194" t="s">
        <v>35</v>
      </c>
      <c r="K194">
        <v>1</v>
      </c>
      <c r="L194" s="8">
        <v>11600</v>
      </c>
      <c r="M194" s="8" t="str">
        <f t="shared" ref="M194:M257" si="19">IF(N194&lt;0,"Invalid",IF(N194=0,"0%",IF(N194&lt;=10,"1-10%",IF(N194&lt;=20,"11-20%",IF(N194&lt;=30,"21-30%","30%+")))))</f>
        <v>21-30%</v>
      </c>
      <c r="N194">
        <v>30</v>
      </c>
      <c r="O194" t="str">
        <f t="shared" ref="O194:O257" si="20">IF(OR(N194&lt;0,N194&gt;100),"Invalid Discount","Valid")</f>
        <v>Valid</v>
      </c>
      <c r="P194" t="str">
        <f t="shared" ref="P194:P257" si="21">IF(ROUND(R194,2)=ROUND(Q194*N194/100,2),"Match","Mismatch")</f>
        <v>Match</v>
      </c>
      <c r="Q194" s="8">
        <v>11600</v>
      </c>
      <c r="R194" s="8">
        <v>3480</v>
      </c>
      <c r="S194" s="8">
        <v>8120</v>
      </c>
      <c r="T194" s="8">
        <v>7439.43</v>
      </c>
      <c r="U194" s="8">
        <v>680.57</v>
      </c>
      <c r="V194" s="8" t="b">
        <f t="shared" ref="V194:V257" si="22">IF(AND(S194-T194&lt;0,U194=S194-T194),TRUE,FALSE)</f>
        <v>0</v>
      </c>
      <c r="W194" s="8">
        <f t="shared" ref="W194:W257" si="23">IF(V194=TRUE,ABS(U194),0)</f>
        <v>0</v>
      </c>
      <c r="X194" t="s">
        <v>46</v>
      </c>
      <c r="Y194" t="s">
        <v>65</v>
      </c>
      <c r="Z194" t="s">
        <v>38</v>
      </c>
      <c r="AA194">
        <v>5</v>
      </c>
      <c r="AB194" t="s">
        <v>90</v>
      </c>
      <c r="AC194" t="s">
        <v>49</v>
      </c>
    </row>
    <row r="195" spans="1:29" x14ac:dyDescent="0.3">
      <c r="A195" t="s">
        <v>310</v>
      </c>
      <c r="B195" s="6">
        <v>45741</v>
      </c>
      <c r="C195" s="6" t="str">
        <f t="shared" si="18"/>
        <v>12 PM - 4 PM</v>
      </c>
      <c r="D195" s="4">
        <v>0.52013888888888893</v>
      </c>
      <c r="E195" t="s">
        <v>622</v>
      </c>
      <c r="F195" t="s">
        <v>24</v>
      </c>
      <c r="G195" t="s">
        <v>88</v>
      </c>
      <c r="H195" t="s">
        <v>34</v>
      </c>
      <c r="I195" t="s">
        <v>54</v>
      </c>
      <c r="J195" t="s">
        <v>78</v>
      </c>
      <c r="K195">
        <v>1</v>
      </c>
      <c r="L195" s="8">
        <v>850</v>
      </c>
      <c r="M195" s="8" t="str">
        <f t="shared" si="19"/>
        <v>11-20%</v>
      </c>
      <c r="N195">
        <v>15</v>
      </c>
      <c r="O195" t="str">
        <f t="shared" si="20"/>
        <v>Valid</v>
      </c>
      <c r="P195" t="str">
        <f t="shared" si="21"/>
        <v>Match</v>
      </c>
      <c r="Q195" s="8">
        <v>850</v>
      </c>
      <c r="R195" s="8">
        <v>127.5</v>
      </c>
      <c r="S195" s="8">
        <v>722.5</v>
      </c>
      <c r="T195" s="8">
        <v>563.51</v>
      </c>
      <c r="U195" s="8">
        <v>158.99</v>
      </c>
      <c r="V195" s="8" t="b">
        <f t="shared" si="22"/>
        <v>0</v>
      </c>
      <c r="W195" s="8">
        <f t="shared" si="23"/>
        <v>0</v>
      </c>
      <c r="X195" t="s">
        <v>46</v>
      </c>
      <c r="Y195" t="s">
        <v>65</v>
      </c>
      <c r="Z195" t="s">
        <v>64</v>
      </c>
      <c r="AA195">
        <v>3.5</v>
      </c>
      <c r="AB195" t="s">
        <v>127</v>
      </c>
      <c r="AC195" t="s">
        <v>86</v>
      </c>
    </row>
    <row r="196" spans="1:29" x14ac:dyDescent="0.3">
      <c r="A196" t="s">
        <v>311</v>
      </c>
      <c r="B196" s="6">
        <v>45996</v>
      </c>
      <c r="C196" s="6" t="str">
        <f t="shared" si="18"/>
        <v>12 AM - 4 AM</v>
      </c>
      <c r="D196" s="4">
        <v>0.1111111111111111</v>
      </c>
      <c r="E196" t="s">
        <v>77</v>
      </c>
      <c r="F196" t="s">
        <v>24</v>
      </c>
      <c r="G196" t="s">
        <v>84</v>
      </c>
      <c r="H196" t="s">
        <v>113</v>
      </c>
      <c r="I196" t="s">
        <v>98</v>
      </c>
      <c r="J196" t="s">
        <v>78</v>
      </c>
      <c r="K196">
        <v>2</v>
      </c>
      <c r="L196" s="8">
        <v>31550</v>
      </c>
      <c r="M196" s="8" t="str">
        <f t="shared" si="19"/>
        <v>1-10%</v>
      </c>
      <c r="N196">
        <v>10</v>
      </c>
      <c r="O196" t="str">
        <f t="shared" si="20"/>
        <v>Valid</v>
      </c>
      <c r="P196" t="str">
        <f t="shared" si="21"/>
        <v>Match</v>
      </c>
      <c r="Q196" s="8">
        <v>63100</v>
      </c>
      <c r="R196" s="8">
        <v>6310</v>
      </c>
      <c r="S196" s="8">
        <v>56790</v>
      </c>
      <c r="T196" s="8">
        <v>36901.199999999997</v>
      </c>
      <c r="U196" s="8">
        <v>19888.8</v>
      </c>
      <c r="V196" s="8" t="b">
        <f t="shared" si="22"/>
        <v>0</v>
      </c>
      <c r="W196" s="8">
        <f t="shared" si="23"/>
        <v>0</v>
      </c>
      <c r="X196" t="s">
        <v>79</v>
      </c>
      <c r="Y196" t="s">
        <v>70</v>
      </c>
      <c r="Z196" t="s">
        <v>45</v>
      </c>
      <c r="AA196">
        <v>5</v>
      </c>
      <c r="AB196" t="s">
        <v>39</v>
      </c>
      <c r="AC196" t="s">
        <v>58</v>
      </c>
    </row>
    <row r="197" spans="1:29" x14ac:dyDescent="0.3">
      <c r="A197" t="s">
        <v>312</v>
      </c>
      <c r="B197" s="6">
        <v>45782</v>
      </c>
      <c r="C197" s="6" t="str">
        <f t="shared" si="18"/>
        <v>4 PM - 8 PM</v>
      </c>
      <c r="D197" s="4">
        <v>0.79513888888888884</v>
      </c>
      <c r="E197" t="s">
        <v>622</v>
      </c>
      <c r="F197" t="s">
        <v>24</v>
      </c>
      <c r="G197" t="s">
        <v>42</v>
      </c>
      <c r="H197" t="s">
        <v>62</v>
      </c>
      <c r="I197" t="s">
        <v>54</v>
      </c>
      <c r="J197" t="s">
        <v>35</v>
      </c>
      <c r="K197">
        <v>1</v>
      </c>
      <c r="L197" s="8">
        <v>42900</v>
      </c>
      <c r="M197" s="8" t="str">
        <f t="shared" si="19"/>
        <v>21-30%</v>
      </c>
      <c r="N197">
        <v>25</v>
      </c>
      <c r="O197" t="str">
        <f t="shared" si="20"/>
        <v>Valid</v>
      </c>
      <c r="P197" t="str">
        <f t="shared" si="21"/>
        <v>Match</v>
      </c>
      <c r="Q197" s="8">
        <v>42900</v>
      </c>
      <c r="R197" s="8">
        <v>10725</v>
      </c>
      <c r="S197" s="8">
        <v>32175</v>
      </c>
      <c r="T197" s="8">
        <v>26352.16</v>
      </c>
      <c r="U197" s="8">
        <v>5822.84</v>
      </c>
      <c r="V197" s="8" t="b">
        <f t="shared" si="22"/>
        <v>0</v>
      </c>
      <c r="W197" s="8">
        <f t="shared" si="23"/>
        <v>0</v>
      </c>
      <c r="X197" t="s">
        <v>36</v>
      </c>
      <c r="Y197" t="s">
        <v>65</v>
      </c>
      <c r="Z197" t="s">
        <v>80</v>
      </c>
      <c r="AA197">
        <v>3.5</v>
      </c>
      <c r="AB197" t="s">
        <v>111</v>
      </c>
      <c r="AC197" t="s">
        <v>49</v>
      </c>
    </row>
    <row r="198" spans="1:29" x14ac:dyDescent="0.3">
      <c r="A198" t="s">
        <v>313</v>
      </c>
      <c r="B198" s="6">
        <v>45813</v>
      </c>
      <c r="C198" s="6" t="str">
        <f t="shared" si="18"/>
        <v>8 AM - 12 PM</v>
      </c>
      <c r="D198" s="4">
        <v>0.38680555555555557</v>
      </c>
      <c r="E198" t="s">
        <v>108</v>
      </c>
      <c r="F198" t="s">
        <v>24</v>
      </c>
      <c r="G198" t="s">
        <v>110</v>
      </c>
      <c r="H198" t="s">
        <v>26</v>
      </c>
      <c r="I198" t="s">
        <v>92</v>
      </c>
      <c r="J198" t="s">
        <v>35</v>
      </c>
      <c r="K198">
        <v>3</v>
      </c>
      <c r="L198" s="8">
        <v>6500</v>
      </c>
      <c r="M198" s="8" t="str">
        <f t="shared" si="19"/>
        <v>0%</v>
      </c>
      <c r="N198">
        <v>0</v>
      </c>
      <c r="O198" t="str">
        <f t="shared" si="20"/>
        <v>Valid</v>
      </c>
      <c r="P198" t="str">
        <f t="shared" si="21"/>
        <v>Match</v>
      </c>
      <c r="Q198" s="8">
        <v>19500</v>
      </c>
      <c r="R198" s="8">
        <v>0</v>
      </c>
      <c r="S198" s="8">
        <v>19500</v>
      </c>
      <c r="T198" s="8">
        <v>11589.45</v>
      </c>
      <c r="U198" s="8">
        <v>7910.55</v>
      </c>
      <c r="V198" s="8" t="b">
        <f t="shared" si="22"/>
        <v>0</v>
      </c>
      <c r="W198" s="8">
        <f t="shared" si="23"/>
        <v>0</v>
      </c>
      <c r="X198" t="s">
        <v>79</v>
      </c>
      <c r="Y198" t="s">
        <v>65</v>
      </c>
      <c r="Z198" t="s">
        <v>38</v>
      </c>
      <c r="AA198">
        <v>3.5</v>
      </c>
      <c r="AB198" t="s">
        <v>48</v>
      </c>
      <c r="AC198" t="s">
        <v>67</v>
      </c>
    </row>
    <row r="199" spans="1:29" x14ac:dyDescent="0.3">
      <c r="A199" t="s">
        <v>314</v>
      </c>
      <c r="B199" s="6">
        <v>45679</v>
      </c>
      <c r="C199" s="6" t="str">
        <f t="shared" si="18"/>
        <v>8 PM - 12 AM</v>
      </c>
      <c r="D199" s="4">
        <v>0.93194444444444446</v>
      </c>
      <c r="E199" t="s">
        <v>77</v>
      </c>
      <c r="F199" t="s">
        <v>51</v>
      </c>
      <c r="G199" t="s">
        <v>140</v>
      </c>
      <c r="H199" t="s">
        <v>43</v>
      </c>
      <c r="I199" t="s">
        <v>103</v>
      </c>
      <c r="J199" t="s">
        <v>35</v>
      </c>
      <c r="K199">
        <v>2</v>
      </c>
      <c r="L199" s="8">
        <v>4900</v>
      </c>
      <c r="M199" s="8" t="str">
        <f t="shared" si="19"/>
        <v>1-10%</v>
      </c>
      <c r="N199">
        <v>5</v>
      </c>
      <c r="O199" t="str">
        <f t="shared" si="20"/>
        <v>Valid</v>
      </c>
      <c r="P199" t="str">
        <f t="shared" si="21"/>
        <v>Match</v>
      </c>
      <c r="Q199" s="8">
        <v>9800</v>
      </c>
      <c r="R199" s="8">
        <v>490</v>
      </c>
      <c r="S199" s="8">
        <v>9310</v>
      </c>
      <c r="T199" s="8">
        <v>6362.07</v>
      </c>
      <c r="U199" s="8">
        <v>2947.93</v>
      </c>
      <c r="V199" s="8" t="b">
        <f t="shared" si="22"/>
        <v>0</v>
      </c>
      <c r="W199" s="8">
        <f t="shared" si="23"/>
        <v>0</v>
      </c>
      <c r="X199" t="s">
        <v>28</v>
      </c>
      <c r="Y199" t="s">
        <v>70</v>
      </c>
      <c r="Z199" t="s">
        <v>85</v>
      </c>
      <c r="AA199">
        <v>4</v>
      </c>
      <c r="AB199" t="s">
        <v>151</v>
      </c>
      <c r="AC199" t="s">
        <v>40</v>
      </c>
    </row>
    <row r="200" spans="1:29" x14ac:dyDescent="0.3">
      <c r="A200" t="s">
        <v>315</v>
      </c>
      <c r="B200" s="6">
        <v>46011</v>
      </c>
      <c r="C200" s="6" t="str">
        <f t="shared" si="18"/>
        <v>8 AM - 12 PM</v>
      </c>
      <c r="D200" s="4">
        <v>0.38611111111111113</v>
      </c>
      <c r="E200" t="s">
        <v>108</v>
      </c>
      <c r="F200" t="s">
        <v>24</v>
      </c>
      <c r="G200" t="s">
        <v>120</v>
      </c>
      <c r="H200" t="s">
        <v>62</v>
      </c>
      <c r="I200" t="s">
        <v>82</v>
      </c>
      <c r="J200" t="s">
        <v>35</v>
      </c>
      <c r="K200">
        <v>2</v>
      </c>
      <c r="L200" s="8">
        <v>9500</v>
      </c>
      <c r="M200" s="8" t="str">
        <f t="shared" si="19"/>
        <v>0%</v>
      </c>
      <c r="N200">
        <v>0</v>
      </c>
      <c r="O200" t="str">
        <f t="shared" si="20"/>
        <v>Valid</v>
      </c>
      <c r="P200" t="str">
        <f t="shared" si="21"/>
        <v>Match</v>
      </c>
      <c r="Q200" s="8">
        <v>19000</v>
      </c>
      <c r="R200" s="8">
        <v>0</v>
      </c>
      <c r="S200" s="8">
        <v>19000</v>
      </c>
      <c r="T200" s="8">
        <v>12557.78</v>
      </c>
      <c r="U200" s="8">
        <v>6442.22</v>
      </c>
      <c r="V200" s="8" t="b">
        <f t="shared" si="22"/>
        <v>0</v>
      </c>
      <c r="W200" s="8">
        <f t="shared" si="23"/>
        <v>0</v>
      </c>
      <c r="X200" t="s">
        <v>46</v>
      </c>
      <c r="Y200" t="s">
        <v>65</v>
      </c>
      <c r="Z200" t="s">
        <v>56</v>
      </c>
      <c r="AA200">
        <v>4</v>
      </c>
      <c r="AB200" t="s">
        <v>39</v>
      </c>
      <c r="AC200" t="s">
        <v>71</v>
      </c>
    </row>
    <row r="201" spans="1:29" x14ac:dyDescent="0.3">
      <c r="A201" t="s">
        <v>316</v>
      </c>
      <c r="B201" s="6">
        <v>45756</v>
      </c>
      <c r="C201" s="6" t="str">
        <f t="shared" si="18"/>
        <v>4 AM - 8 AM</v>
      </c>
      <c r="D201" s="4">
        <v>0.28680555555555554</v>
      </c>
      <c r="E201" t="s">
        <v>622</v>
      </c>
      <c r="F201" t="s">
        <v>24</v>
      </c>
      <c r="G201" t="s">
        <v>84</v>
      </c>
      <c r="H201" t="s">
        <v>34</v>
      </c>
      <c r="I201" t="s">
        <v>27</v>
      </c>
      <c r="J201" t="s">
        <v>35</v>
      </c>
      <c r="K201">
        <v>1</v>
      </c>
      <c r="L201" s="8">
        <v>27700</v>
      </c>
      <c r="M201" s="8" t="str">
        <f t="shared" si="19"/>
        <v>11-20%</v>
      </c>
      <c r="N201">
        <v>20</v>
      </c>
      <c r="O201" t="str">
        <f t="shared" si="20"/>
        <v>Valid</v>
      </c>
      <c r="P201" t="str">
        <f t="shared" si="21"/>
        <v>Match</v>
      </c>
      <c r="Q201" s="8">
        <v>27700</v>
      </c>
      <c r="R201" s="8">
        <v>5540</v>
      </c>
      <c r="S201" s="8">
        <v>22160</v>
      </c>
      <c r="T201" s="8">
        <v>14580.41</v>
      </c>
      <c r="U201" s="8">
        <v>7579.59</v>
      </c>
      <c r="V201" s="8" t="b">
        <f t="shared" si="22"/>
        <v>0</v>
      </c>
      <c r="W201" s="8">
        <f t="shared" si="23"/>
        <v>0</v>
      </c>
      <c r="X201" t="s">
        <v>79</v>
      </c>
      <c r="Y201" t="s">
        <v>89</v>
      </c>
      <c r="Z201" t="s">
        <v>1138</v>
      </c>
      <c r="AA201">
        <v>5</v>
      </c>
      <c r="AB201" t="s">
        <v>99</v>
      </c>
      <c r="AC201" t="s">
        <v>40</v>
      </c>
    </row>
    <row r="202" spans="1:29" x14ac:dyDescent="0.3">
      <c r="A202" t="s">
        <v>317</v>
      </c>
      <c r="B202" s="6">
        <v>45944</v>
      </c>
      <c r="C202" s="6" t="str">
        <f t="shared" si="18"/>
        <v>8 AM - 12 PM</v>
      </c>
      <c r="D202" s="4">
        <v>0.46319444444444446</v>
      </c>
      <c r="E202" t="s">
        <v>108</v>
      </c>
      <c r="F202" t="s">
        <v>51</v>
      </c>
      <c r="G202" t="s">
        <v>140</v>
      </c>
      <c r="H202" t="s">
        <v>53</v>
      </c>
      <c r="I202" t="s">
        <v>103</v>
      </c>
      <c r="J202" t="s">
        <v>35</v>
      </c>
      <c r="K202">
        <v>3</v>
      </c>
      <c r="L202" s="8">
        <v>2150</v>
      </c>
      <c r="M202" s="8" t="str">
        <f t="shared" si="19"/>
        <v>0%</v>
      </c>
      <c r="N202">
        <v>0</v>
      </c>
      <c r="O202" t="str">
        <f t="shared" si="20"/>
        <v>Valid</v>
      </c>
      <c r="P202" t="str">
        <f t="shared" si="21"/>
        <v>Match</v>
      </c>
      <c r="Q202" s="8">
        <v>6450</v>
      </c>
      <c r="R202" s="8">
        <v>0</v>
      </c>
      <c r="S202" s="8">
        <v>6450</v>
      </c>
      <c r="T202" s="8">
        <v>3355.2</v>
      </c>
      <c r="U202" s="8">
        <v>3094.8</v>
      </c>
      <c r="V202" s="8" t="b">
        <f t="shared" si="22"/>
        <v>0</v>
      </c>
      <c r="W202" s="8">
        <f t="shared" si="23"/>
        <v>0</v>
      </c>
      <c r="X202" t="s">
        <v>79</v>
      </c>
      <c r="Y202" t="s">
        <v>65</v>
      </c>
      <c r="Z202" t="s">
        <v>38</v>
      </c>
      <c r="AA202">
        <v>5</v>
      </c>
      <c r="AB202" t="s">
        <v>57</v>
      </c>
      <c r="AC202" t="s">
        <v>86</v>
      </c>
    </row>
    <row r="203" spans="1:29" x14ac:dyDescent="0.3">
      <c r="A203" t="s">
        <v>318</v>
      </c>
      <c r="B203" s="6">
        <v>45697</v>
      </c>
      <c r="C203" s="6" t="str">
        <f t="shared" si="18"/>
        <v>8 AM - 12 PM</v>
      </c>
      <c r="D203" s="4">
        <v>0.44166666666666665</v>
      </c>
      <c r="E203" t="s">
        <v>77</v>
      </c>
      <c r="F203" t="s">
        <v>51</v>
      </c>
      <c r="G203" t="s">
        <v>52</v>
      </c>
      <c r="H203" t="s">
        <v>74</v>
      </c>
      <c r="I203" t="s">
        <v>63</v>
      </c>
      <c r="J203" t="s">
        <v>45</v>
      </c>
      <c r="K203">
        <v>2</v>
      </c>
      <c r="L203" s="8">
        <v>22100</v>
      </c>
      <c r="M203" s="8" t="str">
        <f t="shared" si="19"/>
        <v>11-20%</v>
      </c>
      <c r="N203">
        <v>15</v>
      </c>
      <c r="O203" t="str">
        <f t="shared" si="20"/>
        <v>Valid</v>
      </c>
      <c r="P203" t="str">
        <f t="shared" si="21"/>
        <v>Match</v>
      </c>
      <c r="Q203" s="8">
        <v>44200</v>
      </c>
      <c r="R203" s="8">
        <v>6630</v>
      </c>
      <c r="S203" s="8">
        <v>37570</v>
      </c>
      <c r="T203" s="8">
        <v>23166.240000000002</v>
      </c>
      <c r="U203" s="8">
        <v>14403.76</v>
      </c>
      <c r="V203" s="8" t="b">
        <f t="shared" si="22"/>
        <v>0</v>
      </c>
      <c r="W203" s="8">
        <f t="shared" si="23"/>
        <v>0</v>
      </c>
      <c r="X203" t="s">
        <v>28</v>
      </c>
      <c r="Y203" t="s">
        <v>37</v>
      </c>
      <c r="Z203" t="s">
        <v>56</v>
      </c>
      <c r="AA203">
        <v>4</v>
      </c>
      <c r="AB203" t="s">
        <v>66</v>
      </c>
      <c r="AC203" t="s">
        <v>30</v>
      </c>
    </row>
    <row r="204" spans="1:29" x14ac:dyDescent="0.3">
      <c r="A204" t="s">
        <v>319</v>
      </c>
      <c r="B204" s="6">
        <v>45924</v>
      </c>
      <c r="C204" s="6" t="str">
        <f t="shared" si="18"/>
        <v>12 PM - 4 PM</v>
      </c>
      <c r="D204" s="4">
        <v>0.65277777777777779</v>
      </c>
      <c r="E204" t="s">
        <v>23</v>
      </c>
      <c r="F204" t="s">
        <v>51</v>
      </c>
      <c r="G204" t="s">
        <v>101</v>
      </c>
      <c r="H204" t="s">
        <v>74</v>
      </c>
      <c r="I204" t="s">
        <v>44</v>
      </c>
      <c r="J204" t="s">
        <v>85</v>
      </c>
      <c r="K204">
        <v>2</v>
      </c>
      <c r="L204" s="8" t="s">
        <v>320</v>
      </c>
      <c r="M204" s="8" t="str">
        <f t="shared" si="19"/>
        <v>21-30%</v>
      </c>
      <c r="N204">
        <v>30</v>
      </c>
      <c r="O204" t="str">
        <f t="shared" si="20"/>
        <v>Valid</v>
      </c>
      <c r="P204" t="str">
        <f t="shared" si="21"/>
        <v>Match</v>
      </c>
      <c r="Q204" s="8">
        <v>20600</v>
      </c>
      <c r="R204" s="8">
        <v>6180</v>
      </c>
      <c r="S204" s="8">
        <v>14420</v>
      </c>
      <c r="T204" s="8">
        <v>13601.88</v>
      </c>
      <c r="U204" s="8">
        <v>818.12</v>
      </c>
      <c r="V204" s="8" t="b">
        <f t="shared" si="22"/>
        <v>0</v>
      </c>
      <c r="W204" s="8">
        <f t="shared" si="23"/>
        <v>0</v>
      </c>
      <c r="X204" t="s">
        <v>36</v>
      </c>
      <c r="Y204" t="s">
        <v>70</v>
      </c>
      <c r="Z204" t="s">
        <v>85</v>
      </c>
      <c r="AA204">
        <v>3.5</v>
      </c>
      <c r="AB204" t="s">
        <v>155</v>
      </c>
      <c r="AC204" t="s">
        <v>40</v>
      </c>
    </row>
    <row r="205" spans="1:29" x14ac:dyDescent="0.3">
      <c r="A205" t="s">
        <v>321</v>
      </c>
      <c r="B205" s="6">
        <v>45879</v>
      </c>
      <c r="C205" s="6" t="str">
        <f t="shared" si="18"/>
        <v>12 PM - 4 PM</v>
      </c>
      <c r="D205" s="4">
        <v>0.5083333333333333</v>
      </c>
      <c r="E205" t="s">
        <v>23</v>
      </c>
      <c r="F205" t="s">
        <v>24</v>
      </c>
      <c r="G205" t="s">
        <v>33</v>
      </c>
      <c r="H205" t="s">
        <v>26</v>
      </c>
      <c r="I205" t="s">
        <v>98</v>
      </c>
      <c r="J205" t="s">
        <v>93</v>
      </c>
      <c r="K205">
        <v>2</v>
      </c>
      <c r="L205" s="8">
        <v>3800</v>
      </c>
      <c r="M205" s="8" t="str">
        <f t="shared" si="19"/>
        <v>21-30%</v>
      </c>
      <c r="N205">
        <v>30</v>
      </c>
      <c r="O205" t="str">
        <f t="shared" si="20"/>
        <v>Valid</v>
      </c>
      <c r="P205" t="str">
        <f t="shared" si="21"/>
        <v>Match</v>
      </c>
      <c r="Q205" s="8">
        <v>7600</v>
      </c>
      <c r="R205" s="8">
        <v>2280</v>
      </c>
      <c r="S205" s="8">
        <v>5320</v>
      </c>
      <c r="T205" s="8">
        <v>4346.2700000000004</v>
      </c>
      <c r="U205" s="8">
        <v>973.73</v>
      </c>
      <c r="V205" s="8" t="b">
        <f t="shared" si="22"/>
        <v>0</v>
      </c>
      <c r="W205" s="8">
        <f t="shared" si="23"/>
        <v>0</v>
      </c>
      <c r="X205" t="s">
        <v>55</v>
      </c>
      <c r="Y205" t="s">
        <v>47</v>
      </c>
      <c r="Z205" t="s">
        <v>1138</v>
      </c>
      <c r="AA205">
        <v>4</v>
      </c>
      <c r="AB205" t="s">
        <v>90</v>
      </c>
      <c r="AC205" t="s">
        <v>30</v>
      </c>
    </row>
    <row r="206" spans="1:29" x14ac:dyDescent="0.3">
      <c r="A206" t="s">
        <v>322</v>
      </c>
      <c r="B206" s="6">
        <v>45723</v>
      </c>
      <c r="C206" s="6" t="str">
        <f t="shared" si="18"/>
        <v>8 AM - 12 PM</v>
      </c>
      <c r="D206" s="4">
        <v>0.40763888888888888</v>
      </c>
      <c r="E206" t="s">
        <v>622</v>
      </c>
      <c r="F206" t="s">
        <v>24</v>
      </c>
      <c r="G206" t="s">
        <v>110</v>
      </c>
      <c r="H206" t="s">
        <v>34</v>
      </c>
      <c r="I206" t="s">
        <v>27</v>
      </c>
      <c r="J206" t="s">
        <v>35</v>
      </c>
      <c r="K206">
        <v>2</v>
      </c>
      <c r="L206" s="8">
        <v>3650</v>
      </c>
      <c r="M206" s="8" t="str">
        <f t="shared" si="19"/>
        <v>1-10%</v>
      </c>
      <c r="N206">
        <v>10</v>
      </c>
      <c r="O206" t="str">
        <f t="shared" si="20"/>
        <v>Valid</v>
      </c>
      <c r="P206" t="str">
        <f t="shared" si="21"/>
        <v>Match</v>
      </c>
      <c r="Q206" s="8">
        <v>7300</v>
      </c>
      <c r="R206" s="8">
        <v>730</v>
      </c>
      <c r="S206" s="8">
        <v>6570</v>
      </c>
      <c r="T206" s="8">
        <v>4019.15</v>
      </c>
      <c r="U206" s="8">
        <v>2550.85</v>
      </c>
      <c r="V206" s="8" t="b">
        <f t="shared" si="22"/>
        <v>0</v>
      </c>
      <c r="W206" s="8">
        <f t="shared" si="23"/>
        <v>0</v>
      </c>
      <c r="X206" t="s">
        <v>28</v>
      </c>
      <c r="Y206" t="s">
        <v>104</v>
      </c>
      <c r="Z206" t="s">
        <v>64</v>
      </c>
      <c r="AA206">
        <v>4</v>
      </c>
      <c r="AB206" t="s">
        <v>127</v>
      </c>
      <c r="AC206" t="s">
        <v>58</v>
      </c>
    </row>
    <row r="207" spans="1:29" x14ac:dyDescent="0.3">
      <c r="A207" t="s">
        <v>323</v>
      </c>
      <c r="B207" s="6">
        <v>45894</v>
      </c>
      <c r="C207" s="6" t="str">
        <f t="shared" si="18"/>
        <v>4 PM - 8 PM</v>
      </c>
      <c r="D207" s="4">
        <v>0.71597222222222223</v>
      </c>
      <c r="E207" t="s">
        <v>77</v>
      </c>
      <c r="F207" t="s">
        <v>24</v>
      </c>
      <c r="G207" t="s">
        <v>33</v>
      </c>
      <c r="H207" t="s">
        <v>43</v>
      </c>
      <c r="I207" t="s">
        <v>92</v>
      </c>
      <c r="J207" t="s">
        <v>64</v>
      </c>
      <c r="K207">
        <v>1</v>
      </c>
      <c r="L207" s="8">
        <v>1850</v>
      </c>
      <c r="M207" s="8" t="str">
        <f t="shared" si="19"/>
        <v>11-20%</v>
      </c>
      <c r="N207">
        <v>20</v>
      </c>
      <c r="O207" t="str">
        <f t="shared" si="20"/>
        <v>Valid</v>
      </c>
      <c r="P207" t="str">
        <f t="shared" si="21"/>
        <v>Match</v>
      </c>
      <c r="Q207" s="8">
        <v>1850</v>
      </c>
      <c r="R207" s="8">
        <v>370</v>
      </c>
      <c r="S207" s="8">
        <v>1480</v>
      </c>
      <c r="T207" s="8">
        <v>1339.34</v>
      </c>
      <c r="U207" s="8">
        <v>140.66</v>
      </c>
      <c r="V207" s="8" t="b">
        <f t="shared" si="22"/>
        <v>0</v>
      </c>
      <c r="W207" s="8">
        <f t="shared" si="23"/>
        <v>0</v>
      </c>
      <c r="X207" t="s">
        <v>79</v>
      </c>
      <c r="Y207" t="s">
        <v>47</v>
      </c>
      <c r="Z207" t="s">
        <v>64</v>
      </c>
      <c r="AA207">
        <v>3.5</v>
      </c>
      <c r="AB207" t="s">
        <v>90</v>
      </c>
      <c r="AC207" t="s">
        <v>49</v>
      </c>
    </row>
    <row r="208" spans="1:29" x14ac:dyDescent="0.3">
      <c r="A208" t="s">
        <v>324</v>
      </c>
      <c r="B208" s="6">
        <v>45975</v>
      </c>
      <c r="C208" s="6" t="str">
        <f t="shared" si="18"/>
        <v>12 AM - 4 AM</v>
      </c>
      <c r="D208" s="4">
        <v>8.611111111111111E-2</v>
      </c>
      <c r="E208" t="s">
        <v>23</v>
      </c>
      <c r="F208" t="s">
        <v>24</v>
      </c>
      <c r="G208" t="s">
        <v>88</v>
      </c>
      <c r="H208" t="s">
        <v>34</v>
      </c>
      <c r="I208" t="s">
        <v>54</v>
      </c>
      <c r="J208" t="s">
        <v>35</v>
      </c>
      <c r="K208">
        <v>2</v>
      </c>
      <c r="L208" s="8">
        <v>4150</v>
      </c>
      <c r="M208" s="8" t="str">
        <f t="shared" si="19"/>
        <v>1-10%</v>
      </c>
      <c r="N208">
        <v>10</v>
      </c>
      <c r="O208" t="str">
        <f t="shared" si="20"/>
        <v>Valid</v>
      </c>
      <c r="P208" t="str">
        <f t="shared" si="21"/>
        <v>Match</v>
      </c>
      <c r="Q208" s="8">
        <v>8300</v>
      </c>
      <c r="R208" s="8">
        <v>830</v>
      </c>
      <c r="S208" s="8">
        <v>7470</v>
      </c>
      <c r="T208" s="8">
        <v>5640.43</v>
      </c>
      <c r="U208" s="8">
        <v>1829.57</v>
      </c>
      <c r="V208" s="8" t="b">
        <f t="shared" si="22"/>
        <v>0</v>
      </c>
      <c r="W208" s="8">
        <f t="shared" si="23"/>
        <v>0</v>
      </c>
      <c r="X208" t="s">
        <v>28</v>
      </c>
      <c r="Y208" t="s">
        <v>94</v>
      </c>
      <c r="Z208" t="s">
        <v>64</v>
      </c>
      <c r="AA208">
        <v>4.5</v>
      </c>
      <c r="AB208" t="s">
        <v>75</v>
      </c>
      <c r="AC208" t="s">
        <v>58</v>
      </c>
    </row>
    <row r="209" spans="1:29" x14ac:dyDescent="0.3">
      <c r="A209" t="s">
        <v>325</v>
      </c>
      <c r="B209" s="6">
        <v>45849</v>
      </c>
      <c r="C209" s="6" t="str">
        <f t="shared" si="18"/>
        <v>4 AM - 8 AM</v>
      </c>
      <c r="D209" s="4">
        <v>0.26805555555555555</v>
      </c>
      <c r="E209" t="s">
        <v>69</v>
      </c>
      <c r="F209" t="s">
        <v>24</v>
      </c>
      <c r="G209" t="s">
        <v>88</v>
      </c>
      <c r="H209" t="s">
        <v>53</v>
      </c>
      <c r="I209" t="s">
        <v>54</v>
      </c>
      <c r="J209" t="s">
        <v>35</v>
      </c>
      <c r="K209">
        <v>2</v>
      </c>
      <c r="L209" s="8">
        <v>4100</v>
      </c>
      <c r="M209" s="8" t="str">
        <f t="shared" si="19"/>
        <v>21-30%</v>
      </c>
      <c r="N209">
        <v>30</v>
      </c>
      <c r="O209" t="str">
        <f t="shared" si="20"/>
        <v>Valid</v>
      </c>
      <c r="P209" t="str">
        <f t="shared" si="21"/>
        <v>Match</v>
      </c>
      <c r="Q209" s="8">
        <v>8200</v>
      </c>
      <c r="R209" s="8">
        <v>2460</v>
      </c>
      <c r="S209" s="8">
        <v>5740</v>
      </c>
      <c r="T209" s="8">
        <v>4277.0200000000004</v>
      </c>
      <c r="U209" s="8">
        <v>1462.98</v>
      </c>
      <c r="V209" s="8" t="b">
        <f t="shared" si="22"/>
        <v>0</v>
      </c>
      <c r="W209" s="8">
        <f t="shared" si="23"/>
        <v>0</v>
      </c>
      <c r="X209" t="s">
        <v>36</v>
      </c>
      <c r="Y209" t="s">
        <v>89</v>
      </c>
      <c r="Z209" t="s">
        <v>45</v>
      </c>
      <c r="AA209">
        <v>5</v>
      </c>
      <c r="AB209" t="s">
        <v>29</v>
      </c>
      <c r="AC209" t="s">
        <v>58</v>
      </c>
    </row>
    <row r="210" spans="1:29" x14ac:dyDescent="0.3">
      <c r="A210" t="s">
        <v>326</v>
      </c>
      <c r="B210" s="6">
        <v>45951</v>
      </c>
      <c r="C210" s="6" t="str">
        <f t="shared" si="18"/>
        <v>8 AM - 12 PM</v>
      </c>
      <c r="D210" s="4">
        <v>0.37083333333333335</v>
      </c>
      <c r="E210" t="s">
        <v>69</v>
      </c>
      <c r="F210" t="s">
        <v>24</v>
      </c>
      <c r="G210" t="s">
        <v>25</v>
      </c>
      <c r="H210" t="s">
        <v>53</v>
      </c>
      <c r="I210" t="s">
        <v>92</v>
      </c>
      <c r="J210" t="s">
        <v>78</v>
      </c>
      <c r="K210">
        <v>1</v>
      </c>
      <c r="L210" s="8">
        <v>6100</v>
      </c>
      <c r="M210" s="8" t="str">
        <f t="shared" si="19"/>
        <v>21-30%</v>
      </c>
      <c r="N210">
        <v>25</v>
      </c>
      <c r="O210" t="str">
        <f t="shared" si="20"/>
        <v>Valid</v>
      </c>
      <c r="P210" t="str">
        <f t="shared" si="21"/>
        <v>Match</v>
      </c>
      <c r="Q210" s="8">
        <v>6100</v>
      </c>
      <c r="R210" s="8">
        <v>1525</v>
      </c>
      <c r="S210" s="8">
        <v>4575</v>
      </c>
      <c r="T210" s="8">
        <v>3564.72</v>
      </c>
      <c r="U210" s="8">
        <v>1010.28</v>
      </c>
      <c r="V210" s="8" t="b">
        <f t="shared" si="22"/>
        <v>0</v>
      </c>
      <c r="W210" s="8">
        <f t="shared" si="23"/>
        <v>0</v>
      </c>
      <c r="X210" t="s">
        <v>46</v>
      </c>
      <c r="Y210" t="s">
        <v>89</v>
      </c>
      <c r="Z210" t="s">
        <v>64</v>
      </c>
      <c r="AA210">
        <v>3.5</v>
      </c>
      <c r="AB210" t="s">
        <v>57</v>
      </c>
      <c r="AC210" t="s">
        <v>86</v>
      </c>
    </row>
    <row r="211" spans="1:29" x14ac:dyDescent="0.3">
      <c r="A211" t="s">
        <v>327</v>
      </c>
      <c r="B211" s="6">
        <v>45758</v>
      </c>
      <c r="C211" s="6" t="str">
        <f t="shared" si="18"/>
        <v>8 AM - 12 PM</v>
      </c>
      <c r="D211" s="4">
        <v>0.47986111111111113</v>
      </c>
      <c r="E211" t="s">
        <v>77</v>
      </c>
      <c r="F211" t="s">
        <v>24</v>
      </c>
      <c r="G211" t="s">
        <v>84</v>
      </c>
      <c r="H211" t="s">
        <v>34</v>
      </c>
      <c r="I211" t="s">
        <v>92</v>
      </c>
      <c r="J211" t="s">
        <v>45</v>
      </c>
      <c r="K211">
        <v>2</v>
      </c>
      <c r="L211" s="8">
        <v>11050</v>
      </c>
      <c r="M211" s="8" t="str">
        <f t="shared" si="19"/>
        <v>21-30%</v>
      </c>
      <c r="N211">
        <v>30</v>
      </c>
      <c r="O211" t="str">
        <f t="shared" si="20"/>
        <v>Valid</v>
      </c>
      <c r="P211" t="str">
        <f t="shared" si="21"/>
        <v>Match</v>
      </c>
      <c r="Q211" s="8">
        <v>22100</v>
      </c>
      <c r="R211" s="8">
        <v>6630</v>
      </c>
      <c r="S211" s="8">
        <v>15470</v>
      </c>
      <c r="T211" s="8">
        <v>12073.45</v>
      </c>
      <c r="U211" s="8">
        <v>3396.55</v>
      </c>
      <c r="V211" s="8" t="b">
        <f t="shared" si="22"/>
        <v>0</v>
      </c>
      <c r="W211" s="8">
        <f t="shared" si="23"/>
        <v>0</v>
      </c>
      <c r="X211" t="s">
        <v>36</v>
      </c>
      <c r="Y211" t="s">
        <v>89</v>
      </c>
      <c r="Z211" t="s">
        <v>64</v>
      </c>
      <c r="AA211">
        <v>5</v>
      </c>
      <c r="AB211" t="s">
        <v>99</v>
      </c>
      <c r="AC211" t="s">
        <v>58</v>
      </c>
    </row>
    <row r="212" spans="1:29" x14ac:dyDescent="0.3">
      <c r="A212" t="s">
        <v>328</v>
      </c>
      <c r="B212" s="6">
        <v>45757</v>
      </c>
      <c r="C212" s="6" t="str">
        <f t="shared" si="18"/>
        <v>8 PM - 12 AM</v>
      </c>
      <c r="D212" s="4">
        <v>0.85902777777777772</v>
      </c>
      <c r="E212" t="s">
        <v>108</v>
      </c>
      <c r="F212" t="s">
        <v>24</v>
      </c>
      <c r="G212" t="s">
        <v>42</v>
      </c>
      <c r="H212" t="s">
        <v>102</v>
      </c>
      <c r="I212" t="s">
        <v>54</v>
      </c>
      <c r="J212" t="s">
        <v>35</v>
      </c>
      <c r="K212">
        <v>1</v>
      </c>
      <c r="L212" s="8">
        <v>56800</v>
      </c>
      <c r="M212" s="8" t="str">
        <f t="shared" si="19"/>
        <v>1-10%</v>
      </c>
      <c r="N212">
        <v>10</v>
      </c>
      <c r="O212" t="str">
        <f t="shared" si="20"/>
        <v>Valid</v>
      </c>
      <c r="P212" t="str">
        <f t="shared" si="21"/>
        <v>Match</v>
      </c>
      <c r="Q212" s="8">
        <v>56800</v>
      </c>
      <c r="R212" s="8">
        <v>5680</v>
      </c>
      <c r="S212" s="8">
        <v>51120</v>
      </c>
      <c r="T212" s="8">
        <v>33167.040000000001</v>
      </c>
      <c r="U212" s="8">
        <v>17952.96</v>
      </c>
      <c r="V212" s="8" t="b">
        <f t="shared" si="22"/>
        <v>0</v>
      </c>
      <c r="W212" s="8">
        <f t="shared" si="23"/>
        <v>0</v>
      </c>
      <c r="X212" t="s">
        <v>36</v>
      </c>
      <c r="Y212" t="s">
        <v>70</v>
      </c>
      <c r="Z212" t="s">
        <v>56</v>
      </c>
      <c r="AA212">
        <v>3.5</v>
      </c>
      <c r="AB212" t="s">
        <v>99</v>
      </c>
      <c r="AC212" t="s">
        <v>67</v>
      </c>
    </row>
    <row r="213" spans="1:29" x14ac:dyDescent="0.3">
      <c r="A213" t="s">
        <v>329</v>
      </c>
      <c r="B213" s="6">
        <v>45728</v>
      </c>
      <c r="C213" s="6" t="str">
        <f t="shared" si="18"/>
        <v>12 PM - 4 PM</v>
      </c>
      <c r="D213" s="4">
        <v>0.55972222222222223</v>
      </c>
      <c r="E213" t="s">
        <v>77</v>
      </c>
      <c r="F213" t="s">
        <v>24</v>
      </c>
      <c r="G213" t="s">
        <v>33</v>
      </c>
      <c r="H213" t="s">
        <v>113</v>
      </c>
      <c r="I213" t="s">
        <v>82</v>
      </c>
      <c r="J213" t="s">
        <v>93</v>
      </c>
      <c r="K213">
        <v>2</v>
      </c>
      <c r="L213" s="8">
        <v>1300</v>
      </c>
      <c r="M213" s="8" t="str">
        <f t="shared" si="19"/>
        <v>11-20%</v>
      </c>
      <c r="N213">
        <v>15</v>
      </c>
      <c r="O213" t="str">
        <f t="shared" si="20"/>
        <v>Valid</v>
      </c>
      <c r="P213" t="str">
        <f t="shared" si="21"/>
        <v>Match</v>
      </c>
      <c r="Q213" s="8">
        <v>2600</v>
      </c>
      <c r="R213" s="8">
        <v>390</v>
      </c>
      <c r="S213" s="8">
        <v>2210</v>
      </c>
      <c r="T213" s="8">
        <v>1802.29</v>
      </c>
      <c r="U213" s="8">
        <v>407.71</v>
      </c>
      <c r="V213" s="8" t="b">
        <f t="shared" si="22"/>
        <v>0</v>
      </c>
      <c r="W213" s="8">
        <f t="shared" si="23"/>
        <v>0</v>
      </c>
      <c r="X213" t="s">
        <v>46</v>
      </c>
      <c r="Y213" t="s">
        <v>104</v>
      </c>
      <c r="Z213" t="s">
        <v>85</v>
      </c>
      <c r="AA213">
        <v>5</v>
      </c>
      <c r="AB213" t="s">
        <v>127</v>
      </c>
      <c r="AC213" t="s">
        <v>40</v>
      </c>
    </row>
    <row r="214" spans="1:29" x14ac:dyDescent="0.3">
      <c r="A214" t="s">
        <v>330</v>
      </c>
      <c r="B214" s="6">
        <v>45769</v>
      </c>
      <c r="C214" s="6" t="str">
        <f t="shared" si="18"/>
        <v>12 PM - 4 PM</v>
      </c>
      <c r="D214" s="4">
        <v>0.60277777777777775</v>
      </c>
      <c r="E214" t="s">
        <v>23</v>
      </c>
      <c r="F214" t="s">
        <v>51</v>
      </c>
      <c r="G214" t="s">
        <v>122</v>
      </c>
      <c r="H214" t="s">
        <v>113</v>
      </c>
      <c r="I214" t="s">
        <v>44</v>
      </c>
      <c r="J214" t="s">
        <v>93</v>
      </c>
      <c r="K214">
        <v>4</v>
      </c>
      <c r="L214" s="8">
        <v>3900</v>
      </c>
      <c r="M214" s="8" t="str">
        <f t="shared" si="19"/>
        <v>0%</v>
      </c>
      <c r="N214">
        <v>0</v>
      </c>
      <c r="O214" t="str">
        <f t="shared" si="20"/>
        <v>Valid</v>
      </c>
      <c r="P214" t="str">
        <f t="shared" si="21"/>
        <v>Match</v>
      </c>
      <c r="Q214" s="8">
        <v>15600</v>
      </c>
      <c r="R214" s="8">
        <v>0</v>
      </c>
      <c r="S214" s="8">
        <v>15600</v>
      </c>
      <c r="T214" s="8">
        <v>10481.040000000001</v>
      </c>
      <c r="U214" s="8">
        <v>5118.96</v>
      </c>
      <c r="V214" s="8" t="b">
        <f t="shared" si="22"/>
        <v>0</v>
      </c>
      <c r="W214" s="8">
        <f t="shared" si="23"/>
        <v>0</v>
      </c>
      <c r="X214" t="s">
        <v>46</v>
      </c>
      <c r="Y214" t="s">
        <v>104</v>
      </c>
      <c r="Z214" t="s">
        <v>56</v>
      </c>
      <c r="AA214">
        <v>4.5</v>
      </c>
      <c r="AB214" t="s">
        <v>99</v>
      </c>
      <c r="AC214" t="s">
        <v>86</v>
      </c>
    </row>
    <row r="215" spans="1:29" x14ac:dyDescent="0.3">
      <c r="A215" t="s">
        <v>331</v>
      </c>
      <c r="B215" s="6">
        <v>45908</v>
      </c>
      <c r="C215" s="6" t="str">
        <f t="shared" si="18"/>
        <v>12 AM - 4 AM</v>
      </c>
      <c r="E215" t="s">
        <v>622</v>
      </c>
      <c r="F215" t="s">
        <v>51</v>
      </c>
      <c r="G215" t="s">
        <v>122</v>
      </c>
      <c r="H215" t="s">
        <v>74</v>
      </c>
      <c r="I215" t="s">
        <v>44</v>
      </c>
      <c r="J215" t="s">
        <v>35</v>
      </c>
      <c r="K215">
        <v>1</v>
      </c>
      <c r="L215" s="8">
        <v>6900</v>
      </c>
      <c r="M215" s="8" t="str">
        <f t="shared" si="19"/>
        <v>21-30%</v>
      </c>
      <c r="N215">
        <v>30</v>
      </c>
      <c r="O215" t="str">
        <f t="shared" si="20"/>
        <v>Valid</v>
      </c>
      <c r="P215" t="str">
        <f t="shared" si="21"/>
        <v>Match</v>
      </c>
      <c r="Q215" s="8">
        <v>6900</v>
      </c>
      <c r="R215" s="8">
        <v>2070</v>
      </c>
      <c r="S215" s="8">
        <v>4830</v>
      </c>
      <c r="T215" s="8">
        <v>4647.3500000000004</v>
      </c>
      <c r="U215" s="8">
        <v>182.65</v>
      </c>
      <c r="V215" s="8" t="b">
        <f t="shared" si="22"/>
        <v>0</v>
      </c>
      <c r="W215" s="8">
        <f t="shared" si="23"/>
        <v>0</v>
      </c>
      <c r="X215" t="s">
        <v>79</v>
      </c>
      <c r="Y215" t="s">
        <v>104</v>
      </c>
      <c r="Z215" t="s">
        <v>38</v>
      </c>
      <c r="AA215">
        <v>4</v>
      </c>
      <c r="AB215" t="s">
        <v>90</v>
      </c>
      <c r="AC215" t="s">
        <v>71</v>
      </c>
    </row>
    <row r="216" spans="1:29" x14ac:dyDescent="0.3">
      <c r="A216" t="s">
        <v>332</v>
      </c>
      <c r="B216" s="6">
        <v>45833</v>
      </c>
      <c r="C216" s="6" t="str">
        <f t="shared" si="18"/>
        <v>12 AM - 4 AM</v>
      </c>
      <c r="D216" s="4">
        <v>0.1076388888888889</v>
      </c>
      <c r="E216" t="s">
        <v>23</v>
      </c>
      <c r="F216" t="s">
        <v>24</v>
      </c>
      <c r="G216" t="s">
        <v>42</v>
      </c>
      <c r="H216" t="s">
        <v>34</v>
      </c>
      <c r="I216" t="s">
        <v>125</v>
      </c>
      <c r="J216" t="s">
        <v>35</v>
      </c>
      <c r="K216">
        <v>1</v>
      </c>
      <c r="L216" s="8">
        <v>93000</v>
      </c>
      <c r="M216" s="8" t="str">
        <f t="shared" si="19"/>
        <v>21-30%</v>
      </c>
      <c r="N216">
        <v>25</v>
      </c>
      <c r="O216" t="str">
        <f t="shared" si="20"/>
        <v>Valid</v>
      </c>
      <c r="P216" t="str">
        <f t="shared" si="21"/>
        <v>Match</v>
      </c>
      <c r="Q216" s="8">
        <v>93000</v>
      </c>
      <c r="R216" s="8">
        <v>23250</v>
      </c>
      <c r="S216" s="8">
        <v>69750</v>
      </c>
      <c r="T216" s="8">
        <v>63680.21</v>
      </c>
      <c r="U216" s="8">
        <v>6069.79</v>
      </c>
      <c r="V216" s="8" t="b">
        <f t="shared" si="22"/>
        <v>0</v>
      </c>
      <c r="W216" s="8">
        <f t="shared" si="23"/>
        <v>0</v>
      </c>
      <c r="X216" t="s">
        <v>28</v>
      </c>
      <c r="Y216" t="s">
        <v>65</v>
      </c>
      <c r="Z216" t="s">
        <v>85</v>
      </c>
      <c r="AA216">
        <v>3.5</v>
      </c>
      <c r="AB216" t="s">
        <v>48</v>
      </c>
      <c r="AC216" t="s">
        <v>40</v>
      </c>
    </row>
    <row r="217" spans="1:29" x14ac:dyDescent="0.3">
      <c r="A217" t="s">
        <v>333</v>
      </c>
      <c r="B217" s="6">
        <v>45760</v>
      </c>
      <c r="C217" s="6" t="str">
        <f t="shared" si="18"/>
        <v>8 PM - 12 AM</v>
      </c>
      <c r="D217" s="4">
        <v>0.8354166666666667</v>
      </c>
      <c r="E217" t="s">
        <v>77</v>
      </c>
      <c r="F217" t="s">
        <v>96</v>
      </c>
      <c r="G217" t="s">
        <v>129</v>
      </c>
      <c r="H217" t="s">
        <v>26</v>
      </c>
      <c r="I217" t="s">
        <v>63</v>
      </c>
      <c r="J217" t="s">
        <v>35</v>
      </c>
      <c r="K217">
        <v>1</v>
      </c>
      <c r="L217" s="8">
        <v>3150</v>
      </c>
      <c r="M217" s="8" t="str">
        <f t="shared" si="19"/>
        <v>1-10%</v>
      </c>
      <c r="N217">
        <v>5</v>
      </c>
      <c r="O217" t="str">
        <f t="shared" si="20"/>
        <v>Valid</v>
      </c>
      <c r="P217" t="str">
        <f t="shared" si="21"/>
        <v>Match</v>
      </c>
      <c r="Q217" s="8">
        <v>3150</v>
      </c>
      <c r="R217" s="8">
        <v>157.5</v>
      </c>
      <c r="S217" s="8">
        <v>2992.5</v>
      </c>
      <c r="T217" s="8">
        <v>1880.63</v>
      </c>
      <c r="U217" s="8">
        <v>1111.8699999999999</v>
      </c>
      <c r="V217" s="8" t="b">
        <f t="shared" si="22"/>
        <v>0</v>
      </c>
      <c r="W217" s="8">
        <f t="shared" si="23"/>
        <v>0</v>
      </c>
      <c r="X217" t="s">
        <v>36</v>
      </c>
      <c r="Y217" t="s">
        <v>89</v>
      </c>
      <c r="Z217" t="s">
        <v>64</v>
      </c>
      <c r="AA217">
        <v>3.5</v>
      </c>
      <c r="AB217" t="s">
        <v>99</v>
      </c>
      <c r="AC217" t="s">
        <v>30</v>
      </c>
    </row>
    <row r="218" spans="1:29" x14ac:dyDescent="0.3">
      <c r="A218" t="s">
        <v>334</v>
      </c>
      <c r="B218" s="6">
        <v>45793</v>
      </c>
      <c r="C218" s="6" t="str">
        <f t="shared" si="18"/>
        <v>4 AM - 8 AM</v>
      </c>
      <c r="D218" s="4">
        <v>0.18472222222222223</v>
      </c>
      <c r="E218" t="s">
        <v>69</v>
      </c>
      <c r="F218" t="s">
        <v>24</v>
      </c>
      <c r="G218" t="s">
        <v>42</v>
      </c>
      <c r="H218" t="s">
        <v>26</v>
      </c>
      <c r="I218" t="s">
        <v>44</v>
      </c>
      <c r="J218" t="s">
        <v>35</v>
      </c>
      <c r="K218">
        <v>1</v>
      </c>
      <c r="L218" s="8">
        <v>87400</v>
      </c>
      <c r="M218" s="8" t="str">
        <f t="shared" si="19"/>
        <v>21-30%</v>
      </c>
      <c r="N218">
        <v>25</v>
      </c>
      <c r="O218" t="str">
        <f t="shared" si="20"/>
        <v>Valid</v>
      </c>
      <c r="P218" t="str">
        <f t="shared" si="21"/>
        <v>Match</v>
      </c>
      <c r="Q218" s="8">
        <v>87400</v>
      </c>
      <c r="R218" s="8">
        <v>21850</v>
      </c>
      <c r="S218" s="8">
        <v>65550</v>
      </c>
      <c r="T218" s="8">
        <v>62445.29</v>
      </c>
      <c r="U218" s="8">
        <v>3104.71</v>
      </c>
      <c r="V218" s="8" t="b">
        <f t="shared" si="22"/>
        <v>0</v>
      </c>
      <c r="W218" s="8">
        <f t="shared" si="23"/>
        <v>0</v>
      </c>
      <c r="X218" t="s">
        <v>79</v>
      </c>
      <c r="Y218" t="s">
        <v>37</v>
      </c>
      <c r="Z218" t="s">
        <v>80</v>
      </c>
      <c r="AA218">
        <v>3.5</v>
      </c>
      <c r="AB218" t="s">
        <v>111</v>
      </c>
      <c r="AC218" t="s">
        <v>58</v>
      </c>
    </row>
    <row r="219" spans="1:29" x14ac:dyDescent="0.3">
      <c r="A219" t="s">
        <v>335</v>
      </c>
      <c r="B219" s="6">
        <v>45801</v>
      </c>
      <c r="C219" s="6" t="str">
        <f t="shared" si="18"/>
        <v>4 PM - 8 PM</v>
      </c>
      <c r="D219" s="4">
        <v>0.69374999999999998</v>
      </c>
      <c r="E219" t="s">
        <v>23</v>
      </c>
      <c r="F219" t="s">
        <v>24</v>
      </c>
      <c r="G219" t="s">
        <v>25</v>
      </c>
      <c r="H219" t="s">
        <v>43</v>
      </c>
      <c r="I219" t="s">
        <v>63</v>
      </c>
      <c r="J219" t="s">
        <v>64</v>
      </c>
      <c r="K219">
        <v>1</v>
      </c>
      <c r="L219" s="8">
        <v>7000</v>
      </c>
      <c r="M219" s="8" t="str">
        <f t="shared" si="19"/>
        <v>1-10%</v>
      </c>
      <c r="N219">
        <v>10</v>
      </c>
      <c r="O219" t="str">
        <f t="shared" si="20"/>
        <v>Valid</v>
      </c>
      <c r="P219" t="str">
        <f t="shared" si="21"/>
        <v>Match</v>
      </c>
      <c r="Q219" s="8">
        <v>7000</v>
      </c>
      <c r="R219" s="8">
        <v>700</v>
      </c>
      <c r="S219" s="8">
        <v>6300</v>
      </c>
      <c r="T219" s="8">
        <v>3652.17</v>
      </c>
      <c r="U219" s="8">
        <v>2647.83</v>
      </c>
      <c r="V219" s="8" t="b">
        <f t="shared" si="22"/>
        <v>0</v>
      </c>
      <c r="W219" s="8">
        <f t="shared" si="23"/>
        <v>0</v>
      </c>
      <c r="X219" t="s">
        <v>79</v>
      </c>
      <c r="Y219" t="s">
        <v>94</v>
      </c>
      <c r="Z219" t="s">
        <v>64</v>
      </c>
      <c r="AA219">
        <v>4.5</v>
      </c>
      <c r="AB219" t="s">
        <v>111</v>
      </c>
      <c r="AC219" t="s">
        <v>71</v>
      </c>
    </row>
    <row r="220" spans="1:29" x14ac:dyDescent="0.3">
      <c r="A220" t="s">
        <v>336</v>
      </c>
      <c r="B220" s="6">
        <v>45674</v>
      </c>
      <c r="C220" s="6" t="str">
        <f t="shared" si="18"/>
        <v>8 AM - 12 PM</v>
      </c>
      <c r="D220" s="4">
        <v>0.43472222222222223</v>
      </c>
      <c r="E220" t="s">
        <v>60</v>
      </c>
      <c r="F220" t="s">
        <v>24</v>
      </c>
      <c r="G220" t="s">
        <v>42</v>
      </c>
      <c r="H220" t="s">
        <v>34</v>
      </c>
      <c r="I220" t="s">
        <v>44</v>
      </c>
      <c r="J220" t="s">
        <v>35</v>
      </c>
      <c r="K220">
        <v>1</v>
      </c>
      <c r="L220" s="8">
        <v>76400</v>
      </c>
      <c r="M220" s="8" t="str">
        <f t="shared" si="19"/>
        <v>1-10%</v>
      </c>
      <c r="N220">
        <v>10</v>
      </c>
      <c r="O220" t="str">
        <f t="shared" si="20"/>
        <v>Valid</v>
      </c>
      <c r="P220" t="str">
        <f t="shared" si="21"/>
        <v>Match</v>
      </c>
      <c r="Q220" s="8">
        <v>76400</v>
      </c>
      <c r="R220" s="8">
        <v>7640</v>
      </c>
      <c r="S220" s="8">
        <v>68760</v>
      </c>
      <c r="T220" s="8">
        <v>50707.519999999997</v>
      </c>
      <c r="U220" s="8">
        <v>18052.48</v>
      </c>
      <c r="V220" s="8" t="b">
        <f t="shared" si="22"/>
        <v>0</v>
      </c>
      <c r="W220" s="8">
        <f t="shared" si="23"/>
        <v>0</v>
      </c>
      <c r="X220" t="s">
        <v>55</v>
      </c>
      <c r="Y220" t="s">
        <v>94</v>
      </c>
      <c r="Z220" t="s">
        <v>64</v>
      </c>
      <c r="AA220">
        <v>3.5</v>
      </c>
      <c r="AB220" t="s">
        <v>151</v>
      </c>
      <c r="AC220" t="s">
        <v>58</v>
      </c>
    </row>
    <row r="221" spans="1:29" x14ac:dyDescent="0.3">
      <c r="A221" t="s">
        <v>337</v>
      </c>
      <c r="B221" s="6">
        <v>45955</v>
      </c>
      <c r="C221" s="6" t="str">
        <f t="shared" si="18"/>
        <v>4 PM - 8 PM</v>
      </c>
      <c r="D221" s="4">
        <v>0.73819444444444449</v>
      </c>
      <c r="E221" t="s">
        <v>108</v>
      </c>
      <c r="F221" t="s">
        <v>96</v>
      </c>
      <c r="G221" t="s">
        <v>134</v>
      </c>
      <c r="H221" t="s">
        <v>26</v>
      </c>
      <c r="I221" t="s">
        <v>54</v>
      </c>
      <c r="J221" t="s">
        <v>35</v>
      </c>
      <c r="K221">
        <v>2</v>
      </c>
      <c r="L221" s="8">
        <v>3200</v>
      </c>
      <c r="M221" s="8" t="str">
        <f t="shared" si="19"/>
        <v>1-10%</v>
      </c>
      <c r="N221">
        <v>5</v>
      </c>
      <c r="O221" t="str">
        <f t="shared" si="20"/>
        <v>Valid</v>
      </c>
      <c r="P221" t="str">
        <f t="shared" si="21"/>
        <v>Match</v>
      </c>
      <c r="Q221" s="8">
        <v>6400</v>
      </c>
      <c r="R221" s="8">
        <v>320</v>
      </c>
      <c r="S221" s="8">
        <v>6080</v>
      </c>
      <c r="T221" s="8">
        <v>4246.68</v>
      </c>
      <c r="U221" s="8">
        <v>1833.32</v>
      </c>
      <c r="V221" s="8" t="b">
        <f t="shared" si="22"/>
        <v>0</v>
      </c>
      <c r="W221" s="8">
        <f t="shared" si="23"/>
        <v>0</v>
      </c>
      <c r="X221" t="s">
        <v>55</v>
      </c>
      <c r="Y221" t="s">
        <v>70</v>
      </c>
      <c r="Z221" t="s">
        <v>1138</v>
      </c>
      <c r="AA221">
        <v>4</v>
      </c>
      <c r="AB221" t="s">
        <v>57</v>
      </c>
      <c r="AC221" t="s">
        <v>71</v>
      </c>
    </row>
    <row r="222" spans="1:29" x14ac:dyDescent="0.3">
      <c r="A222" t="s">
        <v>338</v>
      </c>
      <c r="B222" s="6">
        <v>45749</v>
      </c>
      <c r="C222" s="6" t="str">
        <f t="shared" si="18"/>
        <v>8 AM - 12 PM</v>
      </c>
      <c r="D222" s="4">
        <v>0.35833333333333334</v>
      </c>
      <c r="E222" t="s">
        <v>622</v>
      </c>
      <c r="F222" t="s">
        <v>51</v>
      </c>
      <c r="G222" t="s">
        <v>73</v>
      </c>
      <c r="H222" t="s">
        <v>102</v>
      </c>
      <c r="I222" t="s">
        <v>103</v>
      </c>
      <c r="J222" t="s">
        <v>35</v>
      </c>
      <c r="K222">
        <v>1</v>
      </c>
      <c r="L222" s="8">
        <v>2000</v>
      </c>
      <c r="M222" s="8" t="str">
        <f t="shared" si="19"/>
        <v>21-30%</v>
      </c>
      <c r="N222">
        <v>25</v>
      </c>
      <c r="O222" t="str">
        <f t="shared" si="20"/>
        <v>Valid</v>
      </c>
      <c r="P222" t="str">
        <f t="shared" si="21"/>
        <v>Match</v>
      </c>
      <c r="Q222" s="8">
        <v>2000</v>
      </c>
      <c r="R222" s="8">
        <v>500</v>
      </c>
      <c r="S222" s="8">
        <v>1500</v>
      </c>
      <c r="T222" s="8">
        <v>1135.23</v>
      </c>
      <c r="U222" s="8">
        <v>364.77</v>
      </c>
      <c r="V222" s="8" t="b">
        <f t="shared" si="22"/>
        <v>0</v>
      </c>
      <c r="W222" s="8">
        <f t="shared" si="23"/>
        <v>0</v>
      </c>
      <c r="X222" t="s">
        <v>55</v>
      </c>
      <c r="Y222" t="s">
        <v>65</v>
      </c>
      <c r="Z222" t="s">
        <v>38</v>
      </c>
      <c r="AA222">
        <v>4</v>
      </c>
      <c r="AB222" t="s">
        <v>99</v>
      </c>
      <c r="AC222" t="s">
        <v>40</v>
      </c>
    </row>
    <row r="223" spans="1:29" x14ac:dyDescent="0.3">
      <c r="A223" t="s">
        <v>339</v>
      </c>
      <c r="B223" s="6">
        <v>45669</v>
      </c>
      <c r="C223" s="6" t="str">
        <f t="shared" si="18"/>
        <v>8 PM - 12 AM</v>
      </c>
      <c r="D223" s="4">
        <v>0.95277777777777772</v>
      </c>
      <c r="E223" t="s">
        <v>60</v>
      </c>
      <c r="F223" t="s">
        <v>24</v>
      </c>
      <c r="G223" t="s">
        <v>25</v>
      </c>
      <c r="H223" t="s">
        <v>26</v>
      </c>
      <c r="I223" t="s">
        <v>82</v>
      </c>
      <c r="J223" t="s">
        <v>93</v>
      </c>
      <c r="K223">
        <v>5</v>
      </c>
      <c r="L223" s="8">
        <v>1850</v>
      </c>
      <c r="M223" s="8" t="str">
        <f t="shared" si="19"/>
        <v>1-10%</v>
      </c>
      <c r="N223">
        <v>5</v>
      </c>
      <c r="O223" t="str">
        <f t="shared" si="20"/>
        <v>Valid</v>
      </c>
      <c r="P223" t="str">
        <f t="shared" si="21"/>
        <v>Match</v>
      </c>
      <c r="Q223" s="8">
        <v>9250</v>
      </c>
      <c r="R223" s="8">
        <v>462.5</v>
      </c>
      <c r="S223" s="8">
        <v>8787.5</v>
      </c>
      <c r="T223" s="8">
        <v>6551.39</v>
      </c>
      <c r="U223" s="8">
        <v>2236.11</v>
      </c>
      <c r="V223" s="8" t="b">
        <f t="shared" si="22"/>
        <v>0</v>
      </c>
      <c r="W223" s="8">
        <f t="shared" si="23"/>
        <v>0</v>
      </c>
      <c r="X223" t="s">
        <v>46</v>
      </c>
      <c r="Y223" t="s">
        <v>1137</v>
      </c>
      <c r="Z223" t="s">
        <v>38</v>
      </c>
      <c r="AA223">
        <v>4.5</v>
      </c>
      <c r="AB223" t="s">
        <v>151</v>
      </c>
      <c r="AC223" t="s">
        <v>30</v>
      </c>
    </row>
    <row r="224" spans="1:29" x14ac:dyDescent="0.3">
      <c r="A224" t="s">
        <v>340</v>
      </c>
      <c r="B224" s="6">
        <v>45811</v>
      </c>
      <c r="C224" s="6" t="str">
        <f t="shared" si="18"/>
        <v>12 AM - 4 AM</v>
      </c>
      <c r="D224" s="4">
        <v>0.10833333333333334</v>
      </c>
      <c r="E224" t="s">
        <v>77</v>
      </c>
      <c r="F224" t="s">
        <v>24</v>
      </c>
      <c r="G224" t="s">
        <v>84</v>
      </c>
      <c r="H224" t="s">
        <v>113</v>
      </c>
      <c r="I224" t="s">
        <v>92</v>
      </c>
      <c r="J224" t="s">
        <v>45</v>
      </c>
      <c r="K224">
        <v>3</v>
      </c>
      <c r="L224" s="8">
        <v>10600</v>
      </c>
      <c r="M224" s="8" t="str">
        <f t="shared" si="19"/>
        <v>1-10%</v>
      </c>
      <c r="N224">
        <v>5</v>
      </c>
      <c r="O224" t="str">
        <f t="shared" si="20"/>
        <v>Valid</v>
      </c>
      <c r="P224" t="str">
        <f t="shared" si="21"/>
        <v>Match</v>
      </c>
      <c r="Q224" s="8">
        <v>31800</v>
      </c>
      <c r="R224" s="8">
        <v>1590</v>
      </c>
      <c r="S224" s="8">
        <v>30210</v>
      </c>
      <c r="T224" s="8">
        <v>18166.03</v>
      </c>
      <c r="U224" s="8">
        <v>12043.97</v>
      </c>
      <c r="V224" s="8" t="b">
        <f t="shared" si="22"/>
        <v>0</v>
      </c>
      <c r="W224" s="8">
        <f t="shared" si="23"/>
        <v>0</v>
      </c>
      <c r="X224" t="s">
        <v>28</v>
      </c>
      <c r="Y224" t="s">
        <v>70</v>
      </c>
      <c r="Z224" t="s">
        <v>38</v>
      </c>
      <c r="AA224">
        <v>5</v>
      </c>
      <c r="AB224" t="s">
        <v>48</v>
      </c>
      <c r="AC224" t="s">
        <v>86</v>
      </c>
    </row>
    <row r="225" spans="1:29" x14ac:dyDescent="0.3">
      <c r="A225" t="s">
        <v>341</v>
      </c>
      <c r="B225" s="6">
        <v>46008</v>
      </c>
      <c r="C225" s="6" t="str">
        <f t="shared" si="18"/>
        <v>12 PM - 4 PM</v>
      </c>
      <c r="D225" s="4">
        <v>0.57430555555555551</v>
      </c>
      <c r="E225" t="s">
        <v>69</v>
      </c>
      <c r="F225" t="s">
        <v>24</v>
      </c>
      <c r="G225" t="s">
        <v>42</v>
      </c>
      <c r="H225" t="s">
        <v>62</v>
      </c>
      <c r="I225" t="s">
        <v>125</v>
      </c>
      <c r="J225" t="s">
        <v>35</v>
      </c>
      <c r="K225">
        <v>3</v>
      </c>
      <c r="L225" s="8">
        <v>121450</v>
      </c>
      <c r="M225" s="8" t="str">
        <f t="shared" si="19"/>
        <v>1-10%</v>
      </c>
      <c r="N225">
        <v>5</v>
      </c>
      <c r="O225" t="str">
        <f t="shared" si="20"/>
        <v>Valid</v>
      </c>
      <c r="P225" t="str">
        <f t="shared" si="21"/>
        <v>Match</v>
      </c>
      <c r="Q225" s="8">
        <v>364350</v>
      </c>
      <c r="R225" s="8">
        <v>18217.5</v>
      </c>
      <c r="S225" s="8">
        <v>346132.5</v>
      </c>
      <c r="T225" s="8">
        <v>255491.02</v>
      </c>
      <c r="U225" s="8">
        <v>90641.48</v>
      </c>
      <c r="V225" s="8" t="b">
        <f t="shared" si="22"/>
        <v>0</v>
      </c>
      <c r="W225" s="8">
        <f t="shared" si="23"/>
        <v>0</v>
      </c>
      <c r="X225" t="s">
        <v>36</v>
      </c>
      <c r="Y225" t="s">
        <v>37</v>
      </c>
      <c r="Z225" t="s">
        <v>38</v>
      </c>
      <c r="AA225">
        <v>5</v>
      </c>
      <c r="AB225" t="s">
        <v>39</v>
      </c>
      <c r="AC225" t="s">
        <v>40</v>
      </c>
    </row>
    <row r="226" spans="1:29" x14ac:dyDescent="0.3">
      <c r="A226" t="s">
        <v>342</v>
      </c>
      <c r="B226" s="6">
        <v>45806</v>
      </c>
      <c r="C226" s="6" t="str">
        <f t="shared" si="18"/>
        <v>4 AM - 8 AM</v>
      </c>
      <c r="D226" s="4">
        <v>0.25</v>
      </c>
      <c r="E226" t="s">
        <v>622</v>
      </c>
      <c r="F226" t="s">
        <v>24</v>
      </c>
      <c r="G226" t="s">
        <v>110</v>
      </c>
      <c r="H226" t="s">
        <v>34</v>
      </c>
      <c r="I226" t="s">
        <v>92</v>
      </c>
      <c r="J226" t="s">
        <v>35</v>
      </c>
      <c r="K226">
        <v>1</v>
      </c>
      <c r="L226" s="8">
        <v>3900</v>
      </c>
      <c r="M226" s="8" t="str">
        <f t="shared" si="19"/>
        <v>11-20%</v>
      </c>
      <c r="N226">
        <v>20</v>
      </c>
      <c r="O226" t="str">
        <f t="shared" si="20"/>
        <v>Valid</v>
      </c>
      <c r="P226" t="str">
        <f t="shared" si="21"/>
        <v>Match</v>
      </c>
      <c r="Q226" s="8">
        <v>3900</v>
      </c>
      <c r="R226" s="8">
        <v>780</v>
      </c>
      <c r="S226" s="8">
        <v>3120</v>
      </c>
      <c r="T226" s="8">
        <v>2227.6799999999998</v>
      </c>
      <c r="U226" s="8">
        <v>892.32</v>
      </c>
      <c r="V226" s="8" t="b">
        <f t="shared" si="22"/>
        <v>0</v>
      </c>
      <c r="W226" s="8">
        <f t="shared" si="23"/>
        <v>0</v>
      </c>
      <c r="X226" t="s">
        <v>55</v>
      </c>
      <c r="Y226" t="s">
        <v>104</v>
      </c>
      <c r="Z226" t="s">
        <v>38</v>
      </c>
      <c r="AA226">
        <v>5</v>
      </c>
      <c r="AB226" t="s">
        <v>111</v>
      </c>
      <c r="AC226" t="s">
        <v>67</v>
      </c>
    </row>
    <row r="227" spans="1:29" x14ac:dyDescent="0.3">
      <c r="A227" t="s">
        <v>343</v>
      </c>
      <c r="B227" s="6">
        <v>45864</v>
      </c>
      <c r="C227" s="6" t="str">
        <f t="shared" si="18"/>
        <v>4 PM - 8 PM</v>
      </c>
      <c r="D227" s="4">
        <v>0.70277777777777772</v>
      </c>
      <c r="E227" t="s">
        <v>622</v>
      </c>
      <c r="F227" t="s">
        <v>51</v>
      </c>
      <c r="G227" t="s">
        <v>122</v>
      </c>
      <c r="H227" t="s">
        <v>34</v>
      </c>
      <c r="I227" t="s">
        <v>103</v>
      </c>
      <c r="J227" t="s">
        <v>45</v>
      </c>
      <c r="K227">
        <v>1</v>
      </c>
      <c r="L227" s="8">
        <v>2000</v>
      </c>
      <c r="M227" s="8" t="str">
        <f t="shared" si="19"/>
        <v>1-10%</v>
      </c>
      <c r="N227">
        <v>10</v>
      </c>
      <c r="O227" t="str">
        <f t="shared" si="20"/>
        <v>Valid</v>
      </c>
      <c r="P227" t="str">
        <f t="shared" si="21"/>
        <v>Match</v>
      </c>
      <c r="Q227" s="8">
        <v>2000</v>
      </c>
      <c r="R227" s="8">
        <v>200</v>
      </c>
      <c r="S227" s="8">
        <v>1800</v>
      </c>
      <c r="T227" s="8">
        <v>1182.24</v>
      </c>
      <c r="U227" s="8">
        <v>617.76</v>
      </c>
      <c r="V227" s="8" t="b">
        <f t="shared" si="22"/>
        <v>0</v>
      </c>
      <c r="W227" s="8">
        <f t="shared" si="23"/>
        <v>0</v>
      </c>
      <c r="X227" t="s">
        <v>55</v>
      </c>
      <c r="Y227" t="s">
        <v>89</v>
      </c>
      <c r="Z227" t="s">
        <v>80</v>
      </c>
      <c r="AA227">
        <v>3</v>
      </c>
      <c r="AB227" t="s">
        <v>29</v>
      </c>
      <c r="AC227" t="s">
        <v>71</v>
      </c>
    </row>
    <row r="228" spans="1:29" x14ac:dyDescent="0.3">
      <c r="A228" t="s">
        <v>344</v>
      </c>
      <c r="B228" s="6">
        <v>45900</v>
      </c>
      <c r="C228" s="6" t="str">
        <f t="shared" si="18"/>
        <v>4 AM - 8 AM</v>
      </c>
      <c r="D228" s="4">
        <v>0.30277777777777776</v>
      </c>
      <c r="E228" t="s">
        <v>32</v>
      </c>
      <c r="F228" t="s">
        <v>24</v>
      </c>
      <c r="G228" t="s">
        <v>42</v>
      </c>
      <c r="H228" t="s">
        <v>62</v>
      </c>
      <c r="I228" t="s">
        <v>63</v>
      </c>
      <c r="J228" t="s">
        <v>35</v>
      </c>
      <c r="K228">
        <v>1</v>
      </c>
      <c r="L228" s="8">
        <v>64950</v>
      </c>
      <c r="M228" s="8" t="str">
        <f t="shared" si="19"/>
        <v>11-20%</v>
      </c>
      <c r="N228">
        <v>15</v>
      </c>
      <c r="O228" t="str">
        <f t="shared" si="20"/>
        <v>Valid</v>
      </c>
      <c r="P228" t="str">
        <f t="shared" si="21"/>
        <v>Match</v>
      </c>
      <c r="Q228" s="8">
        <v>64950</v>
      </c>
      <c r="R228" s="8">
        <v>9742.5</v>
      </c>
      <c r="S228" s="8">
        <v>55207.5</v>
      </c>
      <c r="T228" s="8">
        <v>44218.61</v>
      </c>
      <c r="U228" s="8">
        <v>10988.89</v>
      </c>
      <c r="V228" s="8" t="b">
        <f t="shared" si="22"/>
        <v>0</v>
      </c>
      <c r="W228" s="8">
        <f t="shared" si="23"/>
        <v>0</v>
      </c>
      <c r="X228" t="s">
        <v>36</v>
      </c>
      <c r="Y228" t="s">
        <v>94</v>
      </c>
      <c r="Z228" t="s">
        <v>80</v>
      </c>
      <c r="AA228">
        <v>4</v>
      </c>
      <c r="AB228" t="s">
        <v>90</v>
      </c>
      <c r="AC228" t="s">
        <v>30</v>
      </c>
    </row>
    <row r="229" spans="1:29" x14ac:dyDescent="0.3">
      <c r="A229" t="s">
        <v>345</v>
      </c>
      <c r="B229" s="6">
        <v>45851</v>
      </c>
      <c r="C229" s="6" t="str">
        <f t="shared" si="18"/>
        <v>12 AM - 4 AM</v>
      </c>
      <c r="D229" s="4">
        <v>0.1076388888888889</v>
      </c>
      <c r="E229" t="s">
        <v>60</v>
      </c>
      <c r="F229" t="s">
        <v>51</v>
      </c>
      <c r="G229" t="s">
        <v>122</v>
      </c>
      <c r="H229" t="s">
        <v>34</v>
      </c>
      <c r="I229" t="s">
        <v>44</v>
      </c>
      <c r="J229" t="s">
        <v>93</v>
      </c>
      <c r="K229">
        <v>1</v>
      </c>
      <c r="L229" s="8">
        <v>3200</v>
      </c>
      <c r="M229" s="8" t="str">
        <f t="shared" si="19"/>
        <v>11-20%</v>
      </c>
      <c r="N229">
        <v>15</v>
      </c>
      <c r="O229" t="str">
        <f t="shared" si="20"/>
        <v>Valid</v>
      </c>
      <c r="P229" t="str">
        <f t="shared" si="21"/>
        <v>Match</v>
      </c>
      <c r="Q229" s="8">
        <v>3200</v>
      </c>
      <c r="R229" s="8">
        <v>480</v>
      </c>
      <c r="S229" s="8">
        <v>2720</v>
      </c>
      <c r="T229" s="8">
        <v>2041.5</v>
      </c>
      <c r="U229" s="8">
        <v>678.5</v>
      </c>
      <c r="V229" s="8" t="b">
        <f t="shared" si="22"/>
        <v>0</v>
      </c>
      <c r="W229" s="8">
        <f t="shared" si="23"/>
        <v>0</v>
      </c>
      <c r="X229" t="s">
        <v>46</v>
      </c>
      <c r="Y229" t="s">
        <v>37</v>
      </c>
      <c r="Z229" t="s">
        <v>64</v>
      </c>
      <c r="AA229">
        <v>4.5</v>
      </c>
      <c r="AB229" t="s">
        <v>29</v>
      </c>
      <c r="AC229" t="s">
        <v>30</v>
      </c>
    </row>
    <row r="230" spans="1:29" x14ac:dyDescent="0.3">
      <c r="A230" t="s">
        <v>346</v>
      </c>
      <c r="B230" s="6">
        <v>45714</v>
      </c>
      <c r="C230" s="6" t="str">
        <f t="shared" si="18"/>
        <v>4 AM - 8 AM</v>
      </c>
      <c r="D230" s="4">
        <v>0.20902777777777778</v>
      </c>
      <c r="E230" t="s">
        <v>77</v>
      </c>
      <c r="F230" t="s">
        <v>24</v>
      </c>
      <c r="G230" t="s">
        <v>84</v>
      </c>
      <c r="H230" t="s">
        <v>113</v>
      </c>
      <c r="I230" t="s">
        <v>27</v>
      </c>
      <c r="J230" t="s">
        <v>35</v>
      </c>
      <c r="K230">
        <v>2</v>
      </c>
      <c r="L230" s="8">
        <v>26450</v>
      </c>
      <c r="M230" s="8" t="str">
        <f t="shared" si="19"/>
        <v>1-10%</v>
      </c>
      <c r="N230">
        <v>5</v>
      </c>
      <c r="O230" t="str">
        <f t="shared" si="20"/>
        <v>Valid</v>
      </c>
      <c r="P230" t="str">
        <f t="shared" si="21"/>
        <v>Match</v>
      </c>
      <c r="Q230" s="8">
        <v>52900</v>
      </c>
      <c r="R230" s="8">
        <v>2645</v>
      </c>
      <c r="S230" s="8">
        <v>50255</v>
      </c>
      <c r="T230" s="8">
        <v>31756.66</v>
      </c>
      <c r="U230" s="8">
        <v>18498.34</v>
      </c>
      <c r="V230" s="8" t="b">
        <f t="shared" si="22"/>
        <v>0</v>
      </c>
      <c r="W230" s="8">
        <f t="shared" si="23"/>
        <v>0</v>
      </c>
      <c r="X230" t="s">
        <v>347</v>
      </c>
      <c r="Y230" t="s">
        <v>94</v>
      </c>
      <c r="Z230" t="s">
        <v>45</v>
      </c>
      <c r="AA230">
        <v>4</v>
      </c>
      <c r="AB230" t="s">
        <v>66</v>
      </c>
      <c r="AC230" t="s">
        <v>40</v>
      </c>
    </row>
    <row r="231" spans="1:29" x14ac:dyDescent="0.3">
      <c r="A231" t="s">
        <v>348</v>
      </c>
      <c r="B231" s="6">
        <v>45986</v>
      </c>
      <c r="C231" s="6" t="str">
        <f t="shared" si="18"/>
        <v>12 PM - 4 PM</v>
      </c>
      <c r="D231" s="4">
        <v>0.57986111111111116</v>
      </c>
      <c r="E231" t="s">
        <v>77</v>
      </c>
      <c r="F231" t="s">
        <v>24</v>
      </c>
      <c r="G231" t="s">
        <v>110</v>
      </c>
      <c r="H231" t="s">
        <v>26</v>
      </c>
      <c r="I231" t="s">
        <v>98</v>
      </c>
      <c r="J231" t="s">
        <v>93</v>
      </c>
      <c r="K231">
        <v>4</v>
      </c>
      <c r="L231" s="8">
        <v>4900</v>
      </c>
      <c r="M231" s="8" t="str">
        <f t="shared" si="19"/>
        <v>1-10%</v>
      </c>
      <c r="N231">
        <v>5</v>
      </c>
      <c r="O231" t="str">
        <f t="shared" si="20"/>
        <v>Valid</v>
      </c>
      <c r="P231" t="str">
        <f t="shared" si="21"/>
        <v>Match</v>
      </c>
      <c r="Q231" s="8">
        <v>19600</v>
      </c>
      <c r="R231" s="8">
        <v>980</v>
      </c>
      <c r="S231" s="8">
        <v>18620</v>
      </c>
      <c r="T231" s="8">
        <v>10557.07</v>
      </c>
      <c r="U231" s="8">
        <v>8062.93</v>
      </c>
      <c r="V231" s="8" t="b">
        <f t="shared" si="22"/>
        <v>0</v>
      </c>
      <c r="W231" s="8">
        <f t="shared" si="23"/>
        <v>0</v>
      </c>
      <c r="X231" t="s">
        <v>28</v>
      </c>
      <c r="Y231" t="s">
        <v>47</v>
      </c>
      <c r="Z231" t="s">
        <v>38</v>
      </c>
      <c r="AA231">
        <v>4.5</v>
      </c>
      <c r="AB231" t="s">
        <v>75</v>
      </c>
      <c r="AC231" t="s">
        <v>86</v>
      </c>
    </row>
    <row r="232" spans="1:29" x14ac:dyDescent="0.3">
      <c r="A232" t="s">
        <v>349</v>
      </c>
      <c r="B232" s="6">
        <v>45659</v>
      </c>
      <c r="C232" s="6" t="str">
        <f t="shared" si="18"/>
        <v>4 AM - 8 AM</v>
      </c>
      <c r="D232" s="4">
        <v>0.32083333333333336</v>
      </c>
      <c r="E232" t="s">
        <v>60</v>
      </c>
      <c r="F232" t="s">
        <v>24</v>
      </c>
      <c r="G232" t="s">
        <v>110</v>
      </c>
      <c r="H232" t="s">
        <v>34</v>
      </c>
      <c r="I232" t="s">
        <v>98</v>
      </c>
      <c r="J232" t="s">
        <v>35</v>
      </c>
      <c r="K232">
        <v>3</v>
      </c>
      <c r="L232" s="8">
        <v>4600</v>
      </c>
      <c r="M232" s="8" t="str">
        <f t="shared" si="19"/>
        <v>1-10%</v>
      </c>
      <c r="N232">
        <v>5</v>
      </c>
      <c r="O232" t="str">
        <f t="shared" si="20"/>
        <v>Valid</v>
      </c>
      <c r="P232" t="str">
        <f t="shared" si="21"/>
        <v>Match</v>
      </c>
      <c r="Q232" s="8">
        <v>13800</v>
      </c>
      <c r="R232" s="8">
        <v>690</v>
      </c>
      <c r="S232" s="8">
        <v>13110</v>
      </c>
      <c r="T232" s="8">
        <v>8024.47</v>
      </c>
      <c r="U232" s="8">
        <v>5085.53</v>
      </c>
      <c r="V232" s="8" t="b">
        <f t="shared" si="22"/>
        <v>0</v>
      </c>
      <c r="W232" s="8">
        <f t="shared" si="23"/>
        <v>0</v>
      </c>
      <c r="X232" t="s">
        <v>36</v>
      </c>
      <c r="Y232" t="s">
        <v>37</v>
      </c>
      <c r="Z232" t="s">
        <v>45</v>
      </c>
      <c r="AA232">
        <v>4</v>
      </c>
      <c r="AB232" t="s">
        <v>151</v>
      </c>
      <c r="AC232" t="s">
        <v>67</v>
      </c>
    </row>
    <row r="233" spans="1:29" x14ac:dyDescent="0.3">
      <c r="A233" t="s">
        <v>350</v>
      </c>
      <c r="B233" s="6">
        <v>45729</v>
      </c>
      <c r="C233" s="6" t="str">
        <f t="shared" si="18"/>
        <v>12 AM - 4 AM</v>
      </c>
      <c r="D233" s="4">
        <v>2.6388888888888889E-2</v>
      </c>
      <c r="E233" t="s">
        <v>622</v>
      </c>
      <c r="F233" t="s">
        <v>51</v>
      </c>
      <c r="G233" t="s">
        <v>52</v>
      </c>
      <c r="H233" t="s">
        <v>43</v>
      </c>
      <c r="I233" t="s">
        <v>54</v>
      </c>
      <c r="J233" t="s">
        <v>93</v>
      </c>
      <c r="K233">
        <v>2</v>
      </c>
      <c r="L233" s="8">
        <v>24350</v>
      </c>
      <c r="M233" s="8" t="str">
        <f t="shared" si="19"/>
        <v>21-30%</v>
      </c>
      <c r="N233">
        <v>25</v>
      </c>
      <c r="O233" t="str">
        <f t="shared" si="20"/>
        <v>Valid</v>
      </c>
      <c r="P233" t="str">
        <f t="shared" si="21"/>
        <v>Match</v>
      </c>
      <c r="Q233" s="8">
        <v>48700</v>
      </c>
      <c r="R233" s="8">
        <v>12175</v>
      </c>
      <c r="S233" s="8">
        <v>36525</v>
      </c>
      <c r="T233" s="8">
        <v>34274.699999999997</v>
      </c>
      <c r="U233" s="8">
        <v>2250.3000000000002</v>
      </c>
      <c r="V233" s="8" t="b">
        <f t="shared" si="22"/>
        <v>0</v>
      </c>
      <c r="W233" s="8">
        <f t="shared" si="23"/>
        <v>0</v>
      </c>
      <c r="X233" t="s">
        <v>55</v>
      </c>
      <c r="Y233" t="s">
        <v>104</v>
      </c>
      <c r="Z233" t="s">
        <v>64</v>
      </c>
      <c r="AA233">
        <v>4</v>
      </c>
      <c r="AB233" t="s">
        <v>127</v>
      </c>
      <c r="AC233" t="s">
        <v>67</v>
      </c>
    </row>
    <row r="234" spans="1:29" x14ac:dyDescent="0.3">
      <c r="A234" t="s">
        <v>351</v>
      </c>
      <c r="B234" s="6">
        <v>45854</v>
      </c>
      <c r="C234" s="6" t="str">
        <f t="shared" si="18"/>
        <v>12 AM - 4 AM</v>
      </c>
      <c r="D234" s="4">
        <v>9.7916666666666666E-2</v>
      </c>
      <c r="E234" t="s">
        <v>23</v>
      </c>
      <c r="F234" t="s">
        <v>24</v>
      </c>
      <c r="G234" t="s">
        <v>88</v>
      </c>
      <c r="H234" t="s">
        <v>113</v>
      </c>
      <c r="I234" t="s">
        <v>98</v>
      </c>
      <c r="J234" t="s">
        <v>93</v>
      </c>
      <c r="K234">
        <v>1</v>
      </c>
      <c r="L234" s="8">
        <v>1550</v>
      </c>
      <c r="M234" s="8" t="str">
        <f t="shared" si="19"/>
        <v>1-10%</v>
      </c>
      <c r="N234">
        <v>5</v>
      </c>
      <c r="O234" t="str">
        <f t="shared" si="20"/>
        <v>Valid</v>
      </c>
      <c r="P234" t="str">
        <f t="shared" si="21"/>
        <v>Match</v>
      </c>
      <c r="Q234" s="8">
        <v>1550</v>
      </c>
      <c r="R234" s="8">
        <v>77.5</v>
      </c>
      <c r="S234" s="8">
        <v>1472.5</v>
      </c>
      <c r="T234" s="8">
        <v>1138.0999999999999</v>
      </c>
      <c r="U234" s="8">
        <v>334.4</v>
      </c>
      <c r="V234" s="8" t="b">
        <f t="shared" si="22"/>
        <v>0</v>
      </c>
      <c r="W234" s="8">
        <f t="shared" si="23"/>
        <v>0</v>
      </c>
      <c r="X234" t="s">
        <v>55</v>
      </c>
      <c r="Y234" t="s">
        <v>65</v>
      </c>
      <c r="Z234" t="s">
        <v>85</v>
      </c>
      <c r="AA234">
        <v>4.5</v>
      </c>
      <c r="AB234" t="s">
        <v>29</v>
      </c>
      <c r="AC234" t="s">
        <v>40</v>
      </c>
    </row>
    <row r="235" spans="1:29" x14ac:dyDescent="0.3">
      <c r="A235" t="s">
        <v>352</v>
      </c>
      <c r="B235" s="6">
        <v>45717</v>
      </c>
      <c r="C235" s="6" t="str">
        <f t="shared" si="18"/>
        <v>12 AM - 4 AM</v>
      </c>
      <c r="D235" s="4">
        <v>0.13194444444444445</v>
      </c>
      <c r="E235" t="s">
        <v>23</v>
      </c>
      <c r="F235" t="s">
        <v>24</v>
      </c>
      <c r="G235" t="s">
        <v>110</v>
      </c>
      <c r="H235" t="s">
        <v>113</v>
      </c>
      <c r="I235" t="s">
        <v>82</v>
      </c>
      <c r="J235" t="s">
        <v>35</v>
      </c>
      <c r="K235" t="s">
        <v>189</v>
      </c>
      <c r="L235" s="8">
        <v>2300</v>
      </c>
      <c r="M235" s="8" t="str">
        <f t="shared" si="19"/>
        <v>21-30%</v>
      </c>
      <c r="N235">
        <v>25</v>
      </c>
      <c r="O235" t="str">
        <f t="shared" si="20"/>
        <v>Valid</v>
      </c>
      <c r="P235" t="str">
        <f t="shared" si="21"/>
        <v>Match</v>
      </c>
      <c r="Q235" s="8">
        <v>2300</v>
      </c>
      <c r="R235" s="8">
        <v>575</v>
      </c>
      <c r="S235" s="8">
        <v>1725</v>
      </c>
      <c r="T235" s="8">
        <v>1675.71</v>
      </c>
      <c r="U235" s="8">
        <v>49.29</v>
      </c>
      <c r="V235" s="8" t="b">
        <f t="shared" si="22"/>
        <v>0</v>
      </c>
      <c r="W235" s="8">
        <f t="shared" si="23"/>
        <v>0</v>
      </c>
      <c r="X235" t="s">
        <v>28</v>
      </c>
      <c r="Y235" t="s">
        <v>37</v>
      </c>
      <c r="Z235" t="s">
        <v>64</v>
      </c>
      <c r="AA235">
        <v>4</v>
      </c>
      <c r="AB235" t="s">
        <v>127</v>
      </c>
      <c r="AC235" t="s">
        <v>71</v>
      </c>
    </row>
    <row r="236" spans="1:29" x14ac:dyDescent="0.3">
      <c r="A236" t="s">
        <v>353</v>
      </c>
      <c r="B236" s="6">
        <v>45990</v>
      </c>
      <c r="C236" s="6" t="str">
        <f t="shared" si="18"/>
        <v>8 PM - 12 AM</v>
      </c>
      <c r="D236" s="4">
        <v>0.83611111111111114</v>
      </c>
      <c r="E236" t="s">
        <v>69</v>
      </c>
      <c r="F236" t="s">
        <v>24</v>
      </c>
      <c r="G236" t="s">
        <v>42</v>
      </c>
      <c r="H236" t="s">
        <v>74</v>
      </c>
      <c r="I236" t="s">
        <v>63</v>
      </c>
      <c r="J236" t="s">
        <v>35</v>
      </c>
      <c r="K236">
        <v>1</v>
      </c>
      <c r="L236" s="8">
        <v>90000</v>
      </c>
      <c r="M236" s="8" t="str">
        <f t="shared" si="19"/>
        <v>11-20%</v>
      </c>
      <c r="N236">
        <v>15</v>
      </c>
      <c r="O236" t="str">
        <f t="shared" si="20"/>
        <v>Valid</v>
      </c>
      <c r="P236" t="str">
        <f t="shared" si="21"/>
        <v>Match</v>
      </c>
      <c r="Q236" s="8">
        <v>90000</v>
      </c>
      <c r="R236" s="8">
        <v>13500</v>
      </c>
      <c r="S236" s="8">
        <v>76500</v>
      </c>
      <c r="T236" s="8">
        <v>57455</v>
      </c>
      <c r="U236" s="8">
        <v>19045</v>
      </c>
      <c r="V236" s="8" t="b">
        <f t="shared" si="22"/>
        <v>0</v>
      </c>
      <c r="W236" s="8">
        <f t="shared" si="23"/>
        <v>0</v>
      </c>
      <c r="X236" t="s">
        <v>79</v>
      </c>
      <c r="Y236" t="s">
        <v>94</v>
      </c>
      <c r="Z236" t="s">
        <v>38</v>
      </c>
      <c r="AA236">
        <v>5</v>
      </c>
      <c r="AB236" t="s">
        <v>75</v>
      </c>
      <c r="AC236" t="s">
        <v>71</v>
      </c>
    </row>
    <row r="237" spans="1:29" x14ac:dyDescent="0.3">
      <c r="A237" t="s">
        <v>354</v>
      </c>
      <c r="B237" s="6">
        <v>46019</v>
      </c>
      <c r="C237" s="6" t="str">
        <f t="shared" si="18"/>
        <v>4 PM - 8 PM</v>
      </c>
      <c r="D237" s="4">
        <v>0.68333333333333335</v>
      </c>
      <c r="E237" t="s">
        <v>69</v>
      </c>
      <c r="F237" t="s">
        <v>24</v>
      </c>
      <c r="G237" t="s">
        <v>42</v>
      </c>
      <c r="H237" t="s">
        <v>113</v>
      </c>
      <c r="I237" t="s">
        <v>125</v>
      </c>
      <c r="J237" t="s">
        <v>35</v>
      </c>
      <c r="K237">
        <v>2</v>
      </c>
      <c r="L237" s="8">
        <v>123050</v>
      </c>
      <c r="M237" s="8" t="str">
        <f t="shared" si="19"/>
        <v>1-10%</v>
      </c>
      <c r="N237">
        <v>10</v>
      </c>
      <c r="O237" t="str">
        <f t="shared" si="20"/>
        <v>Valid</v>
      </c>
      <c r="P237" t="str">
        <f t="shared" si="21"/>
        <v>Match</v>
      </c>
      <c r="Q237" s="8">
        <v>246100</v>
      </c>
      <c r="R237" s="8">
        <v>24610</v>
      </c>
      <c r="S237" s="8">
        <v>221490</v>
      </c>
      <c r="T237" s="8">
        <v>146858.57</v>
      </c>
      <c r="U237" s="8">
        <v>74631.429999999993</v>
      </c>
      <c r="V237" s="8" t="b">
        <f t="shared" si="22"/>
        <v>0</v>
      </c>
      <c r="W237" s="8">
        <f t="shared" si="23"/>
        <v>0</v>
      </c>
      <c r="X237" t="s">
        <v>28</v>
      </c>
      <c r="Y237" t="s">
        <v>65</v>
      </c>
      <c r="Z237" t="s">
        <v>1138</v>
      </c>
      <c r="AA237">
        <v>5</v>
      </c>
      <c r="AB237" t="s">
        <v>39</v>
      </c>
      <c r="AC237" t="s">
        <v>30</v>
      </c>
    </row>
    <row r="238" spans="1:29" x14ac:dyDescent="0.3">
      <c r="A238" t="s">
        <v>355</v>
      </c>
      <c r="B238" s="6">
        <v>45699</v>
      </c>
      <c r="C238" s="6" t="str">
        <f t="shared" si="18"/>
        <v>12 PM - 4 PM</v>
      </c>
      <c r="D238" s="4">
        <v>0.62569444444444444</v>
      </c>
      <c r="E238" t="s">
        <v>32</v>
      </c>
      <c r="F238" t="s">
        <v>24</v>
      </c>
      <c r="G238" t="s">
        <v>88</v>
      </c>
      <c r="H238" t="s">
        <v>74</v>
      </c>
      <c r="I238" t="s">
        <v>27</v>
      </c>
      <c r="J238" t="s">
        <v>35</v>
      </c>
      <c r="K238" t="s">
        <v>356</v>
      </c>
      <c r="L238" s="8">
        <v>1750</v>
      </c>
      <c r="M238" s="8" t="str">
        <f t="shared" si="19"/>
        <v>11-20%</v>
      </c>
      <c r="N238">
        <v>15</v>
      </c>
      <c r="O238" t="str">
        <f t="shared" si="20"/>
        <v>Valid</v>
      </c>
      <c r="P238" t="str">
        <f t="shared" si="21"/>
        <v>Match</v>
      </c>
      <c r="Q238" s="8">
        <v>7000</v>
      </c>
      <c r="R238" s="8">
        <v>1050</v>
      </c>
      <c r="S238" s="8">
        <v>5950</v>
      </c>
      <c r="T238" s="8">
        <v>4028.5</v>
      </c>
      <c r="U238" s="8">
        <v>1921.5</v>
      </c>
      <c r="V238" s="8" t="b">
        <f t="shared" si="22"/>
        <v>0</v>
      </c>
      <c r="W238" s="8">
        <f t="shared" si="23"/>
        <v>0</v>
      </c>
      <c r="X238" t="s">
        <v>46</v>
      </c>
      <c r="Y238" t="s">
        <v>94</v>
      </c>
      <c r="Z238" t="s">
        <v>45</v>
      </c>
      <c r="AA238">
        <v>3.5</v>
      </c>
      <c r="AB238" t="s">
        <v>66</v>
      </c>
      <c r="AC238" t="s">
        <v>86</v>
      </c>
    </row>
    <row r="239" spans="1:29" x14ac:dyDescent="0.3">
      <c r="A239" t="s">
        <v>357</v>
      </c>
      <c r="B239" s="6">
        <v>45937</v>
      </c>
      <c r="C239" s="6" t="str">
        <f t="shared" si="18"/>
        <v>4 PM - 8 PM</v>
      </c>
      <c r="D239" s="4">
        <v>0.83125000000000004</v>
      </c>
      <c r="E239" t="s">
        <v>23</v>
      </c>
      <c r="F239" t="s">
        <v>24</v>
      </c>
      <c r="G239" t="s">
        <v>120</v>
      </c>
      <c r="H239" t="s">
        <v>53</v>
      </c>
      <c r="I239" t="s">
        <v>98</v>
      </c>
      <c r="J239" t="s">
        <v>35</v>
      </c>
      <c r="K239">
        <v>1</v>
      </c>
      <c r="L239" s="8">
        <v>6250</v>
      </c>
      <c r="M239" s="8" t="str">
        <f t="shared" si="19"/>
        <v>21-30%</v>
      </c>
      <c r="N239">
        <v>30</v>
      </c>
      <c r="O239" t="str">
        <f t="shared" si="20"/>
        <v>Valid</v>
      </c>
      <c r="P239" t="str">
        <f t="shared" si="21"/>
        <v>Match</v>
      </c>
      <c r="Q239" s="8">
        <v>6250</v>
      </c>
      <c r="R239" s="8">
        <v>1875</v>
      </c>
      <c r="S239" s="8">
        <v>4375</v>
      </c>
      <c r="T239" s="8">
        <v>3826.15</v>
      </c>
      <c r="U239" s="8">
        <v>548.85</v>
      </c>
      <c r="V239" s="8" t="b">
        <f t="shared" si="22"/>
        <v>0</v>
      </c>
      <c r="W239" s="8">
        <f t="shared" si="23"/>
        <v>0</v>
      </c>
      <c r="X239" t="s">
        <v>36</v>
      </c>
      <c r="Y239" t="s">
        <v>94</v>
      </c>
      <c r="Z239" t="s">
        <v>38</v>
      </c>
      <c r="AA239">
        <v>3</v>
      </c>
      <c r="AB239" t="s">
        <v>57</v>
      </c>
      <c r="AC239" t="s">
        <v>86</v>
      </c>
    </row>
    <row r="240" spans="1:29" x14ac:dyDescent="0.3">
      <c r="A240" t="s">
        <v>358</v>
      </c>
      <c r="B240" s="6">
        <v>45898</v>
      </c>
      <c r="C240" s="6" t="str">
        <f t="shared" si="18"/>
        <v>12 PM - 4 PM</v>
      </c>
      <c r="D240" s="4">
        <v>0.66319444444444442</v>
      </c>
      <c r="E240" t="s">
        <v>23</v>
      </c>
      <c r="F240" t="s">
        <v>96</v>
      </c>
      <c r="G240" t="s">
        <v>134</v>
      </c>
      <c r="H240" t="s">
        <v>102</v>
      </c>
      <c r="I240" t="s">
        <v>54</v>
      </c>
      <c r="J240" t="s">
        <v>35</v>
      </c>
      <c r="K240">
        <v>2</v>
      </c>
      <c r="L240" s="8">
        <v>2050</v>
      </c>
      <c r="M240" s="8" t="str">
        <f t="shared" si="19"/>
        <v>1-10%</v>
      </c>
      <c r="N240">
        <v>5</v>
      </c>
      <c r="O240" t="str">
        <f t="shared" si="20"/>
        <v>Valid</v>
      </c>
      <c r="P240" t="str">
        <f t="shared" si="21"/>
        <v>Match</v>
      </c>
      <c r="Q240" s="8">
        <v>4100</v>
      </c>
      <c r="R240" s="8">
        <v>205</v>
      </c>
      <c r="S240" s="8">
        <v>3895</v>
      </c>
      <c r="T240" s="8">
        <v>2588.02</v>
      </c>
      <c r="U240" s="8">
        <v>1306.98</v>
      </c>
      <c r="V240" s="8" t="b">
        <f t="shared" si="22"/>
        <v>0</v>
      </c>
      <c r="W240" s="8">
        <f t="shared" si="23"/>
        <v>0</v>
      </c>
      <c r="X240" t="s">
        <v>347</v>
      </c>
      <c r="Y240" t="s">
        <v>47</v>
      </c>
      <c r="Z240" t="s">
        <v>85</v>
      </c>
      <c r="AA240">
        <v>4</v>
      </c>
      <c r="AB240" t="s">
        <v>90</v>
      </c>
      <c r="AC240" t="s">
        <v>58</v>
      </c>
    </row>
    <row r="241" spans="1:29" x14ac:dyDescent="0.3">
      <c r="A241" t="s">
        <v>359</v>
      </c>
      <c r="B241" s="6">
        <v>45724</v>
      </c>
      <c r="C241" s="6" t="str">
        <f t="shared" si="18"/>
        <v>12 AM - 4 AM</v>
      </c>
      <c r="E241" t="s">
        <v>23</v>
      </c>
      <c r="F241" t="s">
        <v>51</v>
      </c>
      <c r="G241" t="s">
        <v>153</v>
      </c>
      <c r="H241" t="s">
        <v>74</v>
      </c>
      <c r="I241" t="s">
        <v>98</v>
      </c>
      <c r="J241" t="s">
        <v>45</v>
      </c>
      <c r="K241">
        <v>3</v>
      </c>
      <c r="L241" s="8">
        <v>1350</v>
      </c>
      <c r="M241" s="8" t="str">
        <f t="shared" si="19"/>
        <v>11-20%</v>
      </c>
      <c r="N241">
        <v>15</v>
      </c>
      <c r="O241" t="str">
        <f t="shared" si="20"/>
        <v>Valid</v>
      </c>
      <c r="P241" t="str">
        <f t="shared" si="21"/>
        <v>Match</v>
      </c>
      <c r="Q241" s="8">
        <v>4050</v>
      </c>
      <c r="R241" s="8">
        <v>607.5</v>
      </c>
      <c r="S241" s="8">
        <v>3442.5</v>
      </c>
      <c r="T241" s="8">
        <v>2622.92</v>
      </c>
      <c r="U241" s="8">
        <v>819.58</v>
      </c>
      <c r="V241" s="8" t="b">
        <f t="shared" si="22"/>
        <v>0</v>
      </c>
      <c r="W241" s="8">
        <f t="shared" si="23"/>
        <v>0</v>
      </c>
      <c r="X241" t="s">
        <v>55</v>
      </c>
      <c r="Y241" t="s">
        <v>47</v>
      </c>
      <c r="Z241" t="s">
        <v>64</v>
      </c>
      <c r="AA241">
        <v>4.5</v>
      </c>
      <c r="AB241" t="s">
        <v>90</v>
      </c>
      <c r="AC241" t="s">
        <v>30</v>
      </c>
    </row>
    <row r="242" spans="1:29" x14ac:dyDescent="0.3">
      <c r="A242" t="s">
        <v>360</v>
      </c>
      <c r="B242" s="6">
        <v>45746</v>
      </c>
      <c r="C242" s="6" t="str">
        <f t="shared" si="18"/>
        <v>4 AM - 8 AM</v>
      </c>
      <c r="D242" s="4">
        <v>0.21875</v>
      </c>
      <c r="E242" t="s">
        <v>69</v>
      </c>
      <c r="F242" t="s">
        <v>24</v>
      </c>
      <c r="G242" t="s">
        <v>42</v>
      </c>
      <c r="H242" t="s">
        <v>62</v>
      </c>
      <c r="I242" t="s">
        <v>125</v>
      </c>
      <c r="J242" t="s">
        <v>35</v>
      </c>
      <c r="K242">
        <v>2</v>
      </c>
      <c r="L242" s="8">
        <v>99750</v>
      </c>
      <c r="M242" s="8" t="str">
        <f t="shared" si="19"/>
        <v>11-20%</v>
      </c>
      <c r="N242">
        <v>15</v>
      </c>
      <c r="O242" t="str">
        <f t="shared" si="20"/>
        <v>Valid</v>
      </c>
      <c r="P242" t="str">
        <f t="shared" si="21"/>
        <v>Match</v>
      </c>
      <c r="Q242" s="8">
        <v>199500</v>
      </c>
      <c r="R242" s="8">
        <v>29925</v>
      </c>
      <c r="S242" s="8">
        <v>169575</v>
      </c>
      <c r="T242" s="8">
        <v>119312.38</v>
      </c>
      <c r="U242" s="8">
        <v>50262.62</v>
      </c>
      <c r="V242" s="8" t="b">
        <f t="shared" si="22"/>
        <v>0</v>
      </c>
      <c r="W242" s="8">
        <f t="shared" si="23"/>
        <v>0</v>
      </c>
      <c r="X242" t="s">
        <v>79</v>
      </c>
      <c r="Y242" t="s">
        <v>47</v>
      </c>
      <c r="Z242" t="s">
        <v>80</v>
      </c>
      <c r="AA242">
        <v>4.5</v>
      </c>
      <c r="AB242" t="s">
        <v>127</v>
      </c>
      <c r="AC242" t="s">
        <v>30</v>
      </c>
    </row>
    <row r="243" spans="1:29" x14ac:dyDescent="0.3">
      <c r="A243" t="s">
        <v>361</v>
      </c>
      <c r="B243" s="6">
        <v>45971</v>
      </c>
      <c r="C243" s="6" t="str">
        <f t="shared" si="18"/>
        <v>4 AM - 8 AM</v>
      </c>
      <c r="D243" s="4">
        <v>0.22638888888888889</v>
      </c>
      <c r="E243" t="s">
        <v>23</v>
      </c>
      <c r="F243" t="s">
        <v>96</v>
      </c>
      <c r="G243" t="s">
        <v>97</v>
      </c>
      <c r="H243" t="s">
        <v>26</v>
      </c>
      <c r="I243" t="s">
        <v>103</v>
      </c>
      <c r="J243" t="s">
        <v>35</v>
      </c>
      <c r="K243">
        <v>3</v>
      </c>
      <c r="L243" s="8">
        <v>2500</v>
      </c>
      <c r="M243" s="8" t="str">
        <f t="shared" si="19"/>
        <v>21-30%</v>
      </c>
      <c r="N243">
        <v>30</v>
      </c>
      <c r="O243" t="str">
        <f t="shared" si="20"/>
        <v>Valid</v>
      </c>
      <c r="P243" t="str">
        <f t="shared" si="21"/>
        <v>Match</v>
      </c>
      <c r="Q243" s="8">
        <v>7500</v>
      </c>
      <c r="R243" s="8">
        <v>2250</v>
      </c>
      <c r="S243" s="8">
        <v>5250</v>
      </c>
      <c r="T243" s="8">
        <v>4390.79</v>
      </c>
      <c r="U243" s="8">
        <v>859.21</v>
      </c>
      <c r="V243" s="8" t="b">
        <f t="shared" si="22"/>
        <v>0</v>
      </c>
      <c r="W243" s="8">
        <f t="shared" si="23"/>
        <v>0</v>
      </c>
      <c r="X243" t="s">
        <v>55</v>
      </c>
      <c r="Y243" t="s">
        <v>37</v>
      </c>
      <c r="Z243" t="s">
        <v>1138</v>
      </c>
      <c r="AA243">
        <v>4</v>
      </c>
      <c r="AB243" t="s">
        <v>75</v>
      </c>
      <c r="AC243" t="s">
        <v>49</v>
      </c>
    </row>
    <row r="244" spans="1:29" x14ac:dyDescent="0.3">
      <c r="A244" t="s">
        <v>362</v>
      </c>
      <c r="B244" s="6">
        <v>45800</v>
      </c>
      <c r="C244" s="6" t="str">
        <f t="shared" si="18"/>
        <v>12 PM - 4 PM</v>
      </c>
      <c r="D244" s="4">
        <v>0.61111111111111116</v>
      </c>
      <c r="E244" t="s">
        <v>108</v>
      </c>
      <c r="F244" t="s">
        <v>24</v>
      </c>
      <c r="G244" t="s">
        <v>25</v>
      </c>
      <c r="H244" t="s">
        <v>26</v>
      </c>
      <c r="I244" t="s">
        <v>63</v>
      </c>
      <c r="J244" t="s">
        <v>35</v>
      </c>
      <c r="K244">
        <v>3</v>
      </c>
      <c r="L244" s="8">
        <v>8900</v>
      </c>
      <c r="M244" s="8" t="str">
        <f t="shared" si="19"/>
        <v>21-30%</v>
      </c>
      <c r="N244">
        <v>30</v>
      </c>
      <c r="O244" t="str">
        <f t="shared" si="20"/>
        <v>Valid</v>
      </c>
      <c r="P244" t="str">
        <f t="shared" si="21"/>
        <v>Match</v>
      </c>
      <c r="Q244" s="8">
        <v>26700</v>
      </c>
      <c r="R244" s="8">
        <v>8010</v>
      </c>
      <c r="S244" s="8">
        <v>18690</v>
      </c>
      <c r="T244" s="8">
        <v>14477.28</v>
      </c>
      <c r="U244" s="8">
        <v>4212.72</v>
      </c>
      <c r="V244" s="8" t="b">
        <f t="shared" si="22"/>
        <v>0</v>
      </c>
      <c r="W244" s="8">
        <f t="shared" si="23"/>
        <v>0</v>
      </c>
      <c r="X244" t="s">
        <v>55</v>
      </c>
      <c r="Y244" t="s">
        <v>65</v>
      </c>
      <c r="Z244" t="s">
        <v>85</v>
      </c>
      <c r="AA244">
        <v>2.5</v>
      </c>
      <c r="AB244" t="s">
        <v>111</v>
      </c>
      <c r="AC244" t="s">
        <v>58</v>
      </c>
    </row>
    <row r="245" spans="1:29" x14ac:dyDescent="0.3">
      <c r="A245" t="s">
        <v>363</v>
      </c>
      <c r="B245" s="6">
        <v>45675</v>
      </c>
      <c r="C245" s="6" t="str">
        <f t="shared" si="18"/>
        <v>4 PM - 8 PM</v>
      </c>
      <c r="D245" s="4">
        <v>0.69166666666666665</v>
      </c>
      <c r="E245" t="s">
        <v>69</v>
      </c>
      <c r="F245" t="s">
        <v>51</v>
      </c>
      <c r="G245" t="s">
        <v>101</v>
      </c>
      <c r="H245" t="s">
        <v>43</v>
      </c>
      <c r="I245" t="s">
        <v>98</v>
      </c>
      <c r="J245" t="s">
        <v>93</v>
      </c>
      <c r="K245">
        <v>1</v>
      </c>
      <c r="L245" s="8">
        <v>12000</v>
      </c>
      <c r="M245" s="8" t="str">
        <f t="shared" si="19"/>
        <v>1-10%</v>
      </c>
      <c r="N245">
        <v>10</v>
      </c>
      <c r="O245" t="str">
        <f t="shared" si="20"/>
        <v>Valid</v>
      </c>
      <c r="P245" t="str">
        <f t="shared" si="21"/>
        <v>Match</v>
      </c>
      <c r="Q245" s="8">
        <v>12000</v>
      </c>
      <c r="R245" s="8">
        <v>1200</v>
      </c>
      <c r="S245" s="8">
        <v>10800</v>
      </c>
      <c r="T245" s="8">
        <v>6448.44</v>
      </c>
      <c r="U245" s="8">
        <v>4351.5600000000004</v>
      </c>
      <c r="V245" s="8" t="b">
        <f t="shared" si="22"/>
        <v>0</v>
      </c>
      <c r="W245" s="8">
        <f t="shared" si="23"/>
        <v>0</v>
      </c>
      <c r="X245" t="s">
        <v>36</v>
      </c>
      <c r="Y245" t="s">
        <v>70</v>
      </c>
      <c r="Z245" t="s">
        <v>85</v>
      </c>
      <c r="AA245">
        <v>3</v>
      </c>
      <c r="AB245" t="s">
        <v>151</v>
      </c>
      <c r="AC245" t="s">
        <v>71</v>
      </c>
    </row>
    <row r="246" spans="1:29" x14ac:dyDescent="0.3">
      <c r="A246" t="s">
        <v>364</v>
      </c>
      <c r="B246" s="6">
        <v>46009</v>
      </c>
      <c r="C246" s="6" t="str">
        <f t="shared" si="18"/>
        <v>4 PM - 8 PM</v>
      </c>
      <c r="D246" s="4">
        <v>0.78611111111111109</v>
      </c>
      <c r="E246" t="s">
        <v>60</v>
      </c>
      <c r="F246" t="s">
        <v>51</v>
      </c>
      <c r="G246" t="s">
        <v>140</v>
      </c>
      <c r="H246" t="s">
        <v>26</v>
      </c>
      <c r="I246" t="s">
        <v>103</v>
      </c>
      <c r="J246" t="s">
        <v>64</v>
      </c>
      <c r="K246">
        <v>3</v>
      </c>
      <c r="L246" s="8">
        <v>4350</v>
      </c>
      <c r="M246" s="8" t="str">
        <f t="shared" si="19"/>
        <v>1-10%</v>
      </c>
      <c r="N246">
        <v>5</v>
      </c>
      <c r="O246" t="str">
        <f t="shared" si="20"/>
        <v>Valid</v>
      </c>
      <c r="P246" t="str">
        <f t="shared" si="21"/>
        <v>Match</v>
      </c>
      <c r="Q246" s="8">
        <v>13050</v>
      </c>
      <c r="R246" s="8">
        <v>652.5</v>
      </c>
      <c r="S246" s="8">
        <v>12397.5</v>
      </c>
      <c r="T246" s="8">
        <v>7534.41</v>
      </c>
      <c r="U246" s="8">
        <v>4863.09</v>
      </c>
      <c r="V246" s="8" t="b">
        <f t="shared" si="22"/>
        <v>0</v>
      </c>
      <c r="W246" s="8">
        <f t="shared" si="23"/>
        <v>0</v>
      </c>
      <c r="X246" t="s">
        <v>28</v>
      </c>
      <c r="Y246" t="s">
        <v>104</v>
      </c>
      <c r="Z246" t="s">
        <v>80</v>
      </c>
      <c r="AA246">
        <v>4</v>
      </c>
      <c r="AB246" t="s">
        <v>39</v>
      </c>
      <c r="AC246" t="s">
        <v>67</v>
      </c>
    </row>
    <row r="247" spans="1:29" x14ac:dyDescent="0.3">
      <c r="A247" t="s">
        <v>365</v>
      </c>
      <c r="B247" s="6">
        <v>45816</v>
      </c>
      <c r="C247" s="6" t="str">
        <f t="shared" si="18"/>
        <v>4 PM - 8 PM</v>
      </c>
      <c r="D247" s="4">
        <v>0.69722222222222219</v>
      </c>
      <c r="E247" t="s">
        <v>32</v>
      </c>
      <c r="F247" t="s">
        <v>96</v>
      </c>
      <c r="G247" t="s">
        <v>145</v>
      </c>
      <c r="H247" t="s">
        <v>74</v>
      </c>
      <c r="I247" t="s">
        <v>98</v>
      </c>
      <c r="J247" t="s">
        <v>200</v>
      </c>
      <c r="K247" t="s">
        <v>189</v>
      </c>
      <c r="L247" s="8">
        <v>3400</v>
      </c>
      <c r="M247" s="8" t="str">
        <f t="shared" si="19"/>
        <v>0%</v>
      </c>
      <c r="N247">
        <v>0</v>
      </c>
      <c r="O247" t="str">
        <f t="shared" si="20"/>
        <v>Valid</v>
      </c>
      <c r="P247" t="str">
        <f t="shared" si="21"/>
        <v>Match</v>
      </c>
      <c r="Q247" s="8">
        <v>3400</v>
      </c>
      <c r="R247" s="8">
        <v>0</v>
      </c>
      <c r="S247" s="8">
        <v>3400</v>
      </c>
      <c r="T247" s="8">
        <v>1909.96</v>
      </c>
      <c r="U247" s="8">
        <v>1490.04</v>
      </c>
      <c r="V247" s="8" t="b">
        <f t="shared" si="22"/>
        <v>0</v>
      </c>
      <c r="W247" s="8">
        <f t="shared" si="23"/>
        <v>0</v>
      </c>
      <c r="X247" t="s">
        <v>36</v>
      </c>
      <c r="Y247" t="s">
        <v>37</v>
      </c>
      <c r="Z247" t="s">
        <v>45</v>
      </c>
      <c r="AA247">
        <v>4</v>
      </c>
      <c r="AB247" t="s">
        <v>48</v>
      </c>
      <c r="AC247" t="s">
        <v>30</v>
      </c>
    </row>
    <row r="248" spans="1:29" x14ac:dyDescent="0.3">
      <c r="A248" t="s">
        <v>366</v>
      </c>
      <c r="B248" s="6">
        <v>46002</v>
      </c>
      <c r="C248" s="6" t="str">
        <f t="shared" si="18"/>
        <v>12 AM - 4 AM</v>
      </c>
      <c r="D248" s="4">
        <v>8.9583333333333334E-2</v>
      </c>
      <c r="E248" t="s">
        <v>32</v>
      </c>
      <c r="F248" t="s">
        <v>24</v>
      </c>
      <c r="G248" t="s">
        <v>33</v>
      </c>
      <c r="H248" t="s">
        <v>102</v>
      </c>
      <c r="I248" t="s">
        <v>54</v>
      </c>
      <c r="J248" t="s">
        <v>85</v>
      </c>
      <c r="K248">
        <v>1</v>
      </c>
      <c r="L248" s="8">
        <v>2700</v>
      </c>
      <c r="M248" s="8" t="str">
        <f t="shared" si="19"/>
        <v>1-10%</v>
      </c>
      <c r="N248">
        <v>10</v>
      </c>
      <c r="O248" t="str">
        <f t="shared" si="20"/>
        <v>Valid</v>
      </c>
      <c r="P248" t="str">
        <f t="shared" si="21"/>
        <v>Match</v>
      </c>
      <c r="Q248" s="8">
        <v>2700</v>
      </c>
      <c r="R248" s="8">
        <v>270</v>
      </c>
      <c r="S248" s="8">
        <v>2430</v>
      </c>
      <c r="T248" s="8">
        <v>1547.88</v>
      </c>
      <c r="U248" s="8">
        <v>882.12</v>
      </c>
      <c r="V248" s="8" t="b">
        <f t="shared" si="22"/>
        <v>0</v>
      </c>
      <c r="W248" s="8">
        <f t="shared" si="23"/>
        <v>0</v>
      </c>
      <c r="X248" t="s">
        <v>28</v>
      </c>
      <c r="Y248" t="s">
        <v>89</v>
      </c>
      <c r="Z248" t="s">
        <v>85</v>
      </c>
      <c r="AA248">
        <v>3.5</v>
      </c>
      <c r="AB248" t="s">
        <v>39</v>
      </c>
      <c r="AC248" t="s">
        <v>67</v>
      </c>
    </row>
    <row r="249" spans="1:29" x14ac:dyDescent="0.3">
      <c r="A249" t="s">
        <v>367</v>
      </c>
      <c r="B249" s="6">
        <v>45825</v>
      </c>
      <c r="C249" s="6" t="str">
        <f t="shared" si="18"/>
        <v>4 PM - 8 PM</v>
      </c>
      <c r="D249" s="4">
        <v>0.78194444444444444</v>
      </c>
      <c r="E249" t="s">
        <v>60</v>
      </c>
      <c r="F249" t="s">
        <v>24</v>
      </c>
      <c r="G249" t="s">
        <v>88</v>
      </c>
      <c r="H249" t="s">
        <v>102</v>
      </c>
      <c r="I249" t="s">
        <v>82</v>
      </c>
      <c r="J249" t="s">
        <v>35</v>
      </c>
      <c r="K249">
        <v>1</v>
      </c>
      <c r="L249" s="8">
        <v>4400</v>
      </c>
      <c r="M249" s="8" t="str">
        <f t="shared" si="19"/>
        <v>21-30%</v>
      </c>
      <c r="N249">
        <v>30</v>
      </c>
      <c r="O249" t="str">
        <f t="shared" si="20"/>
        <v>Valid</v>
      </c>
      <c r="P249" t="str">
        <f t="shared" si="21"/>
        <v>Match</v>
      </c>
      <c r="Q249" s="8">
        <v>4400</v>
      </c>
      <c r="R249" s="8">
        <v>1320</v>
      </c>
      <c r="S249" s="8">
        <v>3080</v>
      </c>
      <c r="T249" s="8">
        <v>3161.44</v>
      </c>
      <c r="U249" s="8">
        <v>-81.44</v>
      </c>
      <c r="V249" s="8" t="b">
        <f t="shared" si="22"/>
        <v>0</v>
      </c>
      <c r="W249" s="8">
        <f t="shared" si="23"/>
        <v>0</v>
      </c>
      <c r="X249" t="s">
        <v>28</v>
      </c>
      <c r="Y249" t="s">
        <v>37</v>
      </c>
      <c r="Z249" t="s">
        <v>45</v>
      </c>
      <c r="AA249">
        <v>4</v>
      </c>
      <c r="AB249" t="s">
        <v>48</v>
      </c>
      <c r="AC249" t="s">
        <v>86</v>
      </c>
    </row>
    <row r="250" spans="1:29" x14ac:dyDescent="0.3">
      <c r="A250" t="s">
        <v>368</v>
      </c>
      <c r="B250" s="6">
        <v>45690</v>
      </c>
      <c r="C250" s="6" t="str">
        <f t="shared" si="18"/>
        <v>12 PM - 4 PM</v>
      </c>
      <c r="D250" s="4">
        <v>0.66180555555555554</v>
      </c>
      <c r="E250" t="s">
        <v>77</v>
      </c>
      <c r="F250" t="s">
        <v>24</v>
      </c>
      <c r="G250" t="s">
        <v>110</v>
      </c>
      <c r="H250" t="s">
        <v>34</v>
      </c>
      <c r="I250" t="s">
        <v>82</v>
      </c>
      <c r="J250" t="s">
        <v>78</v>
      </c>
      <c r="K250">
        <v>1</v>
      </c>
      <c r="L250" s="8">
        <v>1150</v>
      </c>
      <c r="M250" s="8" t="str">
        <f t="shared" si="19"/>
        <v>11-20%</v>
      </c>
      <c r="N250">
        <v>15</v>
      </c>
      <c r="O250" t="str">
        <f t="shared" si="20"/>
        <v>Valid</v>
      </c>
      <c r="P250" t="str">
        <f t="shared" si="21"/>
        <v>Match</v>
      </c>
      <c r="Q250" s="8">
        <v>1150</v>
      </c>
      <c r="R250" s="8">
        <v>172.5</v>
      </c>
      <c r="S250" s="8">
        <v>977.5</v>
      </c>
      <c r="T250" s="8">
        <v>747.1</v>
      </c>
      <c r="U250" s="8">
        <v>230.4</v>
      </c>
      <c r="V250" s="8" t="b">
        <f t="shared" si="22"/>
        <v>0</v>
      </c>
      <c r="W250" s="8">
        <f t="shared" si="23"/>
        <v>0</v>
      </c>
      <c r="X250" t="s">
        <v>79</v>
      </c>
      <c r="Y250" t="s">
        <v>94</v>
      </c>
      <c r="Z250" t="s">
        <v>80</v>
      </c>
      <c r="AA250">
        <v>4.5</v>
      </c>
      <c r="AB250" t="s">
        <v>66</v>
      </c>
      <c r="AC250" t="s">
        <v>30</v>
      </c>
    </row>
    <row r="251" spans="1:29" x14ac:dyDescent="0.3">
      <c r="A251" t="s">
        <v>369</v>
      </c>
      <c r="B251" s="6">
        <v>45806</v>
      </c>
      <c r="C251" s="6" t="str">
        <f t="shared" si="18"/>
        <v>8 AM - 12 PM</v>
      </c>
      <c r="D251" s="4">
        <v>0.42152777777777778</v>
      </c>
      <c r="E251" t="s">
        <v>622</v>
      </c>
      <c r="F251" t="s">
        <v>24</v>
      </c>
      <c r="G251" t="s">
        <v>33</v>
      </c>
      <c r="H251" t="s">
        <v>34</v>
      </c>
      <c r="I251" t="s">
        <v>63</v>
      </c>
      <c r="J251" t="s">
        <v>35</v>
      </c>
      <c r="K251">
        <v>1</v>
      </c>
      <c r="L251" s="8">
        <v>1850</v>
      </c>
      <c r="M251" s="8" t="str">
        <f t="shared" si="19"/>
        <v>1-10%</v>
      </c>
      <c r="N251">
        <v>5</v>
      </c>
      <c r="O251" t="str">
        <f t="shared" si="20"/>
        <v>Valid</v>
      </c>
      <c r="P251" t="str">
        <f t="shared" si="21"/>
        <v>Match</v>
      </c>
      <c r="Q251" s="8">
        <v>1850</v>
      </c>
      <c r="R251" s="8">
        <v>92.5</v>
      </c>
      <c r="S251" s="8">
        <v>1757.5</v>
      </c>
      <c r="T251" s="8">
        <v>1273.01</v>
      </c>
      <c r="U251" s="8">
        <v>484.49</v>
      </c>
      <c r="V251" s="8" t="b">
        <f t="shared" si="22"/>
        <v>0</v>
      </c>
      <c r="W251" s="8">
        <f t="shared" si="23"/>
        <v>0</v>
      </c>
      <c r="X251" t="s">
        <v>55</v>
      </c>
      <c r="Y251" t="s">
        <v>47</v>
      </c>
      <c r="Z251" t="s">
        <v>64</v>
      </c>
      <c r="AA251">
        <v>4</v>
      </c>
      <c r="AB251" t="s">
        <v>111</v>
      </c>
      <c r="AC251" t="s">
        <v>67</v>
      </c>
    </row>
    <row r="252" spans="1:29" x14ac:dyDescent="0.3">
      <c r="A252" t="s">
        <v>370</v>
      </c>
      <c r="B252" s="6">
        <v>45943</v>
      </c>
      <c r="C252" s="6" t="str">
        <f t="shared" si="18"/>
        <v>8 PM - 12 AM</v>
      </c>
      <c r="D252" s="4">
        <v>0.89166666666666672</v>
      </c>
      <c r="E252" t="s">
        <v>60</v>
      </c>
      <c r="F252" t="s">
        <v>51</v>
      </c>
      <c r="G252" t="s">
        <v>52</v>
      </c>
      <c r="H252" t="s">
        <v>74</v>
      </c>
      <c r="I252" t="s">
        <v>54</v>
      </c>
      <c r="J252" t="s">
        <v>85</v>
      </c>
      <c r="K252">
        <v>2</v>
      </c>
      <c r="L252" s="8">
        <v>37000</v>
      </c>
      <c r="M252" s="8" t="str">
        <f t="shared" si="19"/>
        <v>0%</v>
      </c>
      <c r="N252">
        <v>0</v>
      </c>
      <c r="O252" t="str">
        <f t="shared" si="20"/>
        <v>Valid</v>
      </c>
      <c r="P252" t="str">
        <f t="shared" si="21"/>
        <v>Match</v>
      </c>
      <c r="Q252" s="8">
        <v>74000</v>
      </c>
      <c r="R252" s="8">
        <v>0</v>
      </c>
      <c r="S252" s="8">
        <v>74000</v>
      </c>
      <c r="T252" s="8">
        <v>43847.37</v>
      </c>
      <c r="U252" s="8">
        <v>30152.63</v>
      </c>
      <c r="V252" s="8" t="b">
        <f t="shared" si="22"/>
        <v>0</v>
      </c>
      <c r="W252" s="8">
        <f t="shared" si="23"/>
        <v>0</v>
      </c>
      <c r="X252" t="s">
        <v>55</v>
      </c>
      <c r="Y252" t="s">
        <v>65</v>
      </c>
      <c r="Z252" t="s">
        <v>85</v>
      </c>
      <c r="AA252">
        <v>4</v>
      </c>
      <c r="AB252" t="s">
        <v>57</v>
      </c>
      <c r="AC252" t="s">
        <v>49</v>
      </c>
    </row>
    <row r="253" spans="1:29" x14ac:dyDescent="0.3">
      <c r="A253" t="s">
        <v>371</v>
      </c>
      <c r="B253" s="6">
        <v>45804</v>
      </c>
      <c r="C253" s="6" t="str">
        <f t="shared" si="18"/>
        <v>4 AM - 8 AM</v>
      </c>
      <c r="D253" s="4">
        <v>0.33194444444444443</v>
      </c>
      <c r="E253" t="s">
        <v>32</v>
      </c>
      <c r="F253" t="s">
        <v>24</v>
      </c>
      <c r="G253" t="s">
        <v>33</v>
      </c>
      <c r="H253" t="s">
        <v>26</v>
      </c>
      <c r="I253" t="s">
        <v>92</v>
      </c>
      <c r="J253" t="s">
        <v>35</v>
      </c>
      <c r="K253">
        <v>1</v>
      </c>
      <c r="L253" s="8">
        <v>800</v>
      </c>
      <c r="M253" s="8" t="str">
        <f t="shared" si="19"/>
        <v>1-10%</v>
      </c>
      <c r="N253">
        <v>5</v>
      </c>
      <c r="O253" t="str">
        <f t="shared" si="20"/>
        <v>Valid</v>
      </c>
      <c r="P253" t="str">
        <f t="shared" si="21"/>
        <v>Match</v>
      </c>
      <c r="Q253" s="8">
        <v>800</v>
      </c>
      <c r="R253" s="8">
        <v>40</v>
      </c>
      <c r="S253" s="8">
        <v>760</v>
      </c>
      <c r="T253" s="8">
        <v>478.18</v>
      </c>
      <c r="U253" s="8">
        <v>281.82</v>
      </c>
      <c r="V253" s="8" t="b">
        <f t="shared" si="22"/>
        <v>0</v>
      </c>
      <c r="W253" s="8">
        <f t="shared" si="23"/>
        <v>0</v>
      </c>
      <c r="X253" t="s">
        <v>46</v>
      </c>
      <c r="Y253" t="s">
        <v>70</v>
      </c>
      <c r="Z253" t="s">
        <v>45</v>
      </c>
      <c r="AA253">
        <v>4</v>
      </c>
      <c r="AB253" t="s">
        <v>111</v>
      </c>
      <c r="AC253" t="s">
        <v>86</v>
      </c>
    </row>
    <row r="254" spans="1:29" x14ac:dyDescent="0.3">
      <c r="A254" t="s">
        <v>372</v>
      </c>
      <c r="B254" s="6">
        <v>45704</v>
      </c>
      <c r="C254" s="6" t="str">
        <f t="shared" si="18"/>
        <v>4 PM - 8 PM</v>
      </c>
      <c r="D254" s="4">
        <v>0.81805555555555554</v>
      </c>
      <c r="E254" t="s">
        <v>69</v>
      </c>
      <c r="F254" t="s">
        <v>24</v>
      </c>
      <c r="G254" t="s">
        <v>120</v>
      </c>
      <c r="H254" t="s">
        <v>34</v>
      </c>
      <c r="I254" t="s">
        <v>54</v>
      </c>
      <c r="J254" t="s">
        <v>35</v>
      </c>
      <c r="K254">
        <v>1</v>
      </c>
      <c r="L254" s="8">
        <v>12900</v>
      </c>
      <c r="M254" s="8" t="str">
        <f t="shared" si="19"/>
        <v>21-30%</v>
      </c>
      <c r="N254">
        <v>30</v>
      </c>
      <c r="O254" t="str">
        <f t="shared" si="20"/>
        <v>Valid</v>
      </c>
      <c r="P254" t="str">
        <f t="shared" si="21"/>
        <v>Match</v>
      </c>
      <c r="Q254" s="8">
        <v>12900</v>
      </c>
      <c r="R254" s="8">
        <v>3870</v>
      </c>
      <c r="S254" s="8">
        <v>9030</v>
      </c>
      <c r="T254" s="8">
        <v>9481.77</v>
      </c>
      <c r="U254" s="8">
        <v>-451.77</v>
      </c>
      <c r="V254" s="8" t="b">
        <f t="shared" si="22"/>
        <v>1</v>
      </c>
      <c r="W254" s="8">
        <f t="shared" si="23"/>
        <v>451.77</v>
      </c>
      <c r="X254" t="s">
        <v>79</v>
      </c>
      <c r="Y254" t="s">
        <v>47</v>
      </c>
      <c r="Z254" t="s">
        <v>38</v>
      </c>
      <c r="AA254">
        <v>3</v>
      </c>
      <c r="AB254" t="s">
        <v>66</v>
      </c>
      <c r="AC254" t="s">
        <v>30</v>
      </c>
    </row>
    <row r="255" spans="1:29" x14ac:dyDescent="0.3">
      <c r="A255" t="s">
        <v>373</v>
      </c>
      <c r="B255" s="6">
        <v>45877</v>
      </c>
      <c r="C255" s="6" t="str">
        <f t="shared" si="18"/>
        <v>4 AM - 8 AM</v>
      </c>
      <c r="D255" s="4">
        <v>0.20833333333333334</v>
      </c>
      <c r="E255" t="s">
        <v>60</v>
      </c>
      <c r="F255" t="s">
        <v>51</v>
      </c>
      <c r="G255" t="s">
        <v>153</v>
      </c>
      <c r="H255" t="s">
        <v>113</v>
      </c>
      <c r="I255" t="s">
        <v>103</v>
      </c>
      <c r="J255" t="s">
        <v>35</v>
      </c>
      <c r="K255">
        <v>2</v>
      </c>
      <c r="L255" s="8">
        <v>2650</v>
      </c>
      <c r="M255" s="8" t="str">
        <f t="shared" si="19"/>
        <v>1-10%</v>
      </c>
      <c r="N255">
        <v>10</v>
      </c>
      <c r="O255" t="str">
        <f t="shared" si="20"/>
        <v>Valid</v>
      </c>
      <c r="P255" t="str">
        <f t="shared" si="21"/>
        <v>Match</v>
      </c>
      <c r="Q255" s="8">
        <v>5300</v>
      </c>
      <c r="R255" s="8">
        <v>530</v>
      </c>
      <c r="S255" s="8">
        <v>4770</v>
      </c>
      <c r="T255" s="8">
        <v>3697.78</v>
      </c>
      <c r="U255" s="8">
        <v>1072.22</v>
      </c>
      <c r="V255" s="8" t="b">
        <f t="shared" si="22"/>
        <v>0</v>
      </c>
      <c r="W255" s="8">
        <f t="shared" si="23"/>
        <v>0</v>
      </c>
      <c r="X255" t="s">
        <v>36</v>
      </c>
      <c r="Y255" t="s">
        <v>65</v>
      </c>
      <c r="Z255" t="s">
        <v>64</v>
      </c>
      <c r="AA255">
        <v>4</v>
      </c>
      <c r="AB255" t="s">
        <v>90</v>
      </c>
      <c r="AC255" t="s">
        <v>58</v>
      </c>
    </row>
    <row r="256" spans="1:29" x14ac:dyDescent="0.3">
      <c r="A256" t="s">
        <v>374</v>
      </c>
      <c r="B256" s="6">
        <v>45917</v>
      </c>
      <c r="C256" s="6" t="str">
        <f t="shared" si="18"/>
        <v>4 AM - 8 AM</v>
      </c>
      <c r="D256" s="4">
        <v>0.20833333333333334</v>
      </c>
      <c r="E256" t="s">
        <v>622</v>
      </c>
      <c r="F256" t="s">
        <v>24</v>
      </c>
      <c r="G256" t="s">
        <v>42</v>
      </c>
      <c r="H256" t="s">
        <v>62</v>
      </c>
      <c r="I256" t="s">
        <v>125</v>
      </c>
      <c r="J256" t="s">
        <v>35</v>
      </c>
      <c r="K256">
        <v>1</v>
      </c>
      <c r="L256" s="8">
        <v>117950</v>
      </c>
      <c r="M256" s="8" t="str">
        <f t="shared" si="19"/>
        <v>1-10%</v>
      </c>
      <c r="N256">
        <v>10</v>
      </c>
      <c r="O256" t="str">
        <f t="shared" si="20"/>
        <v>Valid</v>
      </c>
      <c r="P256" t="str">
        <f t="shared" si="21"/>
        <v>Match</v>
      </c>
      <c r="Q256" s="8">
        <v>117950</v>
      </c>
      <c r="R256" s="8">
        <v>11795</v>
      </c>
      <c r="S256" s="8">
        <v>106155</v>
      </c>
      <c r="T256" s="8">
        <v>66354.59</v>
      </c>
      <c r="U256" s="8">
        <v>39800.410000000003</v>
      </c>
      <c r="V256" s="8" t="b">
        <f t="shared" si="22"/>
        <v>0</v>
      </c>
      <c r="W256" s="8">
        <f t="shared" si="23"/>
        <v>0</v>
      </c>
      <c r="X256" t="s">
        <v>55</v>
      </c>
      <c r="Y256" t="s">
        <v>70</v>
      </c>
      <c r="Z256" t="s">
        <v>64</v>
      </c>
      <c r="AA256" t="s">
        <v>1139</v>
      </c>
      <c r="AB256" t="s">
        <v>155</v>
      </c>
      <c r="AC256" t="s">
        <v>40</v>
      </c>
    </row>
    <row r="257" spans="1:29" x14ac:dyDescent="0.3">
      <c r="A257" t="s">
        <v>375</v>
      </c>
      <c r="B257" s="6">
        <v>45921</v>
      </c>
      <c r="C257" s="6" t="str">
        <f t="shared" si="18"/>
        <v>4 AM - 8 AM</v>
      </c>
      <c r="D257" s="4">
        <v>0.30972222222222223</v>
      </c>
      <c r="E257" t="s">
        <v>622</v>
      </c>
      <c r="F257" t="s">
        <v>24</v>
      </c>
      <c r="G257" t="s">
        <v>61</v>
      </c>
      <c r="H257" t="s">
        <v>26</v>
      </c>
      <c r="I257" t="s">
        <v>63</v>
      </c>
      <c r="J257" t="s">
        <v>64</v>
      </c>
      <c r="K257">
        <v>1</v>
      </c>
      <c r="L257" s="8">
        <v>13850</v>
      </c>
      <c r="M257" s="8" t="str">
        <f t="shared" si="19"/>
        <v>11-20%</v>
      </c>
      <c r="N257">
        <v>15</v>
      </c>
      <c r="O257" t="str">
        <f t="shared" si="20"/>
        <v>Valid</v>
      </c>
      <c r="P257" t="str">
        <f t="shared" si="21"/>
        <v>Match</v>
      </c>
      <c r="Q257" s="8">
        <v>13850</v>
      </c>
      <c r="R257" s="8">
        <v>2077.5</v>
      </c>
      <c r="S257" s="8">
        <v>11772.5</v>
      </c>
      <c r="T257" s="8">
        <v>8494.2099999999991</v>
      </c>
      <c r="U257" s="8">
        <v>3278.29</v>
      </c>
      <c r="V257" s="8" t="b">
        <f t="shared" si="22"/>
        <v>0</v>
      </c>
      <c r="W257" s="8">
        <f t="shared" si="23"/>
        <v>0</v>
      </c>
      <c r="X257" t="s">
        <v>28</v>
      </c>
      <c r="Y257" t="s">
        <v>94</v>
      </c>
      <c r="Z257" t="s">
        <v>56</v>
      </c>
      <c r="AA257">
        <v>3</v>
      </c>
      <c r="AB257" t="s">
        <v>155</v>
      </c>
      <c r="AC257" t="s">
        <v>30</v>
      </c>
    </row>
    <row r="258" spans="1:29" x14ac:dyDescent="0.3">
      <c r="A258" t="s">
        <v>376</v>
      </c>
      <c r="B258" s="6">
        <v>45944</v>
      </c>
      <c r="C258" s="6" t="str">
        <f t="shared" ref="C258:C321" si="24">IF(D258&lt;TIME(4,0,0),"12 AM - 4 AM",IF(D258&lt;TIME(8,0,0),"4 AM - 8 AM",IF(D258&lt;TIME(12,0,0),"8 AM - 12 PM",IF(D258&lt;TIME(16,0,0),"12 PM - 4 PM",IF(D258&lt;TIME(20,0,0),"4 PM - 8 PM","8 PM - 12 AM")))))</f>
        <v>12 AM - 4 AM</v>
      </c>
      <c r="D258" s="4">
        <v>3.4027777777777775E-2</v>
      </c>
      <c r="E258" t="s">
        <v>77</v>
      </c>
      <c r="F258" t="s">
        <v>51</v>
      </c>
      <c r="G258" t="s">
        <v>101</v>
      </c>
      <c r="H258" t="s">
        <v>113</v>
      </c>
      <c r="I258" t="s">
        <v>44</v>
      </c>
      <c r="J258" t="s">
        <v>35</v>
      </c>
      <c r="K258">
        <v>1</v>
      </c>
      <c r="L258" s="8">
        <v>8950</v>
      </c>
      <c r="M258" s="8" t="str">
        <f t="shared" ref="M258:M321" si="25">IF(N258&lt;0,"Invalid",IF(N258=0,"0%",IF(N258&lt;=10,"1-10%",IF(N258&lt;=20,"11-20%",IF(N258&lt;=30,"21-30%","30%+")))))</f>
        <v>11-20%</v>
      </c>
      <c r="N258">
        <v>15</v>
      </c>
      <c r="O258" t="str">
        <f t="shared" ref="O258:O321" si="26">IF(OR(N258&lt;0,N258&gt;100),"Invalid Discount","Valid")</f>
        <v>Valid</v>
      </c>
      <c r="P258" t="str">
        <f t="shared" ref="P258:P321" si="27">IF(ROUND(R258,2)=ROUND(Q258*N258/100,2),"Match","Mismatch")</f>
        <v>Match</v>
      </c>
      <c r="Q258" s="8">
        <v>8950</v>
      </c>
      <c r="R258" s="8">
        <v>1342.5</v>
      </c>
      <c r="S258" s="8">
        <v>7607.5</v>
      </c>
      <c r="T258" s="8">
        <v>5562.27</v>
      </c>
      <c r="U258" s="8">
        <v>2045.23</v>
      </c>
      <c r="V258" s="8" t="b">
        <f t="shared" ref="V258:V321" si="28">IF(AND(S258-T258&lt;0,U258=S258-T258),TRUE,FALSE)</f>
        <v>0</v>
      </c>
      <c r="W258" s="8">
        <f t="shared" ref="W258:W321" si="29">IF(V258=TRUE,ABS(U258),0)</f>
        <v>0</v>
      </c>
      <c r="X258" t="s">
        <v>36</v>
      </c>
      <c r="Y258" t="s">
        <v>47</v>
      </c>
      <c r="Z258" t="s">
        <v>80</v>
      </c>
      <c r="AA258">
        <v>3.5</v>
      </c>
      <c r="AB258" t="s">
        <v>57</v>
      </c>
      <c r="AC258" t="s">
        <v>86</v>
      </c>
    </row>
    <row r="259" spans="1:29" x14ac:dyDescent="0.3">
      <c r="A259" t="s">
        <v>377</v>
      </c>
      <c r="B259" s="6">
        <v>45868</v>
      </c>
      <c r="C259" s="6" t="str">
        <f t="shared" si="24"/>
        <v>8 AM - 12 PM</v>
      </c>
      <c r="D259" s="4">
        <v>0.40902777777777777</v>
      </c>
      <c r="E259" t="s">
        <v>69</v>
      </c>
      <c r="F259" t="s">
        <v>24</v>
      </c>
      <c r="G259" t="s">
        <v>25</v>
      </c>
      <c r="H259" t="s">
        <v>26</v>
      </c>
      <c r="I259" t="s">
        <v>54</v>
      </c>
      <c r="J259" t="s">
        <v>35</v>
      </c>
      <c r="K259">
        <v>1</v>
      </c>
      <c r="L259" s="8">
        <v>6500</v>
      </c>
      <c r="M259" s="8" t="str">
        <f t="shared" si="25"/>
        <v>0%</v>
      </c>
      <c r="N259">
        <v>0</v>
      </c>
      <c r="O259" t="str">
        <f t="shared" si="26"/>
        <v>Valid</v>
      </c>
      <c r="P259" t="str">
        <f t="shared" si="27"/>
        <v>Match</v>
      </c>
      <c r="Q259" s="8">
        <v>6500</v>
      </c>
      <c r="R259" s="8">
        <v>0</v>
      </c>
      <c r="S259" s="8">
        <v>6500</v>
      </c>
      <c r="T259" s="8">
        <v>4646.21</v>
      </c>
      <c r="U259" s="8">
        <v>1853.79</v>
      </c>
      <c r="V259" s="8" t="b">
        <f t="shared" si="28"/>
        <v>0</v>
      </c>
      <c r="W259" s="8">
        <f t="shared" si="29"/>
        <v>0</v>
      </c>
      <c r="X259" t="s">
        <v>79</v>
      </c>
      <c r="Y259" t="s">
        <v>37</v>
      </c>
      <c r="Z259" t="s">
        <v>1138</v>
      </c>
      <c r="AA259">
        <v>4.5</v>
      </c>
      <c r="AB259" t="s">
        <v>29</v>
      </c>
      <c r="AC259" t="s">
        <v>40</v>
      </c>
    </row>
    <row r="260" spans="1:29" x14ac:dyDescent="0.3">
      <c r="A260" t="s">
        <v>378</v>
      </c>
      <c r="B260" s="6">
        <v>45953</v>
      </c>
      <c r="C260" s="6" t="str">
        <f t="shared" si="24"/>
        <v>8 PM - 12 AM</v>
      </c>
      <c r="D260" s="4">
        <v>0.95347222222222228</v>
      </c>
      <c r="E260" t="s">
        <v>32</v>
      </c>
      <c r="F260" t="s">
        <v>24</v>
      </c>
      <c r="G260" t="s">
        <v>110</v>
      </c>
      <c r="H260" t="s">
        <v>43</v>
      </c>
      <c r="I260" t="s">
        <v>98</v>
      </c>
      <c r="J260" t="s">
        <v>35</v>
      </c>
      <c r="K260">
        <v>4</v>
      </c>
      <c r="L260" s="8">
        <v>6750</v>
      </c>
      <c r="M260" s="8" t="str">
        <f t="shared" si="25"/>
        <v>1-10%</v>
      </c>
      <c r="N260">
        <v>10</v>
      </c>
      <c r="O260" t="str">
        <f t="shared" si="26"/>
        <v>Valid</v>
      </c>
      <c r="P260" t="str">
        <f t="shared" si="27"/>
        <v>Match</v>
      </c>
      <c r="Q260" s="8">
        <v>27000</v>
      </c>
      <c r="R260" s="8">
        <v>2700</v>
      </c>
      <c r="S260" s="8">
        <v>24300</v>
      </c>
      <c r="T260" s="8">
        <v>18711.13</v>
      </c>
      <c r="U260" s="8">
        <v>5588.87</v>
      </c>
      <c r="V260" s="8" t="b">
        <f t="shared" si="28"/>
        <v>0</v>
      </c>
      <c r="W260" s="8">
        <f t="shared" si="29"/>
        <v>0</v>
      </c>
      <c r="X260" t="s">
        <v>36</v>
      </c>
      <c r="Y260" t="s">
        <v>94</v>
      </c>
      <c r="Z260" t="s">
        <v>45</v>
      </c>
      <c r="AA260">
        <v>3.5</v>
      </c>
      <c r="AB260" t="s">
        <v>57</v>
      </c>
      <c r="AC260" t="s">
        <v>67</v>
      </c>
    </row>
    <row r="261" spans="1:29" x14ac:dyDescent="0.3">
      <c r="A261" t="s">
        <v>379</v>
      </c>
      <c r="B261" s="6">
        <v>45732</v>
      </c>
      <c r="C261" s="6" t="str">
        <f t="shared" si="24"/>
        <v>12 AM - 4 AM</v>
      </c>
      <c r="D261" s="4">
        <v>1.2500000000000001E-2</v>
      </c>
      <c r="E261" t="s">
        <v>60</v>
      </c>
      <c r="F261" t="s">
        <v>24</v>
      </c>
      <c r="G261" t="s">
        <v>25</v>
      </c>
      <c r="H261" t="s">
        <v>43</v>
      </c>
      <c r="I261" t="s">
        <v>63</v>
      </c>
      <c r="J261" t="s">
        <v>35</v>
      </c>
      <c r="K261">
        <v>1</v>
      </c>
      <c r="L261" s="8">
        <v>7050</v>
      </c>
      <c r="M261" s="8" t="str">
        <f t="shared" si="25"/>
        <v>1-10%</v>
      </c>
      <c r="N261">
        <v>5</v>
      </c>
      <c r="O261" t="str">
        <f t="shared" si="26"/>
        <v>Valid</v>
      </c>
      <c r="P261" t="str">
        <f t="shared" si="27"/>
        <v>Match</v>
      </c>
      <c r="Q261" s="8">
        <v>7050</v>
      </c>
      <c r="R261" s="8">
        <v>352.5</v>
      </c>
      <c r="S261" s="8">
        <v>6697.5</v>
      </c>
      <c r="T261" s="8">
        <v>4299.62</v>
      </c>
      <c r="U261" s="8">
        <v>2397.88</v>
      </c>
      <c r="V261" s="8" t="b">
        <f t="shared" si="28"/>
        <v>0</v>
      </c>
      <c r="W261" s="8">
        <f t="shared" si="29"/>
        <v>0</v>
      </c>
      <c r="X261" t="s">
        <v>46</v>
      </c>
      <c r="Y261" t="s">
        <v>37</v>
      </c>
      <c r="Z261" t="s">
        <v>38</v>
      </c>
      <c r="AA261">
        <v>4</v>
      </c>
      <c r="AB261" t="s">
        <v>127</v>
      </c>
      <c r="AC261" t="s">
        <v>30</v>
      </c>
    </row>
    <row r="262" spans="1:29" x14ac:dyDescent="0.3">
      <c r="A262" t="s">
        <v>380</v>
      </c>
      <c r="B262" s="6">
        <v>45729</v>
      </c>
      <c r="C262" s="6" t="str">
        <f t="shared" si="24"/>
        <v>4 AM - 8 AM</v>
      </c>
      <c r="D262" s="4">
        <v>0.32430555555555557</v>
      </c>
      <c r="E262" t="s">
        <v>69</v>
      </c>
      <c r="F262" t="s">
        <v>24</v>
      </c>
      <c r="G262" t="s">
        <v>110</v>
      </c>
      <c r="H262" t="s">
        <v>53</v>
      </c>
      <c r="I262" t="s">
        <v>98</v>
      </c>
      <c r="J262" t="s">
        <v>35</v>
      </c>
      <c r="K262">
        <v>3</v>
      </c>
      <c r="L262" s="8">
        <v>3300</v>
      </c>
      <c r="M262" s="8" t="str">
        <f t="shared" si="25"/>
        <v>11-20%</v>
      </c>
      <c r="N262">
        <v>15</v>
      </c>
      <c r="O262" t="str">
        <f t="shared" si="26"/>
        <v>Valid</v>
      </c>
      <c r="P262" t="str">
        <f t="shared" si="27"/>
        <v>Match</v>
      </c>
      <c r="Q262" s="8">
        <v>9900</v>
      </c>
      <c r="R262" s="8">
        <v>1485</v>
      </c>
      <c r="S262" s="8">
        <v>8415</v>
      </c>
      <c r="T262" s="8">
        <v>5459.17</v>
      </c>
      <c r="U262" s="8">
        <v>2955.83</v>
      </c>
      <c r="V262" s="8" t="b">
        <f t="shared" si="28"/>
        <v>0</v>
      </c>
      <c r="W262" s="8">
        <f t="shared" si="29"/>
        <v>0</v>
      </c>
      <c r="X262" t="s">
        <v>79</v>
      </c>
      <c r="Y262" t="s">
        <v>70</v>
      </c>
      <c r="Z262" t="s">
        <v>85</v>
      </c>
      <c r="AA262">
        <v>4.5</v>
      </c>
      <c r="AB262" t="s">
        <v>127</v>
      </c>
      <c r="AC262" t="s">
        <v>67</v>
      </c>
    </row>
    <row r="263" spans="1:29" x14ac:dyDescent="0.3">
      <c r="A263" t="s">
        <v>381</v>
      </c>
      <c r="B263" s="6">
        <v>45963</v>
      </c>
      <c r="C263" s="6" t="str">
        <f t="shared" si="24"/>
        <v>4 PM - 8 PM</v>
      </c>
      <c r="D263" s="4">
        <v>0.7</v>
      </c>
      <c r="E263" t="s">
        <v>60</v>
      </c>
      <c r="F263" t="s">
        <v>96</v>
      </c>
      <c r="G263" t="s">
        <v>97</v>
      </c>
      <c r="H263" t="s">
        <v>26</v>
      </c>
      <c r="I263" t="s">
        <v>63</v>
      </c>
      <c r="J263" t="s">
        <v>35</v>
      </c>
      <c r="K263">
        <v>2</v>
      </c>
      <c r="L263" s="8">
        <v>2500</v>
      </c>
      <c r="M263" s="8" t="str">
        <f t="shared" si="25"/>
        <v>1-10%</v>
      </c>
      <c r="N263">
        <v>5</v>
      </c>
      <c r="O263" t="str">
        <f t="shared" si="26"/>
        <v>Valid</v>
      </c>
      <c r="P263" t="str">
        <f t="shared" si="27"/>
        <v>Match</v>
      </c>
      <c r="Q263" s="8">
        <v>5000</v>
      </c>
      <c r="R263" s="8">
        <v>250</v>
      </c>
      <c r="S263" s="8">
        <v>4750</v>
      </c>
      <c r="T263" s="8">
        <v>3498.74</v>
      </c>
      <c r="U263" s="8">
        <v>1251.26</v>
      </c>
      <c r="V263" s="8" t="b">
        <f t="shared" si="28"/>
        <v>0</v>
      </c>
      <c r="W263" s="8">
        <f t="shared" si="29"/>
        <v>0</v>
      </c>
      <c r="X263" t="s">
        <v>36</v>
      </c>
      <c r="Y263" t="s">
        <v>65</v>
      </c>
      <c r="Z263" t="s">
        <v>85</v>
      </c>
      <c r="AA263">
        <v>3.5</v>
      </c>
      <c r="AB263" t="s">
        <v>75</v>
      </c>
      <c r="AC263" t="s">
        <v>30</v>
      </c>
    </row>
    <row r="264" spans="1:29" x14ac:dyDescent="0.3">
      <c r="A264" t="s">
        <v>382</v>
      </c>
      <c r="B264" s="6">
        <v>45979</v>
      </c>
      <c r="C264" s="6" t="str">
        <f t="shared" si="24"/>
        <v>8 PM - 12 AM</v>
      </c>
      <c r="D264" s="4">
        <v>0.89861111111111114</v>
      </c>
      <c r="E264" t="s">
        <v>108</v>
      </c>
      <c r="F264" t="s">
        <v>24</v>
      </c>
      <c r="G264" t="s">
        <v>120</v>
      </c>
      <c r="H264" t="s">
        <v>26</v>
      </c>
      <c r="I264" t="s">
        <v>27</v>
      </c>
      <c r="J264" t="s">
        <v>45</v>
      </c>
      <c r="K264">
        <v>2</v>
      </c>
      <c r="L264" s="8">
        <v>14800</v>
      </c>
      <c r="M264" s="8" t="str">
        <f t="shared" si="25"/>
        <v>11-20%</v>
      </c>
      <c r="N264">
        <v>20</v>
      </c>
      <c r="O264" t="str">
        <f t="shared" si="26"/>
        <v>Valid</v>
      </c>
      <c r="P264" t="str">
        <f t="shared" si="27"/>
        <v>Match</v>
      </c>
      <c r="Q264" s="8">
        <v>29600</v>
      </c>
      <c r="R264" s="8">
        <v>5920</v>
      </c>
      <c r="S264" s="8">
        <v>23680</v>
      </c>
      <c r="T264" s="8">
        <v>19075.169999999998</v>
      </c>
      <c r="U264" s="8">
        <v>4604.83</v>
      </c>
      <c r="V264" s="8" t="b">
        <f t="shared" si="28"/>
        <v>0</v>
      </c>
      <c r="W264" s="8">
        <f t="shared" si="29"/>
        <v>0</v>
      </c>
      <c r="X264" t="s">
        <v>28</v>
      </c>
      <c r="Y264" t="s">
        <v>47</v>
      </c>
      <c r="Z264" t="s">
        <v>64</v>
      </c>
      <c r="AA264">
        <v>5</v>
      </c>
      <c r="AB264" t="s">
        <v>75</v>
      </c>
      <c r="AC264" t="s">
        <v>86</v>
      </c>
    </row>
    <row r="265" spans="1:29" x14ac:dyDescent="0.3">
      <c r="A265" t="s">
        <v>383</v>
      </c>
      <c r="B265" s="6">
        <v>45875</v>
      </c>
      <c r="C265" s="6" t="str">
        <f t="shared" si="24"/>
        <v>12 AM - 4 AM</v>
      </c>
      <c r="D265" s="4">
        <v>0.10208333333333333</v>
      </c>
      <c r="E265" t="s">
        <v>69</v>
      </c>
      <c r="F265" t="s">
        <v>24</v>
      </c>
      <c r="G265" t="s">
        <v>110</v>
      </c>
      <c r="H265" t="s">
        <v>74</v>
      </c>
      <c r="I265" t="s">
        <v>27</v>
      </c>
      <c r="J265" t="s">
        <v>78</v>
      </c>
      <c r="K265">
        <v>2</v>
      </c>
      <c r="L265" s="8">
        <v>3150</v>
      </c>
      <c r="M265" s="8" t="str">
        <f t="shared" si="25"/>
        <v>1-10%</v>
      </c>
      <c r="N265">
        <v>10</v>
      </c>
      <c r="O265" t="str">
        <f t="shared" si="26"/>
        <v>Valid</v>
      </c>
      <c r="P265" t="str">
        <f t="shared" si="27"/>
        <v>Match</v>
      </c>
      <c r="Q265" s="8">
        <v>6300</v>
      </c>
      <c r="R265" s="8">
        <v>630</v>
      </c>
      <c r="S265" s="8">
        <v>5670</v>
      </c>
      <c r="T265" s="8">
        <v>4386.3900000000003</v>
      </c>
      <c r="U265" s="8">
        <v>1283.6099999999999</v>
      </c>
      <c r="V265" s="8" t="b">
        <f t="shared" si="28"/>
        <v>0</v>
      </c>
      <c r="W265" s="8">
        <f t="shared" si="29"/>
        <v>0</v>
      </c>
      <c r="X265" t="s">
        <v>46</v>
      </c>
      <c r="Y265" t="s">
        <v>89</v>
      </c>
      <c r="Z265" t="s">
        <v>64</v>
      </c>
      <c r="AA265">
        <v>4</v>
      </c>
      <c r="AB265" t="s">
        <v>90</v>
      </c>
      <c r="AC265" t="s">
        <v>40</v>
      </c>
    </row>
    <row r="266" spans="1:29" x14ac:dyDescent="0.3">
      <c r="A266" t="s">
        <v>384</v>
      </c>
      <c r="B266" s="6">
        <v>45797</v>
      </c>
      <c r="C266" s="6" t="str">
        <f t="shared" si="24"/>
        <v>4 AM - 8 AM</v>
      </c>
      <c r="D266" s="4">
        <v>0.2048611111111111</v>
      </c>
      <c r="E266" t="s">
        <v>108</v>
      </c>
      <c r="F266" t="s">
        <v>24</v>
      </c>
      <c r="G266" t="s">
        <v>88</v>
      </c>
      <c r="H266" t="s">
        <v>53</v>
      </c>
      <c r="I266" t="s">
        <v>98</v>
      </c>
      <c r="J266" t="s">
        <v>35</v>
      </c>
      <c r="K266">
        <v>2</v>
      </c>
      <c r="L266" s="8">
        <v>800</v>
      </c>
      <c r="M266" s="8" t="str">
        <f t="shared" si="25"/>
        <v>1-10%</v>
      </c>
      <c r="N266">
        <v>10</v>
      </c>
      <c r="O266" t="str">
        <f t="shared" si="26"/>
        <v>Valid</v>
      </c>
      <c r="P266" t="str">
        <f t="shared" si="27"/>
        <v>Match</v>
      </c>
      <c r="Q266" s="8">
        <v>1600</v>
      </c>
      <c r="R266" s="8">
        <v>160</v>
      </c>
      <c r="S266" s="8">
        <v>1440</v>
      </c>
      <c r="T266" s="8">
        <v>1152.05</v>
      </c>
      <c r="U266" s="8">
        <v>287.95</v>
      </c>
      <c r="V266" s="8" t="b">
        <f t="shared" si="28"/>
        <v>0</v>
      </c>
      <c r="W266" s="8">
        <f t="shared" si="29"/>
        <v>0</v>
      </c>
      <c r="X266" t="s">
        <v>46</v>
      </c>
      <c r="Y266" t="s">
        <v>94</v>
      </c>
      <c r="Z266" t="s">
        <v>45</v>
      </c>
      <c r="AA266">
        <v>3.5</v>
      </c>
      <c r="AB266" t="s">
        <v>111</v>
      </c>
      <c r="AC266" t="s">
        <v>86</v>
      </c>
    </row>
    <row r="267" spans="1:29" x14ac:dyDescent="0.3">
      <c r="A267" t="s">
        <v>385</v>
      </c>
      <c r="B267" s="6">
        <v>45895</v>
      </c>
      <c r="C267" s="6" t="str">
        <f t="shared" si="24"/>
        <v>12 PM - 4 PM</v>
      </c>
      <c r="D267" s="4">
        <v>0.52083333333333337</v>
      </c>
      <c r="E267" t="s">
        <v>60</v>
      </c>
      <c r="F267" t="s">
        <v>51</v>
      </c>
      <c r="G267" t="s">
        <v>52</v>
      </c>
      <c r="H267" t="s">
        <v>53</v>
      </c>
      <c r="I267" t="s">
        <v>54</v>
      </c>
      <c r="J267" t="s">
        <v>35</v>
      </c>
      <c r="K267">
        <v>2</v>
      </c>
      <c r="L267" s="8">
        <v>31400</v>
      </c>
      <c r="M267" s="8" t="str">
        <f t="shared" si="25"/>
        <v>0%</v>
      </c>
      <c r="N267">
        <v>0</v>
      </c>
      <c r="O267" t="str">
        <f t="shared" si="26"/>
        <v>Valid</v>
      </c>
      <c r="P267" t="str">
        <f t="shared" si="27"/>
        <v>Match</v>
      </c>
      <c r="Q267" s="8">
        <v>62800</v>
      </c>
      <c r="R267" s="8">
        <v>0</v>
      </c>
      <c r="S267" s="8">
        <v>62800</v>
      </c>
      <c r="T267" s="8">
        <v>33381.660000000003</v>
      </c>
      <c r="U267" s="8">
        <v>29418.34</v>
      </c>
      <c r="V267" s="8" t="b">
        <f t="shared" si="28"/>
        <v>0</v>
      </c>
      <c r="W267" s="8">
        <f t="shared" si="29"/>
        <v>0</v>
      </c>
      <c r="X267" t="s">
        <v>28</v>
      </c>
      <c r="Y267" t="s">
        <v>89</v>
      </c>
      <c r="Z267" t="s">
        <v>85</v>
      </c>
      <c r="AA267">
        <v>4</v>
      </c>
      <c r="AB267" t="s">
        <v>90</v>
      </c>
      <c r="AC267" t="s">
        <v>86</v>
      </c>
    </row>
    <row r="268" spans="1:29" x14ac:dyDescent="0.3">
      <c r="A268" t="s">
        <v>386</v>
      </c>
      <c r="B268" s="6">
        <v>45763</v>
      </c>
      <c r="C268" s="6" t="str">
        <f t="shared" si="24"/>
        <v>4 AM - 8 AM</v>
      </c>
      <c r="D268" s="4">
        <v>0.28333333333333333</v>
      </c>
      <c r="E268" t="s">
        <v>69</v>
      </c>
      <c r="F268" t="s">
        <v>24</v>
      </c>
      <c r="G268" t="s">
        <v>88</v>
      </c>
      <c r="H268" t="s">
        <v>34</v>
      </c>
      <c r="I268" t="s">
        <v>54</v>
      </c>
      <c r="J268" t="s">
        <v>64</v>
      </c>
      <c r="K268">
        <v>1</v>
      </c>
      <c r="L268" s="8">
        <v>1400</v>
      </c>
      <c r="M268" s="8" t="str">
        <f t="shared" si="25"/>
        <v>11-20%</v>
      </c>
      <c r="N268">
        <v>15</v>
      </c>
      <c r="O268" t="str">
        <f t="shared" si="26"/>
        <v>Valid</v>
      </c>
      <c r="P268" t="str">
        <f t="shared" si="27"/>
        <v>Match</v>
      </c>
      <c r="Q268" s="8">
        <v>1400</v>
      </c>
      <c r="R268" s="8">
        <v>210</v>
      </c>
      <c r="S268" s="8">
        <v>1190</v>
      </c>
      <c r="T268" s="8">
        <v>975.83</v>
      </c>
      <c r="U268" s="8">
        <v>214.17</v>
      </c>
      <c r="V268" s="8" t="b">
        <f t="shared" si="28"/>
        <v>0</v>
      </c>
      <c r="W268" s="8">
        <f t="shared" si="29"/>
        <v>0</v>
      </c>
      <c r="X268" t="s">
        <v>55</v>
      </c>
      <c r="Y268" t="s">
        <v>94</v>
      </c>
      <c r="Z268" t="s">
        <v>56</v>
      </c>
      <c r="AA268">
        <v>5</v>
      </c>
      <c r="AB268" t="s">
        <v>99</v>
      </c>
      <c r="AC268" t="s">
        <v>40</v>
      </c>
    </row>
    <row r="269" spans="1:29" x14ac:dyDescent="0.3">
      <c r="A269" t="s">
        <v>387</v>
      </c>
      <c r="B269" s="6">
        <v>45837</v>
      </c>
      <c r="C269" s="6" t="str">
        <f t="shared" si="24"/>
        <v>4 PM - 8 PM</v>
      </c>
      <c r="D269" s="4">
        <v>0.78541666666666665</v>
      </c>
      <c r="E269" t="s">
        <v>32</v>
      </c>
      <c r="F269" t="s">
        <v>51</v>
      </c>
      <c r="G269" t="s">
        <v>101</v>
      </c>
      <c r="H269" t="s">
        <v>34</v>
      </c>
      <c r="I269" t="s">
        <v>63</v>
      </c>
      <c r="J269" t="s">
        <v>93</v>
      </c>
      <c r="K269">
        <v>2</v>
      </c>
      <c r="L269" s="8">
        <v>7200</v>
      </c>
      <c r="M269" s="8" t="str">
        <f t="shared" si="25"/>
        <v>21-30%</v>
      </c>
      <c r="N269">
        <v>30</v>
      </c>
      <c r="O269" t="str">
        <f t="shared" si="26"/>
        <v>Valid</v>
      </c>
      <c r="P269" t="str">
        <f t="shared" si="27"/>
        <v>Match</v>
      </c>
      <c r="Q269" s="8">
        <v>14400</v>
      </c>
      <c r="R269" s="8">
        <v>4320</v>
      </c>
      <c r="S269" s="8">
        <v>10080</v>
      </c>
      <c r="T269" s="8">
        <v>9923.15</v>
      </c>
      <c r="U269" s="8">
        <v>156.85</v>
      </c>
      <c r="V269" s="8" t="b">
        <f t="shared" si="28"/>
        <v>0</v>
      </c>
      <c r="W269" s="8">
        <f t="shared" si="29"/>
        <v>0</v>
      </c>
      <c r="X269" t="s">
        <v>46</v>
      </c>
      <c r="Y269" t="s">
        <v>89</v>
      </c>
      <c r="Z269" t="s">
        <v>80</v>
      </c>
      <c r="AA269">
        <v>4</v>
      </c>
      <c r="AB269" t="s">
        <v>48</v>
      </c>
      <c r="AC269" t="s">
        <v>30</v>
      </c>
    </row>
    <row r="270" spans="1:29" x14ac:dyDescent="0.3">
      <c r="A270" t="s">
        <v>388</v>
      </c>
      <c r="B270" s="6">
        <v>45830</v>
      </c>
      <c r="C270" s="6" t="str">
        <f t="shared" si="24"/>
        <v>8 AM - 12 PM</v>
      </c>
      <c r="D270" s="4">
        <v>0.36875000000000002</v>
      </c>
      <c r="E270" t="s">
        <v>108</v>
      </c>
      <c r="F270" t="s">
        <v>24</v>
      </c>
      <c r="G270" t="s">
        <v>25</v>
      </c>
      <c r="H270" t="s">
        <v>53</v>
      </c>
      <c r="I270" t="s">
        <v>27</v>
      </c>
      <c r="J270" t="s">
        <v>45</v>
      </c>
      <c r="K270">
        <v>2</v>
      </c>
      <c r="L270" s="8">
        <v>2050</v>
      </c>
      <c r="M270" s="8" t="str">
        <f t="shared" si="25"/>
        <v>0%</v>
      </c>
      <c r="N270">
        <v>0</v>
      </c>
      <c r="O270" t="str">
        <f t="shared" si="26"/>
        <v>Valid</v>
      </c>
      <c r="P270" t="str">
        <f t="shared" si="27"/>
        <v>Match</v>
      </c>
      <c r="Q270" s="8">
        <v>4100</v>
      </c>
      <c r="R270" s="8">
        <v>0</v>
      </c>
      <c r="S270" s="8">
        <v>4100</v>
      </c>
      <c r="T270" s="8">
        <v>2952.87</v>
      </c>
      <c r="U270" s="8">
        <v>1147.1300000000001</v>
      </c>
      <c r="V270" s="8" t="b">
        <f t="shared" si="28"/>
        <v>0</v>
      </c>
      <c r="W270" s="8">
        <f t="shared" si="29"/>
        <v>0</v>
      </c>
      <c r="X270" t="s">
        <v>28</v>
      </c>
      <c r="Y270" t="s">
        <v>94</v>
      </c>
      <c r="Z270" t="s">
        <v>64</v>
      </c>
      <c r="AA270">
        <v>5</v>
      </c>
      <c r="AB270" t="s">
        <v>48</v>
      </c>
      <c r="AC270" t="s">
        <v>30</v>
      </c>
    </row>
    <row r="271" spans="1:29" x14ac:dyDescent="0.3">
      <c r="A271" t="s">
        <v>389</v>
      </c>
      <c r="B271" s="6">
        <v>45664</v>
      </c>
      <c r="C271" s="6" t="str">
        <f t="shared" si="24"/>
        <v>8 PM - 12 AM</v>
      </c>
      <c r="D271" s="4">
        <v>0.94861111111111107</v>
      </c>
      <c r="E271" t="s">
        <v>77</v>
      </c>
      <c r="F271" t="s">
        <v>51</v>
      </c>
      <c r="G271" t="s">
        <v>153</v>
      </c>
      <c r="H271" t="s">
        <v>74</v>
      </c>
      <c r="I271" t="s">
        <v>44</v>
      </c>
      <c r="J271" t="s">
        <v>78</v>
      </c>
      <c r="K271">
        <v>1</v>
      </c>
      <c r="L271" s="8">
        <v>3450</v>
      </c>
      <c r="M271" s="8" t="str">
        <f t="shared" si="25"/>
        <v>1-10%</v>
      </c>
      <c r="N271">
        <v>5</v>
      </c>
      <c r="O271" t="str">
        <f t="shared" si="26"/>
        <v>Valid</v>
      </c>
      <c r="P271" t="str">
        <f t="shared" si="27"/>
        <v>Match</v>
      </c>
      <c r="Q271" s="8">
        <v>3450</v>
      </c>
      <c r="R271" s="8">
        <v>172.5</v>
      </c>
      <c r="S271" s="8">
        <v>3277.5</v>
      </c>
      <c r="T271" s="8">
        <v>1857.07</v>
      </c>
      <c r="U271" s="8">
        <v>1420.43</v>
      </c>
      <c r="V271" s="8" t="b">
        <f t="shared" si="28"/>
        <v>0</v>
      </c>
      <c r="W271" s="8">
        <f t="shared" si="29"/>
        <v>0</v>
      </c>
      <c r="X271" t="s">
        <v>46</v>
      </c>
      <c r="Y271" t="s">
        <v>104</v>
      </c>
      <c r="Z271" t="s">
        <v>64</v>
      </c>
      <c r="AA271">
        <v>3.5</v>
      </c>
      <c r="AB271" t="s">
        <v>151</v>
      </c>
      <c r="AC271" t="s">
        <v>86</v>
      </c>
    </row>
    <row r="272" spans="1:29" x14ac:dyDescent="0.3">
      <c r="A272" t="s">
        <v>390</v>
      </c>
      <c r="B272" s="6">
        <v>45835</v>
      </c>
      <c r="C272" s="6" t="str">
        <f t="shared" si="24"/>
        <v>8 AM - 12 PM</v>
      </c>
      <c r="D272" s="4">
        <v>0.38194444444444442</v>
      </c>
      <c r="E272" t="s">
        <v>622</v>
      </c>
      <c r="F272" t="s">
        <v>96</v>
      </c>
      <c r="G272" t="s">
        <v>145</v>
      </c>
      <c r="H272" t="s">
        <v>102</v>
      </c>
      <c r="I272" t="s">
        <v>98</v>
      </c>
      <c r="J272" t="s">
        <v>35</v>
      </c>
      <c r="K272">
        <v>1</v>
      </c>
      <c r="L272" s="8">
        <v>1900</v>
      </c>
      <c r="M272" s="8" t="str">
        <f t="shared" si="25"/>
        <v>11-20%</v>
      </c>
      <c r="N272">
        <v>20</v>
      </c>
      <c r="O272" t="str">
        <f t="shared" si="26"/>
        <v>Valid</v>
      </c>
      <c r="P272" t="str">
        <f t="shared" si="27"/>
        <v>Match</v>
      </c>
      <c r="Q272" s="8">
        <v>1900</v>
      </c>
      <c r="R272" s="8">
        <v>380</v>
      </c>
      <c r="S272" s="8">
        <v>1520</v>
      </c>
      <c r="T272" s="8">
        <v>1119.4100000000001</v>
      </c>
      <c r="U272" s="8">
        <v>400.59</v>
      </c>
      <c r="V272" s="8" t="b">
        <f t="shared" si="28"/>
        <v>0</v>
      </c>
      <c r="W272" s="8">
        <f t="shared" si="29"/>
        <v>0</v>
      </c>
      <c r="X272" t="s">
        <v>79</v>
      </c>
      <c r="Y272" t="s">
        <v>47</v>
      </c>
      <c r="Z272" t="s">
        <v>45</v>
      </c>
      <c r="AA272">
        <v>3.5</v>
      </c>
      <c r="AB272" t="s">
        <v>48</v>
      </c>
      <c r="AC272" t="s">
        <v>58</v>
      </c>
    </row>
    <row r="273" spans="1:29" x14ac:dyDescent="0.3">
      <c r="A273" t="s">
        <v>391</v>
      </c>
      <c r="B273" s="6">
        <v>45875</v>
      </c>
      <c r="C273" s="6" t="str">
        <f t="shared" si="24"/>
        <v>12 PM - 4 PM</v>
      </c>
      <c r="D273" s="4">
        <v>0.63680555555555551</v>
      </c>
      <c r="E273" t="s">
        <v>108</v>
      </c>
      <c r="F273" t="s">
        <v>96</v>
      </c>
      <c r="G273" t="s">
        <v>129</v>
      </c>
      <c r="H273" t="s">
        <v>53</v>
      </c>
      <c r="I273" t="s">
        <v>44</v>
      </c>
      <c r="J273" t="s">
        <v>64</v>
      </c>
      <c r="K273">
        <v>3</v>
      </c>
      <c r="L273" s="8">
        <v>1400</v>
      </c>
      <c r="M273" s="8" t="str">
        <f t="shared" si="25"/>
        <v>11-20%</v>
      </c>
      <c r="N273">
        <v>15</v>
      </c>
      <c r="O273" t="str">
        <f t="shared" si="26"/>
        <v>Valid</v>
      </c>
      <c r="P273" t="str">
        <f t="shared" si="27"/>
        <v>Match</v>
      </c>
      <c r="Q273" s="8">
        <v>4200</v>
      </c>
      <c r="R273" s="8">
        <v>630</v>
      </c>
      <c r="S273" s="8">
        <v>3570</v>
      </c>
      <c r="T273" s="8">
        <v>2297.4299999999998</v>
      </c>
      <c r="U273" s="8">
        <v>1272.57</v>
      </c>
      <c r="V273" s="8" t="b">
        <f t="shared" si="28"/>
        <v>0</v>
      </c>
      <c r="W273" s="8">
        <f t="shared" si="29"/>
        <v>0</v>
      </c>
      <c r="X273" t="s">
        <v>79</v>
      </c>
      <c r="Y273" t="s">
        <v>104</v>
      </c>
      <c r="Z273" t="s">
        <v>1138</v>
      </c>
      <c r="AA273">
        <v>5</v>
      </c>
      <c r="AB273" t="s">
        <v>90</v>
      </c>
      <c r="AC273" t="s">
        <v>40</v>
      </c>
    </row>
    <row r="274" spans="1:29" x14ac:dyDescent="0.3">
      <c r="A274" t="s">
        <v>392</v>
      </c>
      <c r="B274" s="6">
        <v>46006</v>
      </c>
      <c r="C274" s="6" t="str">
        <f t="shared" si="24"/>
        <v>12 AM - 4 AM</v>
      </c>
      <c r="D274" s="4">
        <v>8.611111111111111E-2</v>
      </c>
      <c r="E274" t="s">
        <v>60</v>
      </c>
      <c r="F274" t="s">
        <v>96</v>
      </c>
      <c r="G274" t="s">
        <v>145</v>
      </c>
      <c r="H274" t="s">
        <v>53</v>
      </c>
      <c r="I274" t="s">
        <v>44</v>
      </c>
      <c r="J274" t="s">
        <v>35</v>
      </c>
      <c r="K274">
        <v>1</v>
      </c>
      <c r="L274" s="8">
        <v>750</v>
      </c>
      <c r="M274" s="8" t="str">
        <f t="shared" si="25"/>
        <v>0%</v>
      </c>
      <c r="N274">
        <v>0</v>
      </c>
      <c r="O274" t="str">
        <f t="shared" si="26"/>
        <v>Valid</v>
      </c>
      <c r="P274" t="str">
        <f t="shared" si="27"/>
        <v>Match</v>
      </c>
      <c r="Q274" s="8">
        <v>750</v>
      </c>
      <c r="R274" s="8">
        <v>0</v>
      </c>
      <c r="S274" s="8">
        <v>750</v>
      </c>
      <c r="T274" s="8">
        <v>424.17</v>
      </c>
      <c r="U274" s="8">
        <v>325.83</v>
      </c>
      <c r="V274" s="8" t="b">
        <f t="shared" si="28"/>
        <v>0</v>
      </c>
      <c r="W274" s="8">
        <f t="shared" si="29"/>
        <v>0</v>
      </c>
      <c r="X274" t="s">
        <v>46</v>
      </c>
      <c r="Y274" t="s">
        <v>65</v>
      </c>
      <c r="Z274" t="s">
        <v>80</v>
      </c>
      <c r="AA274">
        <v>5</v>
      </c>
      <c r="AB274" t="s">
        <v>39</v>
      </c>
      <c r="AC274" t="s">
        <v>49</v>
      </c>
    </row>
    <row r="275" spans="1:29" x14ac:dyDescent="0.3">
      <c r="A275" t="s">
        <v>393</v>
      </c>
      <c r="B275" s="6">
        <v>45732</v>
      </c>
      <c r="C275" s="6" t="str">
        <f t="shared" si="24"/>
        <v>8 AM - 12 PM</v>
      </c>
      <c r="D275" s="4">
        <v>0.37638888888888888</v>
      </c>
      <c r="E275" t="s">
        <v>60</v>
      </c>
      <c r="F275" t="s">
        <v>51</v>
      </c>
      <c r="G275" t="s">
        <v>101</v>
      </c>
      <c r="H275" t="s">
        <v>102</v>
      </c>
      <c r="I275" t="s">
        <v>103</v>
      </c>
      <c r="J275" t="s">
        <v>78</v>
      </c>
      <c r="K275">
        <v>1</v>
      </c>
      <c r="L275" s="8">
        <v>16550</v>
      </c>
      <c r="M275" s="8" t="str">
        <f t="shared" si="25"/>
        <v>1-10%</v>
      </c>
      <c r="N275">
        <v>10</v>
      </c>
      <c r="O275" t="str">
        <f t="shared" si="26"/>
        <v>Valid</v>
      </c>
      <c r="P275" t="str">
        <f t="shared" si="27"/>
        <v>Match</v>
      </c>
      <c r="Q275" s="8">
        <v>16550</v>
      </c>
      <c r="R275" s="8">
        <v>1655</v>
      </c>
      <c r="S275" s="8">
        <v>14895</v>
      </c>
      <c r="T275" s="8">
        <v>12081.73</v>
      </c>
      <c r="U275" s="8">
        <v>2813.27</v>
      </c>
      <c r="V275" s="8" t="b">
        <f t="shared" si="28"/>
        <v>0</v>
      </c>
      <c r="W275" s="8">
        <f t="shared" si="29"/>
        <v>0</v>
      </c>
      <c r="X275" t="s">
        <v>28</v>
      </c>
      <c r="Y275" t="s">
        <v>70</v>
      </c>
      <c r="Z275" t="s">
        <v>85</v>
      </c>
      <c r="AA275">
        <v>5</v>
      </c>
      <c r="AB275" t="s">
        <v>127</v>
      </c>
      <c r="AC275" t="s">
        <v>30</v>
      </c>
    </row>
    <row r="276" spans="1:29" x14ac:dyDescent="0.3">
      <c r="A276" t="s">
        <v>394</v>
      </c>
      <c r="B276" s="6">
        <v>45981</v>
      </c>
      <c r="C276" s="6" t="str">
        <f t="shared" si="24"/>
        <v>8 AM - 12 PM</v>
      </c>
      <c r="D276" s="4">
        <v>0.45555555555555555</v>
      </c>
      <c r="E276" t="s">
        <v>108</v>
      </c>
      <c r="F276" t="s">
        <v>24</v>
      </c>
      <c r="G276" t="s">
        <v>33</v>
      </c>
      <c r="H276" t="s">
        <v>74</v>
      </c>
      <c r="I276" t="s">
        <v>92</v>
      </c>
      <c r="J276" t="s">
        <v>64</v>
      </c>
      <c r="K276">
        <v>3</v>
      </c>
      <c r="L276" s="8">
        <v>1850</v>
      </c>
      <c r="M276" s="8" t="str">
        <f t="shared" si="25"/>
        <v>1-10%</v>
      </c>
      <c r="N276">
        <v>5</v>
      </c>
      <c r="O276" t="str">
        <f t="shared" si="26"/>
        <v>Valid</v>
      </c>
      <c r="P276" t="str">
        <f t="shared" si="27"/>
        <v>Match</v>
      </c>
      <c r="Q276" s="8">
        <v>5550</v>
      </c>
      <c r="R276" s="8">
        <v>277.5</v>
      </c>
      <c r="S276" s="8">
        <v>5272.5</v>
      </c>
      <c r="T276" s="8">
        <v>4004.3</v>
      </c>
      <c r="U276" s="8">
        <v>1268.2</v>
      </c>
      <c r="V276" s="8" t="b">
        <f t="shared" si="28"/>
        <v>0</v>
      </c>
      <c r="W276" s="8">
        <f t="shared" si="29"/>
        <v>0</v>
      </c>
      <c r="X276" t="s">
        <v>28</v>
      </c>
      <c r="Y276" t="s">
        <v>104</v>
      </c>
      <c r="Z276" t="s">
        <v>64</v>
      </c>
      <c r="AA276">
        <v>4</v>
      </c>
      <c r="AB276" t="s">
        <v>75</v>
      </c>
      <c r="AC276" t="s">
        <v>67</v>
      </c>
    </row>
    <row r="277" spans="1:29" x14ac:dyDescent="0.3">
      <c r="A277" t="s">
        <v>395</v>
      </c>
      <c r="B277" s="6">
        <v>45996</v>
      </c>
      <c r="C277" s="6" t="str">
        <f t="shared" si="24"/>
        <v>12 AM - 4 AM</v>
      </c>
      <c r="D277" s="4">
        <v>2.0833333333333332E-2</v>
      </c>
      <c r="E277" t="s">
        <v>23</v>
      </c>
      <c r="F277" t="s">
        <v>24</v>
      </c>
      <c r="G277" t="s">
        <v>25</v>
      </c>
      <c r="H277" t="s">
        <v>102</v>
      </c>
      <c r="I277" t="s">
        <v>98</v>
      </c>
      <c r="J277" t="s">
        <v>85</v>
      </c>
      <c r="K277">
        <v>1</v>
      </c>
      <c r="L277" s="8">
        <v>6150</v>
      </c>
      <c r="M277" s="8" t="str">
        <f t="shared" si="25"/>
        <v>11-20%</v>
      </c>
      <c r="N277">
        <v>15</v>
      </c>
      <c r="O277" t="str">
        <f t="shared" si="26"/>
        <v>Valid</v>
      </c>
      <c r="P277" t="str">
        <f t="shared" si="27"/>
        <v>Match</v>
      </c>
      <c r="Q277" s="8">
        <v>6150</v>
      </c>
      <c r="R277" s="8">
        <v>922.5</v>
      </c>
      <c r="S277" s="8">
        <v>5227.5</v>
      </c>
      <c r="T277" s="8">
        <v>3714.05</v>
      </c>
      <c r="U277" s="8">
        <v>1513.45</v>
      </c>
      <c r="V277" s="8" t="b">
        <f t="shared" si="28"/>
        <v>0</v>
      </c>
      <c r="W277" s="8">
        <f t="shared" si="29"/>
        <v>0</v>
      </c>
      <c r="X277" t="s">
        <v>36</v>
      </c>
      <c r="Y277" t="s">
        <v>89</v>
      </c>
      <c r="Z277" t="s">
        <v>64</v>
      </c>
      <c r="AA277">
        <v>4.5</v>
      </c>
      <c r="AB277" t="s">
        <v>39</v>
      </c>
      <c r="AC277" t="s">
        <v>58</v>
      </c>
    </row>
    <row r="278" spans="1:29" x14ac:dyDescent="0.3">
      <c r="A278" t="s">
        <v>396</v>
      </c>
      <c r="B278" s="6">
        <v>45876</v>
      </c>
      <c r="C278" s="6" t="str">
        <f t="shared" si="24"/>
        <v>12 PM - 4 PM</v>
      </c>
      <c r="D278" s="4">
        <v>0.50763888888888886</v>
      </c>
      <c r="E278" t="s">
        <v>32</v>
      </c>
      <c r="F278" t="s">
        <v>24</v>
      </c>
      <c r="G278" t="s">
        <v>110</v>
      </c>
      <c r="H278" t="s">
        <v>43</v>
      </c>
      <c r="I278" t="s">
        <v>54</v>
      </c>
      <c r="J278" t="s">
        <v>45</v>
      </c>
      <c r="K278">
        <v>1</v>
      </c>
      <c r="L278" s="8">
        <v>6400</v>
      </c>
      <c r="M278" s="8" t="str">
        <f t="shared" si="25"/>
        <v>11-20%</v>
      </c>
      <c r="N278">
        <v>15</v>
      </c>
      <c r="O278" t="str">
        <f t="shared" si="26"/>
        <v>Valid</v>
      </c>
      <c r="P278" t="str">
        <f t="shared" si="27"/>
        <v>Match</v>
      </c>
      <c r="Q278" s="8">
        <v>6400</v>
      </c>
      <c r="R278" s="8">
        <v>960</v>
      </c>
      <c r="S278" s="8">
        <v>5440</v>
      </c>
      <c r="T278" s="8">
        <v>3403.75</v>
      </c>
      <c r="U278" s="8">
        <v>2036.25</v>
      </c>
      <c r="V278" s="8" t="b">
        <f t="shared" si="28"/>
        <v>0</v>
      </c>
      <c r="W278" s="8">
        <f t="shared" si="29"/>
        <v>0</v>
      </c>
      <c r="X278" t="s">
        <v>55</v>
      </c>
      <c r="Y278" t="s">
        <v>89</v>
      </c>
      <c r="Z278" t="s">
        <v>56</v>
      </c>
      <c r="AA278">
        <v>5</v>
      </c>
      <c r="AB278" t="s">
        <v>90</v>
      </c>
      <c r="AC278" t="s">
        <v>67</v>
      </c>
    </row>
    <row r="279" spans="1:29" x14ac:dyDescent="0.3">
      <c r="A279" t="s">
        <v>397</v>
      </c>
      <c r="B279" s="6">
        <v>45722</v>
      </c>
      <c r="C279" s="6" t="str">
        <f t="shared" si="24"/>
        <v>4 AM - 8 AM</v>
      </c>
      <c r="D279" s="4">
        <v>0.19583333333333333</v>
      </c>
      <c r="E279" t="s">
        <v>77</v>
      </c>
      <c r="F279" t="s">
        <v>96</v>
      </c>
      <c r="G279" t="s">
        <v>115</v>
      </c>
      <c r="H279" t="s">
        <v>34</v>
      </c>
      <c r="I279" t="s">
        <v>103</v>
      </c>
      <c r="J279" t="s">
        <v>78</v>
      </c>
      <c r="K279">
        <v>2</v>
      </c>
      <c r="L279" s="8">
        <v>9450</v>
      </c>
      <c r="M279" s="8" t="str">
        <f t="shared" si="25"/>
        <v>21-30%</v>
      </c>
      <c r="N279">
        <v>30</v>
      </c>
      <c r="O279" t="str">
        <f t="shared" si="26"/>
        <v>Valid</v>
      </c>
      <c r="P279" t="str">
        <f t="shared" si="27"/>
        <v>Match</v>
      </c>
      <c r="Q279" s="8">
        <v>18900</v>
      </c>
      <c r="R279" s="8">
        <v>5670</v>
      </c>
      <c r="S279" s="8">
        <v>13230</v>
      </c>
      <c r="T279" s="8">
        <v>12042.99</v>
      </c>
      <c r="U279" s="8">
        <v>1187.01</v>
      </c>
      <c r="V279" s="8" t="b">
        <f t="shared" si="28"/>
        <v>0</v>
      </c>
      <c r="W279" s="8">
        <f t="shared" si="29"/>
        <v>0</v>
      </c>
      <c r="X279" t="s">
        <v>79</v>
      </c>
      <c r="Y279" t="s">
        <v>104</v>
      </c>
      <c r="Z279" t="s">
        <v>64</v>
      </c>
      <c r="AA279" t="s">
        <v>1139</v>
      </c>
      <c r="AB279" t="s">
        <v>127</v>
      </c>
      <c r="AC279" t="s">
        <v>67</v>
      </c>
    </row>
    <row r="280" spans="1:29" x14ac:dyDescent="0.3">
      <c r="A280" t="s">
        <v>398</v>
      </c>
      <c r="B280" s="6">
        <v>45858</v>
      </c>
      <c r="C280" s="6" t="str">
        <f t="shared" si="24"/>
        <v>4 PM - 8 PM</v>
      </c>
      <c r="D280" s="4">
        <v>0.75138888888888888</v>
      </c>
      <c r="E280" t="s">
        <v>23</v>
      </c>
      <c r="F280" t="s">
        <v>51</v>
      </c>
      <c r="G280" t="s">
        <v>73</v>
      </c>
      <c r="H280" t="s">
        <v>43</v>
      </c>
      <c r="I280" t="s">
        <v>98</v>
      </c>
      <c r="J280" t="s">
        <v>45</v>
      </c>
      <c r="K280">
        <v>1</v>
      </c>
      <c r="L280" s="8">
        <v>2650</v>
      </c>
      <c r="M280" s="8" t="str">
        <f t="shared" si="25"/>
        <v>21-30%</v>
      </c>
      <c r="N280">
        <v>25</v>
      </c>
      <c r="O280" t="str">
        <f t="shared" si="26"/>
        <v>Valid</v>
      </c>
      <c r="P280" t="str">
        <f t="shared" si="27"/>
        <v>Match</v>
      </c>
      <c r="Q280" s="8">
        <v>2650</v>
      </c>
      <c r="R280" s="8">
        <v>662.5</v>
      </c>
      <c r="S280" s="8">
        <v>1987.5</v>
      </c>
      <c r="T280" s="8">
        <v>1931.09</v>
      </c>
      <c r="U280" s="8">
        <v>56.41</v>
      </c>
      <c r="V280" s="8" t="b">
        <f t="shared" si="28"/>
        <v>0</v>
      </c>
      <c r="W280" s="8">
        <f t="shared" si="29"/>
        <v>0</v>
      </c>
      <c r="X280" t="s">
        <v>36</v>
      </c>
      <c r="Y280" t="s">
        <v>89</v>
      </c>
      <c r="Z280" t="s">
        <v>64</v>
      </c>
      <c r="AA280">
        <v>5</v>
      </c>
      <c r="AB280" t="s">
        <v>29</v>
      </c>
      <c r="AC280" t="s">
        <v>30</v>
      </c>
    </row>
    <row r="281" spans="1:29" x14ac:dyDescent="0.3">
      <c r="A281" t="s">
        <v>399</v>
      </c>
      <c r="B281" s="6">
        <v>45660</v>
      </c>
      <c r="C281" s="6" t="str">
        <f t="shared" si="24"/>
        <v>8 AM - 12 PM</v>
      </c>
      <c r="D281" s="4">
        <v>0.3611111111111111</v>
      </c>
      <c r="E281" t="s">
        <v>32</v>
      </c>
      <c r="F281" t="s">
        <v>96</v>
      </c>
      <c r="G281" t="s">
        <v>97</v>
      </c>
      <c r="H281" t="s">
        <v>43</v>
      </c>
      <c r="I281" t="s">
        <v>98</v>
      </c>
      <c r="J281" t="s">
        <v>35</v>
      </c>
      <c r="K281">
        <v>1</v>
      </c>
      <c r="L281" s="8">
        <v>2150</v>
      </c>
      <c r="M281" s="8" t="str">
        <f t="shared" si="25"/>
        <v>30%+</v>
      </c>
      <c r="N281" t="s">
        <v>400</v>
      </c>
      <c r="O281" t="str">
        <f t="shared" si="26"/>
        <v>Invalid Discount</v>
      </c>
      <c r="P281" t="str">
        <f t="shared" si="27"/>
        <v>Match</v>
      </c>
      <c r="Q281" s="8">
        <v>2150</v>
      </c>
      <c r="R281" s="8">
        <v>430</v>
      </c>
      <c r="S281" s="8">
        <v>1720</v>
      </c>
      <c r="T281" s="8">
        <v>1550.91</v>
      </c>
      <c r="U281" s="8">
        <v>169.09</v>
      </c>
      <c r="V281" s="8" t="b">
        <f t="shared" si="28"/>
        <v>0</v>
      </c>
      <c r="W281" s="8">
        <f t="shared" si="29"/>
        <v>0</v>
      </c>
      <c r="X281" t="s">
        <v>28</v>
      </c>
      <c r="Y281" t="s">
        <v>70</v>
      </c>
      <c r="Z281" t="s">
        <v>80</v>
      </c>
      <c r="AA281">
        <v>4.5</v>
      </c>
      <c r="AB281" t="s">
        <v>151</v>
      </c>
      <c r="AC281" t="s">
        <v>58</v>
      </c>
    </row>
    <row r="282" spans="1:29" x14ac:dyDescent="0.3">
      <c r="A282" t="s">
        <v>401</v>
      </c>
      <c r="B282" s="6">
        <v>45898</v>
      </c>
      <c r="C282" s="6" t="str">
        <f t="shared" si="24"/>
        <v>12 PM - 4 PM</v>
      </c>
      <c r="D282" s="4">
        <v>0.61111111111111116</v>
      </c>
      <c r="E282" t="s">
        <v>60</v>
      </c>
      <c r="F282" t="s">
        <v>24</v>
      </c>
      <c r="G282" t="s">
        <v>120</v>
      </c>
      <c r="H282" t="s">
        <v>74</v>
      </c>
      <c r="I282" t="s">
        <v>27</v>
      </c>
      <c r="J282" t="s">
        <v>197</v>
      </c>
      <c r="K282">
        <v>2</v>
      </c>
      <c r="L282" s="8">
        <v>13300</v>
      </c>
      <c r="M282" s="8" t="str">
        <f t="shared" si="25"/>
        <v>1-10%</v>
      </c>
      <c r="N282">
        <v>5</v>
      </c>
      <c r="O282" t="str">
        <f t="shared" si="26"/>
        <v>Valid</v>
      </c>
      <c r="P282" t="str">
        <f t="shared" si="27"/>
        <v>Match</v>
      </c>
      <c r="Q282" s="8">
        <v>26600</v>
      </c>
      <c r="R282" s="8">
        <v>1330</v>
      </c>
      <c r="S282" s="8">
        <v>25270</v>
      </c>
      <c r="T282" s="8">
        <v>16405.490000000002</v>
      </c>
      <c r="U282" s="8">
        <v>8864.51</v>
      </c>
      <c r="V282" s="8" t="b">
        <f t="shared" si="28"/>
        <v>0</v>
      </c>
      <c r="W282" s="8">
        <f t="shared" si="29"/>
        <v>0</v>
      </c>
      <c r="X282" t="s">
        <v>79</v>
      </c>
      <c r="Y282" t="s">
        <v>104</v>
      </c>
      <c r="Z282" t="s">
        <v>38</v>
      </c>
      <c r="AA282">
        <v>4.5</v>
      </c>
      <c r="AB282" t="s">
        <v>90</v>
      </c>
      <c r="AC282" t="s">
        <v>58</v>
      </c>
    </row>
    <row r="283" spans="1:29" x14ac:dyDescent="0.3">
      <c r="A283" t="s">
        <v>402</v>
      </c>
      <c r="B283" s="6">
        <v>46009</v>
      </c>
      <c r="C283" s="6" t="str">
        <f t="shared" si="24"/>
        <v>4 PM - 8 PM</v>
      </c>
      <c r="D283" s="4">
        <v>0.76041666666666663</v>
      </c>
      <c r="E283" t="s">
        <v>32</v>
      </c>
      <c r="F283" t="s">
        <v>24</v>
      </c>
      <c r="G283" t="s">
        <v>25</v>
      </c>
      <c r="H283" t="s">
        <v>113</v>
      </c>
      <c r="I283" t="s">
        <v>92</v>
      </c>
      <c r="J283" t="s">
        <v>45</v>
      </c>
      <c r="K283">
        <v>1</v>
      </c>
      <c r="L283" s="8">
        <v>8250</v>
      </c>
      <c r="M283" s="8" t="str">
        <f t="shared" si="25"/>
        <v>11-20%</v>
      </c>
      <c r="N283">
        <v>15</v>
      </c>
      <c r="O283" t="str">
        <f t="shared" si="26"/>
        <v>Valid</v>
      </c>
      <c r="P283" t="str">
        <f t="shared" si="27"/>
        <v>Match</v>
      </c>
      <c r="Q283" s="8">
        <v>8250</v>
      </c>
      <c r="R283" s="8">
        <v>1237.5</v>
      </c>
      <c r="S283" s="8">
        <v>7012.5</v>
      </c>
      <c r="T283" s="8">
        <v>6033.59</v>
      </c>
      <c r="U283" s="8">
        <v>978.91</v>
      </c>
      <c r="V283" s="8" t="b">
        <f t="shared" si="28"/>
        <v>0</v>
      </c>
      <c r="W283" s="8">
        <f t="shared" si="29"/>
        <v>0</v>
      </c>
      <c r="X283" t="s">
        <v>79</v>
      </c>
      <c r="Y283" t="s">
        <v>104</v>
      </c>
      <c r="Z283" t="s">
        <v>45</v>
      </c>
      <c r="AA283">
        <v>4</v>
      </c>
      <c r="AB283" t="s">
        <v>39</v>
      </c>
      <c r="AC283" t="s">
        <v>67</v>
      </c>
    </row>
    <row r="284" spans="1:29" x14ac:dyDescent="0.3">
      <c r="A284" t="s">
        <v>403</v>
      </c>
      <c r="B284" s="6">
        <v>45820</v>
      </c>
      <c r="C284" s="6" t="str">
        <f t="shared" si="24"/>
        <v>12 PM - 4 PM</v>
      </c>
      <c r="D284" s="4">
        <v>0.60763888888888884</v>
      </c>
      <c r="E284" t="s">
        <v>77</v>
      </c>
      <c r="F284" t="s">
        <v>24</v>
      </c>
      <c r="G284" t="s">
        <v>110</v>
      </c>
      <c r="H284" t="s">
        <v>62</v>
      </c>
      <c r="I284" t="s">
        <v>54</v>
      </c>
      <c r="J284" t="s">
        <v>35</v>
      </c>
      <c r="K284">
        <v>1</v>
      </c>
      <c r="L284" s="8">
        <v>4000</v>
      </c>
      <c r="M284" s="8" t="str">
        <f t="shared" si="25"/>
        <v>0%</v>
      </c>
      <c r="N284">
        <v>0</v>
      </c>
      <c r="O284" t="str">
        <f t="shared" si="26"/>
        <v>Valid</v>
      </c>
      <c r="P284" t="str">
        <f t="shared" si="27"/>
        <v>Match</v>
      </c>
      <c r="Q284" s="8">
        <v>4000</v>
      </c>
      <c r="R284" s="8">
        <v>0</v>
      </c>
      <c r="S284" s="8">
        <v>4000</v>
      </c>
      <c r="T284" s="8">
        <v>2316.9699999999998</v>
      </c>
      <c r="U284" s="8">
        <v>1683.03</v>
      </c>
      <c r="V284" s="8" t="b">
        <f t="shared" si="28"/>
        <v>0</v>
      </c>
      <c r="W284" s="8">
        <f t="shared" si="29"/>
        <v>0</v>
      </c>
      <c r="X284" t="s">
        <v>230</v>
      </c>
      <c r="Y284" t="s">
        <v>47</v>
      </c>
      <c r="Z284" t="s">
        <v>80</v>
      </c>
      <c r="AA284">
        <v>3.5</v>
      </c>
      <c r="AB284" t="s">
        <v>48</v>
      </c>
      <c r="AC284" t="s">
        <v>67</v>
      </c>
    </row>
    <row r="285" spans="1:29" x14ac:dyDescent="0.3">
      <c r="A285" t="s">
        <v>404</v>
      </c>
      <c r="B285" s="6">
        <v>45696</v>
      </c>
      <c r="C285" s="6" t="str">
        <f t="shared" si="24"/>
        <v>8 AM - 12 PM</v>
      </c>
      <c r="D285" s="4">
        <v>0.4236111111111111</v>
      </c>
      <c r="E285" t="s">
        <v>69</v>
      </c>
      <c r="F285" t="s">
        <v>96</v>
      </c>
      <c r="G285" t="s">
        <v>115</v>
      </c>
      <c r="H285" t="s">
        <v>62</v>
      </c>
      <c r="I285" t="s">
        <v>63</v>
      </c>
      <c r="J285" t="s">
        <v>35</v>
      </c>
      <c r="K285">
        <v>2</v>
      </c>
      <c r="L285" s="8">
        <v>11700</v>
      </c>
      <c r="M285" s="8" t="str">
        <f t="shared" si="25"/>
        <v>21-30%</v>
      </c>
      <c r="N285">
        <v>25</v>
      </c>
      <c r="O285" t="str">
        <f t="shared" si="26"/>
        <v>Valid</v>
      </c>
      <c r="P285" t="str">
        <f t="shared" si="27"/>
        <v>Match</v>
      </c>
      <c r="Q285" s="8">
        <v>23400</v>
      </c>
      <c r="R285" s="8">
        <v>5850</v>
      </c>
      <c r="S285" s="8">
        <v>17550</v>
      </c>
      <c r="T285" s="8">
        <v>16252.01</v>
      </c>
      <c r="U285" s="8">
        <v>1297.99</v>
      </c>
      <c r="V285" s="8" t="b">
        <f t="shared" si="28"/>
        <v>0</v>
      </c>
      <c r="W285" s="8">
        <f t="shared" si="29"/>
        <v>0</v>
      </c>
      <c r="X285" t="s">
        <v>28</v>
      </c>
      <c r="Y285" t="s">
        <v>37</v>
      </c>
      <c r="Z285" t="s">
        <v>64</v>
      </c>
      <c r="AA285">
        <v>5</v>
      </c>
      <c r="AB285" t="s">
        <v>66</v>
      </c>
      <c r="AC285" t="s">
        <v>71</v>
      </c>
    </row>
    <row r="286" spans="1:29" x14ac:dyDescent="0.3">
      <c r="A286" t="s">
        <v>405</v>
      </c>
      <c r="B286" s="6">
        <v>45999</v>
      </c>
      <c r="C286" s="6" t="str">
        <f t="shared" si="24"/>
        <v>8 PM - 12 AM</v>
      </c>
      <c r="D286" s="4">
        <v>0.93472222222222223</v>
      </c>
      <c r="E286" t="s">
        <v>32</v>
      </c>
      <c r="F286" t="s">
        <v>51</v>
      </c>
      <c r="G286" t="s">
        <v>153</v>
      </c>
      <c r="H286" t="s">
        <v>62</v>
      </c>
      <c r="I286" t="s">
        <v>44</v>
      </c>
      <c r="J286" t="s">
        <v>197</v>
      </c>
      <c r="K286">
        <v>1</v>
      </c>
      <c r="L286" s="8">
        <v>1150</v>
      </c>
      <c r="M286" s="8" t="str">
        <f t="shared" si="25"/>
        <v>11-20%</v>
      </c>
      <c r="N286">
        <v>15</v>
      </c>
      <c r="O286" t="str">
        <f t="shared" si="26"/>
        <v>Valid</v>
      </c>
      <c r="P286" t="str">
        <f t="shared" si="27"/>
        <v>Match</v>
      </c>
      <c r="Q286" s="8">
        <v>1150</v>
      </c>
      <c r="R286" s="8">
        <v>172.5</v>
      </c>
      <c r="S286" s="8">
        <v>977.5</v>
      </c>
      <c r="T286" s="8">
        <v>745.45</v>
      </c>
      <c r="U286" s="8">
        <v>232.05</v>
      </c>
      <c r="V286" s="8" t="b">
        <f t="shared" si="28"/>
        <v>0</v>
      </c>
      <c r="W286" s="8">
        <f t="shared" si="29"/>
        <v>0</v>
      </c>
      <c r="X286" t="s">
        <v>55</v>
      </c>
      <c r="Y286" t="s">
        <v>37</v>
      </c>
      <c r="Z286" t="s">
        <v>45</v>
      </c>
      <c r="AA286">
        <v>4</v>
      </c>
      <c r="AB286" t="s">
        <v>39</v>
      </c>
      <c r="AC286" t="s">
        <v>49</v>
      </c>
    </row>
    <row r="287" spans="1:29" x14ac:dyDescent="0.3">
      <c r="A287" t="s">
        <v>406</v>
      </c>
      <c r="B287" s="6">
        <v>45817</v>
      </c>
      <c r="C287" s="6" t="str">
        <f t="shared" si="24"/>
        <v>12 PM - 4 PM</v>
      </c>
      <c r="D287" s="4">
        <v>0.64097222222222228</v>
      </c>
      <c r="E287" t="s">
        <v>77</v>
      </c>
      <c r="F287" t="s">
        <v>51</v>
      </c>
      <c r="G287" t="s">
        <v>73</v>
      </c>
      <c r="H287" t="s">
        <v>62</v>
      </c>
      <c r="I287" t="s">
        <v>63</v>
      </c>
      <c r="J287" t="s">
        <v>407</v>
      </c>
      <c r="K287">
        <v>1</v>
      </c>
      <c r="L287" s="8">
        <v>2100</v>
      </c>
      <c r="M287" s="8" t="str">
        <f t="shared" si="25"/>
        <v>1-10%</v>
      </c>
      <c r="N287">
        <v>5</v>
      </c>
      <c r="O287" t="str">
        <f t="shared" si="26"/>
        <v>Valid</v>
      </c>
      <c r="P287" t="str">
        <f t="shared" si="27"/>
        <v>Match</v>
      </c>
      <c r="Q287" s="8">
        <v>2100</v>
      </c>
      <c r="R287" s="8">
        <v>105</v>
      </c>
      <c r="S287" s="8">
        <v>1995</v>
      </c>
      <c r="T287" s="8">
        <v>1249.96</v>
      </c>
      <c r="U287" s="8">
        <v>745.04</v>
      </c>
      <c r="V287" s="8" t="b">
        <f t="shared" si="28"/>
        <v>0</v>
      </c>
      <c r="W287" s="8">
        <f t="shared" si="29"/>
        <v>0</v>
      </c>
      <c r="X287" t="s">
        <v>79</v>
      </c>
      <c r="Y287" t="s">
        <v>94</v>
      </c>
      <c r="Z287" t="s">
        <v>38</v>
      </c>
      <c r="AA287">
        <v>3.5</v>
      </c>
      <c r="AB287" t="s">
        <v>48</v>
      </c>
      <c r="AC287" t="s">
        <v>49</v>
      </c>
    </row>
    <row r="288" spans="1:29" x14ac:dyDescent="0.3">
      <c r="A288" t="s">
        <v>408</v>
      </c>
      <c r="B288" s="6">
        <v>45748</v>
      </c>
      <c r="C288" s="6" t="str">
        <f t="shared" si="24"/>
        <v>12 PM - 4 PM</v>
      </c>
      <c r="D288" s="4">
        <v>0.65069444444444446</v>
      </c>
      <c r="E288" t="s">
        <v>69</v>
      </c>
      <c r="F288" t="s">
        <v>24</v>
      </c>
      <c r="G288" t="s">
        <v>61</v>
      </c>
      <c r="H288" t="s">
        <v>74</v>
      </c>
      <c r="I288" t="s">
        <v>98</v>
      </c>
      <c r="J288" t="s">
        <v>85</v>
      </c>
      <c r="K288">
        <v>1</v>
      </c>
      <c r="L288" s="8">
        <v>32900</v>
      </c>
      <c r="M288" s="8" t="str">
        <f t="shared" si="25"/>
        <v>11-20%</v>
      </c>
      <c r="N288">
        <v>15</v>
      </c>
      <c r="O288" t="str">
        <f t="shared" si="26"/>
        <v>Valid</v>
      </c>
      <c r="P288" t="str">
        <f t="shared" si="27"/>
        <v>Match</v>
      </c>
      <c r="Q288" s="8">
        <v>32900</v>
      </c>
      <c r="R288" s="8">
        <v>4935</v>
      </c>
      <c r="S288" s="8">
        <v>27965</v>
      </c>
      <c r="T288" s="8">
        <v>21407.69</v>
      </c>
      <c r="U288" s="8">
        <v>6557.31</v>
      </c>
      <c r="V288" s="8" t="b">
        <f t="shared" si="28"/>
        <v>0</v>
      </c>
      <c r="W288" s="8">
        <f t="shared" si="29"/>
        <v>0</v>
      </c>
      <c r="X288" t="s">
        <v>79</v>
      </c>
      <c r="Y288" t="s">
        <v>37</v>
      </c>
      <c r="Z288" t="s">
        <v>38</v>
      </c>
      <c r="AA288">
        <v>5</v>
      </c>
      <c r="AB288" t="s">
        <v>99</v>
      </c>
      <c r="AC288" t="s">
        <v>86</v>
      </c>
    </row>
    <row r="289" spans="1:29" x14ac:dyDescent="0.3">
      <c r="A289" t="s">
        <v>409</v>
      </c>
      <c r="B289" s="6">
        <v>45736</v>
      </c>
      <c r="C289" s="6" t="str">
        <f t="shared" si="24"/>
        <v>8 PM - 12 AM</v>
      </c>
      <c r="D289" s="4">
        <v>0.94930555555555551</v>
      </c>
      <c r="E289" t="s">
        <v>23</v>
      </c>
      <c r="F289" t="s">
        <v>96</v>
      </c>
      <c r="G289" t="s">
        <v>134</v>
      </c>
      <c r="H289" t="s">
        <v>62</v>
      </c>
      <c r="I289" t="s">
        <v>63</v>
      </c>
      <c r="J289" t="s">
        <v>93</v>
      </c>
      <c r="K289">
        <v>1</v>
      </c>
      <c r="L289" s="8">
        <v>5200</v>
      </c>
      <c r="M289" s="8" t="str">
        <f t="shared" si="25"/>
        <v>0%</v>
      </c>
      <c r="N289">
        <v>0</v>
      </c>
      <c r="O289" t="str">
        <f t="shared" si="26"/>
        <v>Valid</v>
      </c>
      <c r="P289" t="str">
        <f t="shared" si="27"/>
        <v>Match</v>
      </c>
      <c r="Q289" s="8">
        <v>5200</v>
      </c>
      <c r="R289" s="8">
        <v>0</v>
      </c>
      <c r="S289" s="8">
        <v>5200</v>
      </c>
      <c r="T289" s="8">
        <v>3405.18</v>
      </c>
      <c r="U289" s="8">
        <v>1794.82</v>
      </c>
      <c r="V289" s="8" t="b">
        <f t="shared" si="28"/>
        <v>0</v>
      </c>
      <c r="W289" s="8">
        <f t="shared" si="29"/>
        <v>0</v>
      </c>
      <c r="X289" t="s">
        <v>28</v>
      </c>
      <c r="Y289" t="s">
        <v>65</v>
      </c>
      <c r="Z289" t="s">
        <v>64</v>
      </c>
      <c r="AA289">
        <v>3</v>
      </c>
      <c r="AB289" t="s">
        <v>127</v>
      </c>
      <c r="AC289" t="s">
        <v>67</v>
      </c>
    </row>
    <row r="290" spans="1:29" x14ac:dyDescent="0.3">
      <c r="A290" t="s">
        <v>410</v>
      </c>
      <c r="B290" s="6">
        <v>45781</v>
      </c>
      <c r="C290" s="6" t="str">
        <f t="shared" si="24"/>
        <v>8 PM - 12 AM</v>
      </c>
      <c r="D290" s="4">
        <v>0.90069444444444446</v>
      </c>
      <c r="E290" t="s">
        <v>108</v>
      </c>
      <c r="F290" t="s">
        <v>51</v>
      </c>
      <c r="G290" t="s">
        <v>140</v>
      </c>
      <c r="H290" t="s">
        <v>62</v>
      </c>
      <c r="I290" t="s">
        <v>98</v>
      </c>
      <c r="J290" t="s">
        <v>35</v>
      </c>
      <c r="K290">
        <v>1</v>
      </c>
      <c r="L290" s="8">
        <v>5550</v>
      </c>
      <c r="M290" s="8" t="str">
        <f t="shared" si="25"/>
        <v>21-30%</v>
      </c>
      <c r="N290">
        <v>30</v>
      </c>
      <c r="O290" t="str">
        <f t="shared" si="26"/>
        <v>Valid</v>
      </c>
      <c r="P290" t="str">
        <f t="shared" si="27"/>
        <v>Match</v>
      </c>
      <c r="Q290" s="8">
        <v>5550</v>
      </c>
      <c r="R290" s="8">
        <v>1665</v>
      </c>
      <c r="S290" s="8">
        <v>3885</v>
      </c>
      <c r="T290" s="8">
        <v>3710.53</v>
      </c>
      <c r="U290" s="8">
        <v>174.47</v>
      </c>
      <c r="V290" s="8" t="b">
        <f t="shared" si="28"/>
        <v>0</v>
      </c>
      <c r="W290" s="8">
        <f t="shared" si="29"/>
        <v>0</v>
      </c>
      <c r="X290" t="s">
        <v>248</v>
      </c>
      <c r="Y290" t="s">
        <v>37</v>
      </c>
      <c r="Z290" t="s">
        <v>38</v>
      </c>
      <c r="AA290" t="s">
        <v>1139</v>
      </c>
      <c r="AB290" t="s">
        <v>111</v>
      </c>
      <c r="AC290" t="s">
        <v>30</v>
      </c>
    </row>
    <row r="291" spans="1:29" x14ac:dyDescent="0.3">
      <c r="A291" t="s">
        <v>411</v>
      </c>
      <c r="B291" s="6">
        <v>45966</v>
      </c>
      <c r="C291" s="6" t="str">
        <f t="shared" si="24"/>
        <v>12 PM - 4 PM</v>
      </c>
      <c r="D291" s="4">
        <v>0.6381944444444444</v>
      </c>
      <c r="E291" t="s">
        <v>69</v>
      </c>
      <c r="F291" t="s">
        <v>24</v>
      </c>
      <c r="G291" t="s">
        <v>110</v>
      </c>
      <c r="H291" t="s">
        <v>53</v>
      </c>
      <c r="I291" t="s">
        <v>54</v>
      </c>
      <c r="J291" t="s">
        <v>93</v>
      </c>
      <c r="K291">
        <v>1</v>
      </c>
      <c r="L291" s="8">
        <v>3700</v>
      </c>
      <c r="M291" s="8" t="str">
        <f t="shared" si="25"/>
        <v>21-30%</v>
      </c>
      <c r="N291">
        <v>25</v>
      </c>
      <c r="O291" t="str">
        <f t="shared" si="26"/>
        <v>Valid</v>
      </c>
      <c r="P291" t="str">
        <f t="shared" si="27"/>
        <v>Match</v>
      </c>
      <c r="Q291" s="8">
        <v>3700</v>
      </c>
      <c r="R291" s="8">
        <v>925</v>
      </c>
      <c r="S291" s="8">
        <v>2775</v>
      </c>
      <c r="T291" s="8">
        <v>2710.16</v>
      </c>
      <c r="U291" s="8">
        <v>64.84</v>
      </c>
      <c r="V291" s="8" t="b">
        <f t="shared" si="28"/>
        <v>0</v>
      </c>
      <c r="W291" s="8">
        <f t="shared" si="29"/>
        <v>0</v>
      </c>
      <c r="X291" t="s">
        <v>79</v>
      </c>
      <c r="Y291" t="s">
        <v>37</v>
      </c>
      <c r="Z291" t="s">
        <v>85</v>
      </c>
      <c r="AA291">
        <v>5</v>
      </c>
      <c r="AB291" t="s">
        <v>75</v>
      </c>
      <c r="AC291" t="s">
        <v>40</v>
      </c>
    </row>
    <row r="292" spans="1:29" x14ac:dyDescent="0.3">
      <c r="A292" t="s">
        <v>412</v>
      </c>
      <c r="B292" s="6">
        <v>45976</v>
      </c>
      <c r="C292" s="6" t="str">
        <f t="shared" si="24"/>
        <v>8 AM - 12 PM</v>
      </c>
      <c r="D292" s="4">
        <v>0.37222222222222223</v>
      </c>
      <c r="E292" t="s">
        <v>32</v>
      </c>
      <c r="F292" t="s">
        <v>24</v>
      </c>
      <c r="G292" t="s">
        <v>42</v>
      </c>
      <c r="H292" t="s">
        <v>53</v>
      </c>
      <c r="I292" t="s">
        <v>54</v>
      </c>
      <c r="J292" t="s">
        <v>35</v>
      </c>
      <c r="K292">
        <v>1</v>
      </c>
      <c r="L292" s="8">
        <v>19050</v>
      </c>
      <c r="M292" s="8" t="str">
        <f t="shared" si="25"/>
        <v>1-10%</v>
      </c>
      <c r="N292">
        <v>10</v>
      </c>
      <c r="O292" t="str">
        <f t="shared" si="26"/>
        <v>Valid</v>
      </c>
      <c r="P292" t="str">
        <f t="shared" si="27"/>
        <v>Match</v>
      </c>
      <c r="Q292" s="8">
        <v>19050</v>
      </c>
      <c r="R292" s="8">
        <v>1905</v>
      </c>
      <c r="S292" s="8">
        <v>17145</v>
      </c>
      <c r="T292" s="8">
        <v>13654.97</v>
      </c>
      <c r="U292" s="8">
        <v>3490.03</v>
      </c>
      <c r="V292" s="8" t="b">
        <f t="shared" si="28"/>
        <v>0</v>
      </c>
      <c r="W292" s="8">
        <f t="shared" si="29"/>
        <v>0</v>
      </c>
      <c r="X292" t="s">
        <v>28</v>
      </c>
      <c r="Y292" t="s">
        <v>104</v>
      </c>
      <c r="Z292" t="s">
        <v>56</v>
      </c>
      <c r="AA292">
        <v>3</v>
      </c>
      <c r="AB292" t="s">
        <v>75</v>
      </c>
      <c r="AC292" t="s">
        <v>71</v>
      </c>
    </row>
    <row r="293" spans="1:29" x14ac:dyDescent="0.3">
      <c r="A293" t="s">
        <v>413</v>
      </c>
      <c r="B293" s="6">
        <v>45800</v>
      </c>
      <c r="C293" s="6" t="str">
        <f t="shared" si="24"/>
        <v>12 AM - 4 AM</v>
      </c>
      <c r="D293" s="4">
        <v>0.14930555555555555</v>
      </c>
      <c r="E293" t="s">
        <v>69</v>
      </c>
      <c r="F293" t="s">
        <v>24</v>
      </c>
      <c r="G293" t="s">
        <v>120</v>
      </c>
      <c r="H293" t="s">
        <v>53</v>
      </c>
      <c r="I293" t="s">
        <v>54</v>
      </c>
      <c r="J293" t="s">
        <v>35</v>
      </c>
      <c r="K293">
        <v>5</v>
      </c>
      <c r="L293" s="8">
        <v>12000</v>
      </c>
      <c r="M293" s="8" t="str">
        <f t="shared" si="25"/>
        <v>0%</v>
      </c>
      <c r="N293">
        <v>0</v>
      </c>
      <c r="O293" t="str">
        <f t="shared" si="26"/>
        <v>Valid</v>
      </c>
      <c r="P293" t="str">
        <f t="shared" si="27"/>
        <v>Match</v>
      </c>
      <c r="Q293" s="8">
        <v>60000</v>
      </c>
      <c r="R293" s="8">
        <v>0</v>
      </c>
      <c r="S293" s="8">
        <v>60000</v>
      </c>
      <c r="T293" s="8">
        <v>42382.71</v>
      </c>
      <c r="U293" s="8">
        <v>17617.29</v>
      </c>
      <c r="V293" s="8" t="b">
        <f t="shared" si="28"/>
        <v>0</v>
      </c>
      <c r="W293" s="8">
        <f t="shared" si="29"/>
        <v>0</v>
      </c>
      <c r="X293" t="s">
        <v>36</v>
      </c>
      <c r="Y293" t="s">
        <v>37</v>
      </c>
      <c r="Z293" t="s">
        <v>64</v>
      </c>
      <c r="AA293">
        <v>5</v>
      </c>
      <c r="AB293" t="s">
        <v>111</v>
      </c>
      <c r="AC293" t="s">
        <v>58</v>
      </c>
    </row>
    <row r="294" spans="1:29" x14ac:dyDescent="0.3">
      <c r="A294" t="s">
        <v>414</v>
      </c>
      <c r="B294" s="6">
        <v>45756</v>
      </c>
      <c r="C294" s="6" t="str">
        <f t="shared" si="24"/>
        <v>12 AM - 4 AM</v>
      </c>
      <c r="D294" s="4">
        <v>4.2361111111111113E-2</v>
      </c>
      <c r="E294" t="s">
        <v>69</v>
      </c>
      <c r="F294" t="s">
        <v>24</v>
      </c>
      <c r="G294" t="s">
        <v>61</v>
      </c>
      <c r="H294" t="s">
        <v>74</v>
      </c>
      <c r="I294" t="s">
        <v>54</v>
      </c>
      <c r="J294" t="s">
        <v>35</v>
      </c>
      <c r="K294">
        <v>1</v>
      </c>
      <c r="L294" s="8">
        <v>33050</v>
      </c>
      <c r="M294" s="8" t="str">
        <f t="shared" si="25"/>
        <v>21-30%</v>
      </c>
      <c r="N294">
        <v>25</v>
      </c>
      <c r="O294" t="str">
        <f t="shared" si="26"/>
        <v>Valid</v>
      </c>
      <c r="P294" t="str">
        <f t="shared" si="27"/>
        <v>Match</v>
      </c>
      <c r="Q294" s="8">
        <v>33050</v>
      </c>
      <c r="R294" s="8">
        <v>8262.5</v>
      </c>
      <c r="S294" s="8">
        <v>24787.5</v>
      </c>
      <c r="T294" s="8">
        <v>19245.849999999999</v>
      </c>
      <c r="U294" s="8">
        <v>5541.65</v>
      </c>
      <c r="V294" s="8" t="b">
        <f t="shared" si="28"/>
        <v>0</v>
      </c>
      <c r="W294" s="8">
        <f t="shared" si="29"/>
        <v>0</v>
      </c>
      <c r="X294" t="s">
        <v>46</v>
      </c>
      <c r="Y294" t="s">
        <v>94</v>
      </c>
      <c r="Z294" t="s">
        <v>80</v>
      </c>
      <c r="AA294">
        <v>4.5</v>
      </c>
      <c r="AB294" t="s">
        <v>99</v>
      </c>
      <c r="AC294" t="s">
        <v>40</v>
      </c>
    </row>
    <row r="295" spans="1:29" x14ac:dyDescent="0.3">
      <c r="A295" t="s">
        <v>415</v>
      </c>
      <c r="B295" s="6">
        <v>45840</v>
      </c>
      <c r="C295" s="6" t="str">
        <f t="shared" si="24"/>
        <v>12 AM - 4 AM</v>
      </c>
      <c r="D295" s="4">
        <v>8.3333333333333329E-2</v>
      </c>
      <c r="E295" t="s">
        <v>622</v>
      </c>
      <c r="F295" t="s">
        <v>51</v>
      </c>
      <c r="G295" t="s">
        <v>140</v>
      </c>
      <c r="H295" t="s">
        <v>102</v>
      </c>
      <c r="I295" t="s">
        <v>103</v>
      </c>
      <c r="J295" t="s">
        <v>64</v>
      </c>
      <c r="K295">
        <v>1</v>
      </c>
      <c r="L295" s="8">
        <v>5450</v>
      </c>
      <c r="M295" s="8" t="str">
        <f t="shared" si="25"/>
        <v>21-30%</v>
      </c>
      <c r="N295">
        <v>25</v>
      </c>
      <c r="O295" t="str">
        <f t="shared" si="26"/>
        <v>Valid</v>
      </c>
      <c r="P295" t="str">
        <f t="shared" si="27"/>
        <v>Match</v>
      </c>
      <c r="Q295" s="8">
        <v>5450</v>
      </c>
      <c r="R295" s="8">
        <v>1362.5</v>
      </c>
      <c r="S295" s="8">
        <v>4087.5</v>
      </c>
      <c r="T295" s="8">
        <v>3836.72</v>
      </c>
      <c r="U295" s="8">
        <v>250.78</v>
      </c>
      <c r="V295" s="8" t="b">
        <f t="shared" si="28"/>
        <v>0</v>
      </c>
      <c r="W295" s="8">
        <f t="shared" si="29"/>
        <v>0</v>
      </c>
      <c r="X295" t="s">
        <v>46</v>
      </c>
      <c r="Y295" t="s">
        <v>94</v>
      </c>
      <c r="Z295" t="s">
        <v>64</v>
      </c>
      <c r="AA295">
        <v>3.5</v>
      </c>
      <c r="AB295" t="s">
        <v>29</v>
      </c>
      <c r="AC295" t="s">
        <v>40</v>
      </c>
    </row>
    <row r="296" spans="1:29" x14ac:dyDescent="0.3">
      <c r="A296" t="s">
        <v>416</v>
      </c>
      <c r="B296" s="6">
        <v>45752</v>
      </c>
      <c r="C296" s="6" t="str">
        <f t="shared" si="24"/>
        <v>4 AM - 8 AM</v>
      </c>
      <c r="D296" s="4">
        <v>0.32847222222222222</v>
      </c>
      <c r="E296" t="s">
        <v>108</v>
      </c>
      <c r="F296" t="s">
        <v>24</v>
      </c>
      <c r="G296" t="s">
        <v>110</v>
      </c>
      <c r="H296" t="s">
        <v>74</v>
      </c>
      <c r="I296" t="s">
        <v>54</v>
      </c>
      <c r="J296" t="s">
        <v>35</v>
      </c>
      <c r="K296">
        <v>3</v>
      </c>
      <c r="L296" s="8">
        <v>3300</v>
      </c>
      <c r="M296" s="8" t="str">
        <f t="shared" si="25"/>
        <v>1-10%</v>
      </c>
      <c r="N296">
        <v>10</v>
      </c>
      <c r="O296" t="str">
        <f t="shared" si="26"/>
        <v>Valid</v>
      </c>
      <c r="P296" t="str">
        <f t="shared" si="27"/>
        <v>Match</v>
      </c>
      <c r="Q296" s="8">
        <v>9900</v>
      </c>
      <c r="R296" s="8">
        <v>990</v>
      </c>
      <c r="S296" s="8">
        <v>8910</v>
      </c>
      <c r="T296" s="8">
        <v>6029.13</v>
      </c>
      <c r="U296" s="8">
        <v>2880.87</v>
      </c>
      <c r="V296" s="8" t="b">
        <f t="shared" si="28"/>
        <v>0</v>
      </c>
      <c r="W296" s="8">
        <f t="shared" si="29"/>
        <v>0</v>
      </c>
      <c r="X296" t="s">
        <v>28</v>
      </c>
      <c r="Y296" t="s">
        <v>70</v>
      </c>
      <c r="Z296" t="s">
        <v>64</v>
      </c>
      <c r="AA296">
        <v>4</v>
      </c>
      <c r="AB296" t="s">
        <v>99</v>
      </c>
      <c r="AC296" t="s">
        <v>71</v>
      </c>
    </row>
    <row r="297" spans="1:29" x14ac:dyDescent="0.3">
      <c r="A297" t="s">
        <v>417</v>
      </c>
      <c r="B297" s="6">
        <v>45866</v>
      </c>
      <c r="C297" s="6" t="str">
        <f t="shared" si="24"/>
        <v>4 PM - 8 PM</v>
      </c>
      <c r="D297" s="4">
        <v>0.72013888888888888</v>
      </c>
      <c r="E297" t="s">
        <v>77</v>
      </c>
      <c r="F297" t="s">
        <v>96</v>
      </c>
      <c r="G297" t="s">
        <v>134</v>
      </c>
      <c r="H297" t="s">
        <v>62</v>
      </c>
      <c r="I297" t="s">
        <v>54</v>
      </c>
      <c r="J297" t="s">
        <v>35</v>
      </c>
      <c r="K297">
        <v>1</v>
      </c>
      <c r="L297" s="8">
        <v>3800</v>
      </c>
      <c r="M297" s="8" t="str">
        <f t="shared" si="25"/>
        <v>0%</v>
      </c>
      <c r="N297">
        <v>0</v>
      </c>
      <c r="O297" t="str">
        <f t="shared" si="26"/>
        <v>Valid</v>
      </c>
      <c r="P297" t="str">
        <f t="shared" si="27"/>
        <v>Match</v>
      </c>
      <c r="Q297" s="8">
        <v>3800</v>
      </c>
      <c r="R297" s="8">
        <v>0</v>
      </c>
      <c r="S297" s="8">
        <v>3800</v>
      </c>
      <c r="T297" s="8">
        <v>2161.8000000000002</v>
      </c>
      <c r="U297" s="8">
        <v>1638.2</v>
      </c>
      <c r="V297" s="8" t="b">
        <f t="shared" si="28"/>
        <v>0</v>
      </c>
      <c r="W297" s="8">
        <f t="shared" si="29"/>
        <v>0</v>
      </c>
      <c r="X297" t="s">
        <v>28</v>
      </c>
      <c r="Y297" t="s">
        <v>65</v>
      </c>
      <c r="Z297" t="s">
        <v>38</v>
      </c>
      <c r="AA297">
        <v>4</v>
      </c>
      <c r="AB297" t="s">
        <v>29</v>
      </c>
      <c r="AC297" t="s">
        <v>49</v>
      </c>
    </row>
    <row r="298" spans="1:29" x14ac:dyDescent="0.3">
      <c r="A298" t="s">
        <v>418</v>
      </c>
      <c r="B298" s="6">
        <v>45900</v>
      </c>
      <c r="C298" s="6" t="str">
        <f t="shared" si="24"/>
        <v>4 PM - 8 PM</v>
      </c>
      <c r="D298" s="4">
        <v>0.75</v>
      </c>
      <c r="E298" t="s">
        <v>77</v>
      </c>
      <c r="F298" t="s">
        <v>96</v>
      </c>
      <c r="G298" t="s">
        <v>115</v>
      </c>
      <c r="H298" t="s">
        <v>102</v>
      </c>
      <c r="I298" t="s">
        <v>63</v>
      </c>
      <c r="J298" t="s">
        <v>93</v>
      </c>
      <c r="K298">
        <v>2</v>
      </c>
      <c r="L298" s="8">
        <v>4100</v>
      </c>
      <c r="M298" s="8" t="str">
        <f t="shared" si="25"/>
        <v>0%</v>
      </c>
      <c r="N298">
        <v>0</v>
      </c>
      <c r="O298" t="str">
        <f t="shared" si="26"/>
        <v>Valid</v>
      </c>
      <c r="P298" t="str">
        <f t="shared" si="27"/>
        <v>Match</v>
      </c>
      <c r="Q298" s="8">
        <v>8200</v>
      </c>
      <c r="R298" s="8">
        <v>0</v>
      </c>
      <c r="S298" s="8">
        <v>8200</v>
      </c>
      <c r="T298" s="8">
        <v>5335.59</v>
      </c>
      <c r="U298" s="8">
        <v>2864.41</v>
      </c>
      <c r="V298" s="8" t="b">
        <f t="shared" si="28"/>
        <v>0</v>
      </c>
      <c r="W298" s="8">
        <f t="shared" si="29"/>
        <v>0</v>
      </c>
      <c r="X298" t="s">
        <v>36</v>
      </c>
      <c r="Y298" t="s">
        <v>47</v>
      </c>
      <c r="Z298" t="s">
        <v>80</v>
      </c>
      <c r="AA298">
        <v>3</v>
      </c>
      <c r="AB298" t="s">
        <v>90</v>
      </c>
      <c r="AC298" t="s">
        <v>30</v>
      </c>
    </row>
    <row r="299" spans="1:29" x14ac:dyDescent="0.3">
      <c r="A299" t="s">
        <v>419</v>
      </c>
      <c r="B299" s="6">
        <v>45807</v>
      </c>
      <c r="C299" s="6" t="str">
        <f t="shared" si="24"/>
        <v>12 AM - 4 AM</v>
      </c>
      <c r="D299" s="4">
        <v>6.9444444444444448E-2</v>
      </c>
      <c r="E299" t="s">
        <v>23</v>
      </c>
      <c r="F299" t="s">
        <v>24</v>
      </c>
      <c r="G299" t="s">
        <v>25</v>
      </c>
      <c r="H299" t="s">
        <v>62</v>
      </c>
      <c r="I299" t="s">
        <v>63</v>
      </c>
      <c r="J299" t="s">
        <v>78</v>
      </c>
      <c r="K299">
        <v>1</v>
      </c>
      <c r="L299" s="8">
        <v>5800</v>
      </c>
      <c r="M299" s="8" t="str">
        <f t="shared" si="25"/>
        <v>0%</v>
      </c>
      <c r="N299">
        <v>0</v>
      </c>
      <c r="O299" t="str">
        <f t="shared" si="26"/>
        <v>Valid</v>
      </c>
      <c r="P299" t="str">
        <f t="shared" si="27"/>
        <v>Match</v>
      </c>
      <c r="Q299" s="8">
        <v>5800</v>
      </c>
      <c r="R299" s="8">
        <v>0</v>
      </c>
      <c r="S299" s="8">
        <v>5800</v>
      </c>
      <c r="T299" s="8">
        <v>3696.83</v>
      </c>
      <c r="U299" s="8">
        <v>2103.17</v>
      </c>
      <c r="V299" s="8" t="b">
        <f t="shared" si="28"/>
        <v>0</v>
      </c>
      <c r="W299" s="8">
        <f t="shared" si="29"/>
        <v>0</v>
      </c>
      <c r="X299" t="s">
        <v>36</v>
      </c>
      <c r="Y299" t="s">
        <v>94</v>
      </c>
      <c r="Z299" t="s">
        <v>85</v>
      </c>
      <c r="AA299">
        <v>4</v>
      </c>
      <c r="AB299" t="s">
        <v>111</v>
      </c>
      <c r="AC299" t="s">
        <v>58</v>
      </c>
    </row>
    <row r="300" spans="1:29" x14ac:dyDescent="0.3">
      <c r="A300" t="s">
        <v>420</v>
      </c>
      <c r="B300" s="6">
        <v>45952</v>
      </c>
      <c r="C300" s="6" t="str">
        <f t="shared" si="24"/>
        <v>8 AM - 12 PM</v>
      </c>
      <c r="D300" s="4">
        <v>0.44444444444444442</v>
      </c>
      <c r="E300" t="s">
        <v>622</v>
      </c>
      <c r="F300" t="s">
        <v>96</v>
      </c>
      <c r="G300" t="s">
        <v>134</v>
      </c>
      <c r="H300" t="s">
        <v>26</v>
      </c>
      <c r="I300" t="s">
        <v>44</v>
      </c>
      <c r="J300" t="s">
        <v>64</v>
      </c>
      <c r="K300">
        <v>1</v>
      </c>
      <c r="L300" s="8">
        <v>5450</v>
      </c>
      <c r="M300" s="8" t="str">
        <f t="shared" si="25"/>
        <v>11-20%</v>
      </c>
      <c r="N300">
        <v>20</v>
      </c>
      <c r="O300" t="str">
        <f t="shared" si="26"/>
        <v>Valid</v>
      </c>
      <c r="P300" t="str">
        <f t="shared" si="27"/>
        <v>Match</v>
      </c>
      <c r="Q300" s="8">
        <v>5450</v>
      </c>
      <c r="R300" s="8">
        <v>1090</v>
      </c>
      <c r="S300" s="8">
        <v>4360</v>
      </c>
      <c r="T300" s="8">
        <v>3423.92</v>
      </c>
      <c r="U300" s="8">
        <v>936.08</v>
      </c>
      <c r="V300" s="8" t="b">
        <f t="shared" si="28"/>
        <v>0</v>
      </c>
      <c r="W300" s="8">
        <f t="shared" si="29"/>
        <v>0</v>
      </c>
      <c r="X300" t="s">
        <v>55</v>
      </c>
      <c r="Y300" t="s">
        <v>94</v>
      </c>
      <c r="Z300" t="s">
        <v>45</v>
      </c>
      <c r="AA300">
        <v>4.5</v>
      </c>
      <c r="AB300" t="s">
        <v>57</v>
      </c>
      <c r="AC300" t="s">
        <v>40</v>
      </c>
    </row>
    <row r="301" spans="1:29" x14ac:dyDescent="0.3">
      <c r="A301" t="s">
        <v>421</v>
      </c>
      <c r="B301" s="6">
        <v>45892</v>
      </c>
      <c r="C301" s="6" t="str">
        <f t="shared" si="24"/>
        <v>8 PM - 12 AM</v>
      </c>
      <c r="D301" s="4">
        <v>0.91319444444444442</v>
      </c>
      <c r="E301" t="s">
        <v>108</v>
      </c>
      <c r="F301" t="s">
        <v>51</v>
      </c>
      <c r="G301" t="s">
        <v>52</v>
      </c>
      <c r="H301" t="s">
        <v>43</v>
      </c>
      <c r="I301" t="s">
        <v>54</v>
      </c>
      <c r="J301" t="s">
        <v>35</v>
      </c>
      <c r="K301">
        <v>1</v>
      </c>
      <c r="L301" s="8">
        <v>22400</v>
      </c>
      <c r="M301" s="8" t="str">
        <f t="shared" si="25"/>
        <v>21-30%</v>
      </c>
      <c r="N301">
        <v>25</v>
      </c>
      <c r="O301" t="str">
        <f t="shared" si="26"/>
        <v>Valid</v>
      </c>
      <c r="P301" t="str">
        <f t="shared" si="27"/>
        <v>Match</v>
      </c>
      <c r="Q301" s="8">
        <v>22400</v>
      </c>
      <c r="R301" s="8">
        <v>5600</v>
      </c>
      <c r="S301" s="8">
        <v>16800</v>
      </c>
      <c r="T301" s="8">
        <v>14936.54</v>
      </c>
      <c r="U301" s="8">
        <v>1863.46</v>
      </c>
      <c r="V301" s="8" t="b">
        <f t="shared" si="28"/>
        <v>0</v>
      </c>
      <c r="W301" s="8">
        <f t="shared" si="29"/>
        <v>0</v>
      </c>
      <c r="X301" t="s">
        <v>46</v>
      </c>
      <c r="Y301" t="s">
        <v>104</v>
      </c>
      <c r="Z301" t="s">
        <v>80</v>
      </c>
      <c r="AA301">
        <v>3</v>
      </c>
      <c r="AB301" t="s">
        <v>90</v>
      </c>
      <c r="AC301" t="s">
        <v>71</v>
      </c>
    </row>
    <row r="302" spans="1:29" x14ac:dyDescent="0.3">
      <c r="A302" t="s">
        <v>422</v>
      </c>
      <c r="B302" s="6">
        <v>45832</v>
      </c>
      <c r="C302" s="6" t="str">
        <f t="shared" si="24"/>
        <v>12 AM - 4 AM</v>
      </c>
      <c r="D302" s="4">
        <v>0.13750000000000001</v>
      </c>
      <c r="E302" t="s">
        <v>77</v>
      </c>
      <c r="F302" t="s">
        <v>51</v>
      </c>
      <c r="G302" t="s">
        <v>52</v>
      </c>
      <c r="H302" t="s">
        <v>26</v>
      </c>
      <c r="I302" t="s">
        <v>125</v>
      </c>
      <c r="J302" t="s">
        <v>35</v>
      </c>
      <c r="K302">
        <v>1</v>
      </c>
      <c r="L302" s="8">
        <v>32900</v>
      </c>
      <c r="M302" s="8" t="str">
        <f t="shared" si="25"/>
        <v>1-10%</v>
      </c>
      <c r="N302">
        <v>10</v>
      </c>
      <c r="O302" t="str">
        <f t="shared" si="26"/>
        <v>Valid</v>
      </c>
      <c r="P302" t="str">
        <f t="shared" si="27"/>
        <v>Match</v>
      </c>
      <c r="Q302" s="8">
        <v>32900</v>
      </c>
      <c r="R302" s="8">
        <v>3290</v>
      </c>
      <c r="S302" s="8">
        <v>29610</v>
      </c>
      <c r="T302" s="8">
        <v>22671.119999999999</v>
      </c>
      <c r="U302" s="8">
        <v>6938.88</v>
      </c>
      <c r="V302" s="8" t="b">
        <f t="shared" si="28"/>
        <v>0</v>
      </c>
      <c r="W302" s="8">
        <f t="shared" si="29"/>
        <v>0</v>
      </c>
      <c r="X302" t="s">
        <v>55</v>
      </c>
      <c r="Y302" t="s">
        <v>37</v>
      </c>
      <c r="Z302" t="s">
        <v>64</v>
      </c>
      <c r="AA302">
        <v>4.5</v>
      </c>
      <c r="AB302" t="s">
        <v>48</v>
      </c>
      <c r="AC302" t="s">
        <v>86</v>
      </c>
    </row>
    <row r="303" spans="1:29" x14ac:dyDescent="0.3">
      <c r="A303" t="s">
        <v>423</v>
      </c>
      <c r="B303" s="6">
        <v>46011</v>
      </c>
      <c r="C303" s="6" t="str">
        <f t="shared" si="24"/>
        <v>4 PM - 8 PM</v>
      </c>
      <c r="D303" s="4">
        <v>0.67291666666666672</v>
      </c>
      <c r="E303" t="s">
        <v>60</v>
      </c>
      <c r="F303" t="s">
        <v>24</v>
      </c>
      <c r="G303" t="s">
        <v>33</v>
      </c>
      <c r="H303" t="s">
        <v>74</v>
      </c>
      <c r="I303" t="s">
        <v>27</v>
      </c>
      <c r="J303" t="s">
        <v>78</v>
      </c>
      <c r="K303">
        <v>1</v>
      </c>
      <c r="L303" s="8">
        <v>2400</v>
      </c>
      <c r="M303" s="8" t="str">
        <f t="shared" si="25"/>
        <v>21-30%</v>
      </c>
      <c r="N303">
        <v>30</v>
      </c>
      <c r="O303" t="str">
        <f t="shared" si="26"/>
        <v>Valid</v>
      </c>
      <c r="P303" t="str">
        <f t="shared" si="27"/>
        <v>Match</v>
      </c>
      <c r="Q303" s="8">
        <v>2400</v>
      </c>
      <c r="R303" s="8">
        <v>720</v>
      </c>
      <c r="S303" s="8">
        <v>1680</v>
      </c>
      <c r="T303" s="8">
        <v>1606.81</v>
      </c>
      <c r="U303" s="8">
        <v>73.19</v>
      </c>
      <c r="V303" s="8" t="b">
        <f t="shared" si="28"/>
        <v>0</v>
      </c>
      <c r="W303" s="8">
        <f t="shared" si="29"/>
        <v>0</v>
      </c>
      <c r="X303" t="s">
        <v>46</v>
      </c>
      <c r="Y303" t="s">
        <v>94</v>
      </c>
      <c r="Z303" t="s">
        <v>64</v>
      </c>
      <c r="AA303">
        <v>4</v>
      </c>
      <c r="AB303" t="s">
        <v>39</v>
      </c>
      <c r="AC303" t="s">
        <v>71</v>
      </c>
    </row>
    <row r="304" spans="1:29" x14ac:dyDescent="0.3">
      <c r="A304" t="s">
        <v>424</v>
      </c>
      <c r="B304" s="6">
        <v>45881</v>
      </c>
      <c r="C304" s="6" t="str">
        <f t="shared" si="24"/>
        <v>4 AM - 8 AM</v>
      </c>
      <c r="D304" s="4">
        <v>0.30138888888888887</v>
      </c>
      <c r="E304" t="s">
        <v>60</v>
      </c>
      <c r="F304" t="s">
        <v>51</v>
      </c>
      <c r="G304" t="s">
        <v>153</v>
      </c>
      <c r="H304" t="s">
        <v>34</v>
      </c>
      <c r="I304" t="s">
        <v>63</v>
      </c>
      <c r="J304" t="s">
        <v>35</v>
      </c>
      <c r="K304">
        <v>2</v>
      </c>
      <c r="L304" s="8">
        <v>2000</v>
      </c>
      <c r="M304" s="8" t="str">
        <f t="shared" si="25"/>
        <v>11-20%</v>
      </c>
      <c r="N304">
        <v>20</v>
      </c>
      <c r="O304" t="str">
        <f t="shared" si="26"/>
        <v>Valid</v>
      </c>
      <c r="P304" t="str">
        <f t="shared" si="27"/>
        <v>Match</v>
      </c>
      <c r="Q304" s="8">
        <v>4000</v>
      </c>
      <c r="R304" s="8">
        <v>800</v>
      </c>
      <c r="S304" s="8">
        <v>3200</v>
      </c>
      <c r="T304" s="8">
        <v>2930.3</v>
      </c>
      <c r="U304" s="8">
        <v>269.7</v>
      </c>
      <c r="V304" s="8" t="b">
        <f t="shared" si="28"/>
        <v>0</v>
      </c>
      <c r="W304" s="8">
        <f t="shared" si="29"/>
        <v>0</v>
      </c>
      <c r="X304" t="s">
        <v>46</v>
      </c>
      <c r="Y304" t="s">
        <v>47</v>
      </c>
      <c r="Z304" t="s">
        <v>56</v>
      </c>
      <c r="AA304">
        <v>4</v>
      </c>
      <c r="AB304" t="s">
        <v>90</v>
      </c>
      <c r="AC304" t="s">
        <v>86</v>
      </c>
    </row>
    <row r="305" spans="1:29" x14ac:dyDescent="0.3">
      <c r="A305" t="s">
        <v>425</v>
      </c>
      <c r="B305" s="6">
        <v>45946</v>
      </c>
      <c r="C305" s="6" t="str">
        <f t="shared" si="24"/>
        <v>8 PM - 12 AM</v>
      </c>
      <c r="D305" s="4">
        <v>0.90069444444444446</v>
      </c>
      <c r="E305" t="s">
        <v>23</v>
      </c>
      <c r="F305" t="s">
        <v>24</v>
      </c>
      <c r="G305" t="s">
        <v>25</v>
      </c>
      <c r="H305" t="s">
        <v>26</v>
      </c>
      <c r="I305" t="s">
        <v>82</v>
      </c>
      <c r="J305" t="s">
        <v>45</v>
      </c>
      <c r="K305">
        <v>1</v>
      </c>
      <c r="L305" s="8">
        <v>3100</v>
      </c>
      <c r="M305" s="8" t="str">
        <f t="shared" si="25"/>
        <v>11-20%</v>
      </c>
      <c r="N305">
        <v>20</v>
      </c>
      <c r="O305" t="str">
        <f t="shared" si="26"/>
        <v>Valid</v>
      </c>
      <c r="P305" t="str">
        <f t="shared" si="27"/>
        <v>Match</v>
      </c>
      <c r="Q305" s="8">
        <v>3100</v>
      </c>
      <c r="R305" s="8">
        <v>620</v>
      </c>
      <c r="S305" s="8">
        <v>2480</v>
      </c>
      <c r="T305" s="8">
        <v>2172.9899999999998</v>
      </c>
      <c r="U305" s="8">
        <v>307.01</v>
      </c>
      <c r="V305" s="8" t="b">
        <f t="shared" si="28"/>
        <v>0</v>
      </c>
      <c r="W305" s="8">
        <f t="shared" si="29"/>
        <v>0</v>
      </c>
      <c r="X305" t="s">
        <v>28</v>
      </c>
      <c r="Y305" t="s">
        <v>37</v>
      </c>
      <c r="Z305" t="s">
        <v>85</v>
      </c>
      <c r="AA305">
        <v>4.5</v>
      </c>
      <c r="AB305" t="s">
        <v>57</v>
      </c>
      <c r="AC305" t="s">
        <v>67</v>
      </c>
    </row>
    <row r="306" spans="1:29" x14ac:dyDescent="0.3">
      <c r="A306" t="s">
        <v>426</v>
      </c>
      <c r="B306" s="6">
        <v>45966</v>
      </c>
      <c r="C306" s="6" t="str">
        <f t="shared" si="24"/>
        <v>4 AM - 8 AM</v>
      </c>
      <c r="D306" s="4">
        <v>0.19375000000000001</v>
      </c>
      <c r="E306" t="s">
        <v>60</v>
      </c>
      <c r="F306" t="s">
        <v>24</v>
      </c>
      <c r="G306" t="s">
        <v>84</v>
      </c>
      <c r="H306" t="s">
        <v>43</v>
      </c>
      <c r="I306" t="s">
        <v>82</v>
      </c>
      <c r="J306" t="s">
        <v>78</v>
      </c>
      <c r="K306">
        <v>1</v>
      </c>
      <c r="L306" s="8">
        <v>21400</v>
      </c>
      <c r="M306" s="8" t="str">
        <f t="shared" si="25"/>
        <v>0%</v>
      </c>
      <c r="N306">
        <v>0</v>
      </c>
      <c r="O306" t="str">
        <f t="shared" si="26"/>
        <v>Valid</v>
      </c>
      <c r="P306" t="str">
        <f t="shared" si="27"/>
        <v>Match</v>
      </c>
      <c r="Q306" s="8">
        <v>21400</v>
      </c>
      <c r="R306" s="8">
        <v>0</v>
      </c>
      <c r="S306" s="8">
        <v>21400</v>
      </c>
      <c r="T306" s="8">
        <v>13470.94</v>
      </c>
      <c r="U306" s="8">
        <v>7929.06</v>
      </c>
      <c r="V306" s="8" t="b">
        <f t="shared" si="28"/>
        <v>0</v>
      </c>
      <c r="W306" s="8">
        <f t="shared" si="29"/>
        <v>0</v>
      </c>
      <c r="X306" t="s">
        <v>46</v>
      </c>
      <c r="Y306" t="s">
        <v>65</v>
      </c>
      <c r="Z306" t="s">
        <v>80</v>
      </c>
      <c r="AA306">
        <v>4</v>
      </c>
      <c r="AB306" t="s">
        <v>75</v>
      </c>
      <c r="AC306" t="s">
        <v>40</v>
      </c>
    </row>
    <row r="307" spans="1:29" x14ac:dyDescent="0.3">
      <c r="A307" t="s">
        <v>427</v>
      </c>
      <c r="B307" s="6">
        <v>45679</v>
      </c>
      <c r="C307" s="6" t="str">
        <f t="shared" si="24"/>
        <v>8 AM - 12 PM</v>
      </c>
      <c r="D307" s="4">
        <v>0.41180555555555554</v>
      </c>
      <c r="E307" t="s">
        <v>69</v>
      </c>
      <c r="F307" t="s">
        <v>51</v>
      </c>
      <c r="G307" t="s">
        <v>73</v>
      </c>
      <c r="H307" t="s">
        <v>62</v>
      </c>
      <c r="I307" t="s">
        <v>103</v>
      </c>
      <c r="J307" t="s">
        <v>35</v>
      </c>
      <c r="K307">
        <v>3</v>
      </c>
      <c r="L307" s="8">
        <v>2800</v>
      </c>
      <c r="M307" s="8" t="str">
        <f t="shared" si="25"/>
        <v>1-10%</v>
      </c>
      <c r="N307">
        <v>10</v>
      </c>
      <c r="O307" t="str">
        <f t="shared" si="26"/>
        <v>Valid</v>
      </c>
      <c r="P307" t="str">
        <f t="shared" si="27"/>
        <v>Match</v>
      </c>
      <c r="Q307" s="8">
        <v>8400</v>
      </c>
      <c r="R307" s="8">
        <v>840</v>
      </c>
      <c r="S307" s="8">
        <v>7560</v>
      </c>
      <c r="T307" s="8">
        <v>5391.55</v>
      </c>
      <c r="U307" s="8">
        <v>2168.4499999999998</v>
      </c>
      <c r="V307" s="8" t="b">
        <f t="shared" si="28"/>
        <v>0</v>
      </c>
      <c r="W307" s="8">
        <f t="shared" si="29"/>
        <v>0</v>
      </c>
      <c r="X307" t="s">
        <v>46</v>
      </c>
      <c r="Y307" t="s">
        <v>70</v>
      </c>
      <c r="Z307" t="s">
        <v>56</v>
      </c>
      <c r="AA307">
        <v>3.5</v>
      </c>
      <c r="AB307" t="s">
        <v>151</v>
      </c>
      <c r="AC307" t="s">
        <v>40</v>
      </c>
    </row>
    <row r="308" spans="1:29" x14ac:dyDescent="0.3">
      <c r="A308" t="s">
        <v>428</v>
      </c>
      <c r="B308" s="6">
        <v>45842</v>
      </c>
      <c r="C308" s="6" t="str">
        <f t="shared" si="24"/>
        <v>12 PM - 4 PM</v>
      </c>
      <c r="D308" s="4">
        <v>0.63611111111111107</v>
      </c>
      <c r="E308" t="s">
        <v>69</v>
      </c>
      <c r="F308" t="s">
        <v>24</v>
      </c>
      <c r="G308" t="s">
        <v>120</v>
      </c>
      <c r="H308" t="s">
        <v>53</v>
      </c>
      <c r="I308" t="s">
        <v>92</v>
      </c>
      <c r="J308" t="s">
        <v>35</v>
      </c>
      <c r="K308">
        <v>1</v>
      </c>
      <c r="L308" s="8">
        <v>7700</v>
      </c>
      <c r="M308" s="8" t="str">
        <f t="shared" si="25"/>
        <v>0%</v>
      </c>
      <c r="N308">
        <v>0</v>
      </c>
      <c r="O308" t="str">
        <f t="shared" si="26"/>
        <v>Valid</v>
      </c>
      <c r="P308" t="str">
        <f t="shared" si="27"/>
        <v>Match</v>
      </c>
      <c r="Q308" s="8">
        <v>7700</v>
      </c>
      <c r="R308" s="8">
        <v>0</v>
      </c>
      <c r="S308" s="8">
        <v>7700</v>
      </c>
      <c r="T308" s="8">
        <v>5358.85</v>
      </c>
      <c r="U308" s="8">
        <v>2341.15</v>
      </c>
      <c r="V308" s="8" t="b">
        <f t="shared" si="28"/>
        <v>0</v>
      </c>
      <c r="W308" s="8">
        <f t="shared" si="29"/>
        <v>0</v>
      </c>
      <c r="X308" t="s">
        <v>28</v>
      </c>
      <c r="Y308" t="s">
        <v>94</v>
      </c>
      <c r="Z308" t="s">
        <v>45</v>
      </c>
      <c r="AA308">
        <v>4</v>
      </c>
      <c r="AB308" t="s">
        <v>29</v>
      </c>
      <c r="AC308" t="s">
        <v>58</v>
      </c>
    </row>
    <row r="309" spans="1:29" x14ac:dyDescent="0.3">
      <c r="A309" t="s">
        <v>429</v>
      </c>
      <c r="B309" s="6">
        <v>45907</v>
      </c>
      <c r="C309" s="6" t="str">
        <f t="shared" si="24"/>
        <v>12 AM - 4 AM</v>
      </c>
      <c r="D309" s="4">
        <v>6.2500000000000003E-3</v>
      </c>
      <c r="E309" t="s">
        <v>108</v>
      </c>
      <c r="F309" t="s">
        <v>24</v>
      </c>
      <c r="G309" t="s">
        <v>61</v>
      </c>
      <c r="H309" t="s">
        <v>102</v>
      </c>
      <c r="I309" t="s">
        <v>63</v>
      </c>
      <c r="J309" t="s">
        <v>407</v>
      </c>
      <c r="K309">
        <v>3</v>
      </c>
      <c r="L309" s="8">
        <v>27100</v>
      </c>
      <c r="M309" s="8" t="str">
        <f t="shared" si="25"/>
        <v>11-20%</v>
      </c>
      <c r="N309">
        <v>15</v>
      </c>
      <c r="O309" t="str">
        <f t="shared" si="26"/>
        <v>Valid</v>
      </c>
      <c r="P309" t="str">
        <f t="shared" si="27"/>
        <v>Match</v>
      </c>
      <c r="Q309" s="8">
        <v>81300</v>
      </c>
      <c r="R309" s="8">
        <v>12195</v>
      </c>
      <c r="S309" s="8">
        <v>69105</v>
      </c>
      <c r="T309" s="8">
        <v>44491.05</v>
      </c>
      <c r="U309" s="8">
        <v>24613.95</v>
      </c>
      <c r="V309" s="8" t="b">
        <f t="shared" si="28"/>
        <v>0</v>
      </c>
      <c r="W309" s="8">
        <f t="shared" si="29"/>
        <v>0</v>
      </c>
      <c r="X309" t="s">
        <v>79</v>
      </c>
      <c r="Y309" t="s">
        <v>104</v>
      </c>
      <c r="Z309" t="s">
        <v>85</v>
      </c>
      <c r="AA309">
        <v>4</v>
      </c>
      <c r="AB309" t="s">
        <v>155</v>
      </c>
      <c r="AC309" t="s">
        <v>30</v>
      </c>
    </row>
    <row r="310" spans="1:29" x14ac:dyDescent="0.3">
      <c r="A310" t="s">
        <v>430</v>
      </c>
      <c r="B310" s="6">
        <v>45800</v>
      </c>
      <c r="C310" s="6" t="str">
        <f t="shared" si="24"/>
        <v>4 AM - 8 AM</v>
      </c>
      <c r="D310" s="4">
        <v>0.1701388888888889</v>
      </c>
      <c r="E310" t="s">
        <v>60</v>
      </c>
      <c r="F310" t="s">
        <v>24</v>
      </c>
      <c r="G310" t="s">
        <v>110</v>
      </c>
      <c r="H310" t="s">
        <v>113</v>
      </c>
      <c r="I310" t="s">
        <v>98</v>
      </c>
      <c r="J310" t="s">
        <v>78</v>
      </c>
      <c r="K310">
        <v>1</v>
      </c>
      <c r="L310" s="8">
        <v>5850</v>
      </c>
      <c r="M310" s="8" t="str">
        <f t="shared" si="25"/>
        <v>11-20%</v>
      </c>
      <c r="N310">
        <v>15</v>
      </c>
      <c r="O310" t="str">
        <f t="shared" si="26"/>
        <v>Valid</v>
      </c>
      <c r="P310" t="str">
        <f t="shared" si="27"/>
        <v>Match</v>
      </c>
      <c r="Q310" s="8">
        <v>5850</v>
      </c>
      <c r="R310" s="8">
        <v>877.5</v>
      </c>
      <c r="S310" s="8">
        <v>4972.5</v>
      </c>
      <c r="T310" s="8">
        <v>4276.99</v>
      </c>
      <c r="U310" s="8">
        <v>695.51</v>
      </c>
      <c r="V310" s="8" t="b">
        <f t="shared" si="28"/>
        <v>0</v>
      </c>
      <c r="W310" s="8">
        <f t="shared" si="29"/>
        <v>0</v>
      </c>
      <c r="X310" t="s">
        <v>28</v>
      </c>
      <c r="Y310" t="s">
        <v>104</v>
      </c>
      <c r="Z310" t="s">
        <v>38</v>
      </c>
      <c r="AA310">
        <v>4</v>
      </c>
      <c r="AB310" t="s">
        <v>111</v>
      </c>
      <c r="AC310" t="s">
        <v>58</v>
      </c>
    </row>
    <row r="311" spans="1:29" x14ac:dyDescent="0.3">
      <c r="A311" t="s">
        <v>431</v>
      </c>
      <c r="B311" s="6">
        <v>45950</v>
      </c>
      <c r="C311" s="6" t="str">
        <f t="shared" si="24"/>
        <v>4 AM - 8 AM</v>
      </c>
      <c r="D311" s="4">
        <v>0.27569444444444446</v>
      </c>
      <c r="E311" t="s">
        <v>32</v>
      </c>
      <c r="F311" t="s">
        <v>24</v>
      </c>
      <c r="G311" t="s">
        <v>88</v>
      </c>
      <c r="H311" t="s">
        <v>102</v>
      </c>
      <c r="I311" t="s">
        <v>82</v>
      </c>
      <c r="J311" t="s">
        <v>35</v>
      </c>
      <c r="K311">
        <v>1</v>
      </c>
      <c r="L311" s="8">
        <v>2300</v>
      </c>
      <c r="M311" s="8" t="str">
        <f t="shared" si="25"/>
        <v>1-10%</v>
      </c>
      <c r="N311">
        <v>5</v>
      </c>
      <c r="O311" t="str">
        <f t="shared" si="26"/>
        <v>Valid</v>
      </c>
      <c r="P311" t="str">
        <f t="shared" si="27"/>
        <v>Match</v>
      </c>
      <c r="Q311" s="8">
        <v>2300</v>
      </c>
      <c r="R311" s="8">
        <v>115</v>
      </c>
      <c r="S311" s="8">
        <v>2185</v>
      </c>
      <c r="T311" s="8">
        <v>1197.82</v>
      </c>
      <c r="U311" s="8">
        <v>987.18</v>
      </c>
      <c r="V311" s="8" t="b">
        <f t="shared" si="28"/>
        <v>0</v>
      </c>
      <c r="W311" s="8">
        <f t="shared" si="29"/>
        <v>0</v>
      </c>
      <c r="X311" t="s">
        <v>79</v>
      </c>
      <c r="Y311" t="s">
        <v>94</v>
      </c>
      <c r="Z311" t="s">
        <v>85</v>
      </c>
      <c r="AA311">
        <v>4</v>
      </c>
      <c r="AB311" t="s">
        <v>57</v>
      </c>
      <c r="AC311" t="s">
        <v>49</v>
      </c>
    </row>
    <row r="312" spans="1:29" x14ac:dyDescent="0.3">
      <c r="A312" t="s">
        <v>432</v>
      </c>
      <c r="B312" s="6">
        <v>45750</v>
      </c>
      <c r="C312" s="6" t="str">
        <f t="shared" si="24"/>
        <v>12 PM - 4 PM</v>
      </c>
      <c r="D312" s="4">
        <v>0.54305555555555551</v>
      </c>
      <c r="E312" t="s">
        <v>108</v>
      </c>
      <c r="F312" t="s">
        <v>24</v>
      </c>
      <c r="G312" t="s">
        <v>84</v>
      </c>
      <c r="H312" t="s">
        <v>113</v>
      </c>
      <c r="I312" t="s">
        <v>27</v>
      </c>
      <c r="J312" t="s">
        <v>35</v>
      </c>
      <c r="K312">
        <v>2</v>
      </c>
      <c r="L312" s="8">
        <v>9750</v>
      </c>
      <c r="M312" s="8" t="str">
        <f t="shared" si="25"/>
        <v>1-10%</v>
      </c>
      <c r="N312">
        <v>10</v>
      </c>
      <c r="O312" t="str">
        <f t="shared" si="26"/>
        <v>Valid</v>
      </c>
      <c r="P312" t="str">
        <f t="shared" si="27"/>
        <v>Match</v>
      </c>
      <c r="Q312" s="8">
        <v>19500</v>
      </c>
      <c r="R312" s="8">
        <v>1950</v>
      </c>
      <c r="S312" s="8">
        <v>17550</v>
      </c>
      <c r="T312" s="8">
        <v>14032.35</v>
      </c>
      <c r="U312" s="8">
        <v>3517.65</v>
      </c>
      <c r="V312" s="8" t="b">
        <f t="shared" si="28"/>
        <v>0</v>
      </c>
      <c r="W312" s="8">
        <f t="shared" si="29"/>
        <v>0</v>
      </c>
      <c r="X312" t="s">
        <v>79</v>
      </c>
      <c r="Y312" t="s">
        <v>37</v>
      </c>
      <c r="Z312" t="s">
        <v>45</v>
      </c>
      <c r="AA312">
        <v>4.5</v>
      </c>
      <c r="AB312" t="s">
        <v>99</v>
      </c>
      <c r="AC312" t="s">
        <v>67</v>
      </c>
    </row>
    <row r="313" spans="1:29" x14ac:dyDescent="0.3">
      <c r="A313" t="s">
        <v>433</v>
      </c>
      <c r="B313" s="6">
        <v>45809</v>
      </c>
      <c r="C313" s="6" t="str">
        <f t="shared" si="24"/>
        <v>12 AM - 4 AM</v>
      </c>
      <c r="D313" s="4">
        <v>0.15625</v>
      </c>
      <c r="E313" t="s">
        <v>32</v>
      </c>
      <c r="F313" t="s">
        <v>96</v>
      </c>
      <c r="G313" t="s">
        <v>134</v>
      </c>
      <c r="H313" t="s">
        <v>102</v>
      </c>
      <c r="I313" t="s">
        <v>63</v>
      </c>
      <c r="J313" t="s">
        <v>93</v>
      </c>
      <c r="K313">
        <v>1</v>
      </c>
      <c r="L313" s="8">
        <v>3600</v>
      </c>
      <c r="M313" s="8" t="str">
        <f t="shared" si="25"/>
        <v>1-10%</v>
      </c>
      <c r="N313">
        <v>5</v>
      </c>
      <c r="O313" t="str">
        <f t="shared" si="26"/>
        <v>Valid</v>
      </c>
      <c r="P313" t="str">
        <f t="shared" si="27"/>
        <v>Match</v>
      </c>
      <c r="Q313" s="8">
        <v>3600</v>
      </c>
      <c r="R313" s="8">
        <v>180</v>
      </c>
      <c r="S313" s="8">
        <v>3420</v>
      </c>
      <c r="T313" s="8">
        <v>2530.1799999999998</v>
      </c>
      <c r="U313" s="8">
        <v>889.82</v>
      </c>
      <c r="V313" s="8" t="b">
        <f t="shared" si="28"/>
        <v>0</v>
      </c>
      <c r="W313" s="8">
        <f t="shared" si="29"/>
        <v>0</v>
      </c>
      <c r="X313" t="s">
        <v>46</v>
      </c>
      <c r="Y313" t="s">
        <v>94</v>
      </c>
      <c r="Z313" t="s">
        <v>85</v>
      </c>
      <c r="AA313">
        <v>4</v>
      </c>
      <c r="AB313" t="s">
        <v>48</v>
      </c>
      <c r="AC313" t="s">
        <v>30</v>
      </c>
    </row>
    <row r="314" spans="1:29" x14ac:dyDescent="0.3">
      <c r="A314" t="s">
        <v>434</v>
      </c>
      <c r="B314" s="6">
        <v>45749</v>
      </c>
      <c r="C314" s="6" t="str">
        <f t="shared" si="24"/>
        <v>8 AM - 12 PM</v>
      </c>
      <c r="D314" s="4">
        <v>0.44374999999999998</v>
      </c>
      <c r="E314" t="s">
        <v>108</v>
      </c>
      <c r="F314" t="s">
        <v>51</v>
      </c>
      <c r="G314" t="s">
        <v>101</v>
      </c>
      <c r="H314" t="s">
        <v>62</v>
      </c>
      <c r="I314" t="s">
        <v>44</v>
      </c>
      <c r="J314" t="s">
        <v>64</v>
      </c>
      <c r="K314">
        <v>2</v>
      </c>
      <c r="L314" s="8">
        <v>11700</v>
      </c>
      <c r="M314" s="8" t="str">
        <f t="shared" si="25"/>
        <v>21-30%</v>
      </c>
      <c r="N314">
        <v>25</v>
      </c>
      <c r="O314" t="str">
        <f t="shared" si="26"/>
        <v>Valid</v>
      </c>
      <c r="P314" t="str">
        <f t="shared" si="27"/>
        <v>Match</v>
      </c>
      <c r="Q314" s="8">
        <v>23400</v>
      </c>
      <c r="R314" s="8">
        <v>5850</v>
      </c>
      <c r="S314" s="8">
        <v>17550</v>
      </c>
      <c r="T314" s="8">
        <v>13835.36</v>
      </c>
      <c r="U314" s="8">
        <v>3714.64</v>
      </c>
      <c r="V314" s="8" t="b">
        <f t="shared" si="28"/>
        <v>0</v>
      </c>
      <c r="W314" s="8">
        <f t="shared" si="29"/>
        <v>0</v>
      </c>
      <c r="X314" t="s">
        <v>55</v>
      </c>
      <c r="Y314" t="s">
        <v>37</v>
      </c>
      <c r="Z314" t="s">
        <v>64</v>
      </c>
      <c r="AA314">
        <v>4.5</v>
      </c>
      <c r="AB314" t="s">
        <v>99</v>
      </c>
      <c r="AC314" t="s">
        <v>40</v>
      </c>
    </row>
    <row r="315" spans="1:29" x14ac:dyDescent="0.3">
      <c r="A315" t="s">
        <v>435</v>
      </c>
      <c r="B315" s="6">
        <v>45754</v>
      </c>
      <c r="C315" s="6" t="str">
        <f t="shared" si="24"/>
        <v>12 PM - 4 PM</v>
      </c>
      <c r="D315" s="4">
        <v>0.54861111111111116</v>
      </c>
      <c r="E315" t="s">
        <v>108</v>
      </c>
      <c r="F315" t="s">
        <v>51</v>
      </c>
      <c r="G315" t="s">
        <v>101</v>
      </c>
      <c r="H315" t="s">
        <v>102</v>
      </c>
      <c r="I315" t="s">
        <v>103</v>
      </c>
      <c r="J315" t="s">
        <v>35</v>
      </c>
      <c r="K315">
        <v>2</v>
      </c>
      <c r="L315" s="8">
        <v>9550</v>
      </c>
      <c r="M315" s="8" t="str">
        <f t="shared" si="25"/>
        <v>0%</v>
      </c>
      <c r="N315">
        <v>0</v>
      </c>
      <c r="O315" t="str">
        <f t="shared" si="26"/>
        <v>Valid</v>
      </c>
      <c r="P315" t="str">
        <f t="shared" si="27"/>
        <v>Match</v>
      </c>
      <c r="Q315" s="8">
        <v>19100</v>
      </c>
      <c r="R315" s="8">
        <v>0</v>
      </c>
      <c r="S315" s="8">
        <v>19100</v>
      </c>
      <c r="T315" s="8">
        <v>12110.89</v>
      </c>
      <c r="U315" s="8">
        <v>6989.11</v>
      </c>
      <c r="V315" s="8" t="b">
        <f t="shared" si="28"/>
        <v>0</v>
      </c>
      <c r="W315" s="8">
        <f t="shared" si="29"/>
        <v>0</v>
      </c>
      <c r="X315" t="s">
        <v>28</v>
      </c>
      <c r="Y315" t="s">
        <v>94</v>
      </c>
      <c r="Z315" t="s">
        <v>64</v>
      </c>
      <c r="AA315">
        <v>4.5</v>
      </c>
      <c r="AB315" t="s">
        <v>99</v>
      </c>
      <c r="AC315" t="s">
        <v>49</v>
      </c>
    </row>
    <row r="316" spans="1:29" x14ac:dyDescent="0.3">
      <c r="A316" t="s">
        <v>436</v>
      </c>
      <c r="B316" s="6">
        <v>45810</v>
      </c>
      <c r="C316" s="6" t="str">
        <f t="shared" si="24"/>
        <v>12 AM - 4 AM</v>
      </c>
      <c r="E316" t="s">
        <v>77</v>
      </c>
      <c r="F316" t="s">
        <v>24</v>
      </c>
      <c r="G316" t="s">
        <v>84</v>
      </c>
      <c r="H316" t="s">
        <v>26</v>
      </c>
      <c r="I316" t="s">
        <v>92</v>
      </c>
      <c r="J316" t="s">
        <v>93</v>
      </c>
      <c r="K316">
        <v>2</v>
      </c>
      <c r="L316" s="8">
        <v>28950</v>
      </c>
      <c r="M316" s="8" t="str">
        <f t="shared" si="25"/>
        <v>1-10%</v>
      </c>
      <c r="N316">
        <v>5</v>
      </c>
      <c r="O316" t="str">
        <f t="shared" si="26"/>
        <v>Valid</v>
      </c>
      <c r="P316" t="str">
        <f t="shared" si="27"/>
        <v>Match</v>
      </c>
      <c r="Q316" s="8">
        <v>57900</v>
      </c>
      <c r="R316" s="8">
        <v>2895</v>
      </c>
      <c r="S316" s="8">
        <v>55005</v>
      </c>
      <c r="T316" s="8">
        <v>30992.71</v>
      </c>
      <c r="U316" s="8">
        <v>24012.29</v>
      </c>
      <c r="V316" s="8" t="b">
        <f t="shared" si="28"/>
        <v>0</v>
      </c>
      <c r="W316" s="8">
        <f t="shared" si="29"/>
        <v>0</v>
      </c>
      <c r="X316" t="s">
        <v>46</v>
      </c>
      <c r="Y316" t="s">
        <v>47</v>
      </c>
      <c r="Z316" t="s">
        <v>45</v>
      </c>
      <c r="AA316">
        <v>5</v>
      </c>
      <c r="AB316" t="s">
        <v>66</v>
      </c>
      <c r="AC316" t="s">
        <v>67</v>
      </c>
    </row>
    <row r="317" spans="1:29" x14ac:dyDescent="0.3">
      <c r="A317" t="s">
        <v>437</v>
      </c>
      <c r="B317" s="6">
        <v>45809</v>
      </c>
      <c r="C317" s="6" t="str">
        <f t="shared" si="24"/>
        <v>12 AM - 4 AM</v>
      </c>
      <c r="D317" s="4">
        <v>0.14374999999999999</v>
      </c>
      <c r="E317" t="s">
        <v>60</v>
      </c>
      <c r="F317" t="s">
        <v>51</v>
      </c>
      <c r="G317" t="s">
        <v>101</v>
      </c>
      <c r="H317" t="s">
        <v>113</v>
      </c>
      <c r="I317" t="s">
        <v>44</v>
      </c>
      <c r="J317" t="s">
        <v>64</v>
      </c>
      <c r="K317">
        <v>3</v>
      </c>
      <c r="L317" s="8">
        <v>5950</v>
      </c>
      <c r="M317" s="8" t="str">
        <f t="shared" si="25"/>
        <v>11-20%</v>
      </c>
      <c r="N317">
        <v>15</v>
      </c>
      <c r="O317" t="str">
        <f t="shared" si="26"/>
        <v>Valid</v>
      </c>
      <c r="P317" t="str">
        <f t="shared" si="27"/>
        <v>Match</v>
      </c>
      <c r="Q317" s="8">
        <v>17850</v>
      </c>
      <c r="R317" s="8">
        <v>2677.5</v>
      </c>
      <c r="S317" s="8">
        <v>15172.5</v>
      </c>
      <c r="T317" s="8">
        <v>10850.47</v>
      </c>
      <c r="U317" s="8">
        <v>4322.03</v>
      </c>
      <c r="V317" s="8" t="b">
        <f t="shared" si="28"/>
        <v>0</v>
      </c>
      <c r="W317" s="8">
        <f t="shared" si="29"/>
        <v>0</v>
      </c>
      <c r="X317" t="s">
        <v>55</v>
      </c>
      <c r="Y317" t="s">
        <v>89</v>
      </c>
      <c r="Z317" t="s">
        <v>80</v>
      </c>
      <c r="AA317">
        <v>4.5</v>
      </c>
      <c r="AB317" t="s">
        <v>48</v>
      </c>
      <c r="AC317" t="s">
        <v>30</v>
      </c>
    </row>
    <row r="318" spans="1:29" x14ac:dyDescent="0.3">
      <c r="A318" t="s">
        <v>438</v>
      </c>
      <c r="B318" s="6">
        <v>45766</v>
      </c>
      <c r="C318" s="6" t="str">
        <f t="shared" si="24"/>
        <v>4 AM - 8 AM</v>
      </c>
      <c r="D318" s="4">
        <v>0.21180555555555555</v>
      </c>
      <c r="E318" t="s">
        <v>32</v>
      </c>
      <c r="F318" t="s">
        <v>24</v>
      </c>
      <c r="G318" t="s">
        <v>110</v>
      </c>
      <c r="H318" t="s">
        <v>62</v>
      </c>
      <c r="I318" t="s">
        <v>54</v>
      </c>
      <c r="J318" t="s">
        <v>78</v>
      </c>
      <c r="K318">
        <v>1</v>
      </c>
      <c r="L318" s="8">
        <v>4700</v>
      </c>
      <c r="M318" s="8" t="str">
        <f t="shared" si="25"/>
        <v>21-30%</v>
      </c>
      <c r="N318">
        <v>30</v>
      </c>
      <c r="O318" t="str">
        <f t="shared" si="26"/>
        <v>Valid</v>
      </c>
      <c r="P318" t="str">
        <f t="shared" si="27"/>
        <v>Match</v>
      </c>
      <c r="Q318" s="8">
        <v>4700</v>
      </c>
      <c r="R318" s="8">
        <v>1410</v>
      </c>
      <c r="S318" s="8">
        <v>3290</v>
      </c>
      <c r="T318" s="8">
        <v>3281.55</v>
      </c>
      <c r="U318" s="8">
        <v>8.4499999999999993</v>
      </c>
      <c r="V318" s="8" t="b">
        <f t="shared" si="28"/>
        <v>0</v>
      </c>
      <c r="W318" s="8">
        <f t="shared" si="29"/>
        <v>0</v>
      </c>
      <c r="X318" t="s">
        <v>46</v>
      </c>
      <c r="Y318" t="s">
        <v>104</v>
      </c>
      <c r="Z318" t="s">
        <v>45</v>
      </c>
      <c r="AA318">
        <v>3</v>
      </c>
      <c r="AB318" t="s">
        <v>99</v>
      </c>
      <c r="AC318" t="s">
        <v>71</v>
      </c>
    </row>
    <row r="319" spans="1:29" x14ac:dyDescent="0.3">
      <c r="A319" t="s">
        <v>439</v>
      </c>
      <c r="B319" s="6">
        <v>45736</v>
      </c>
      <c r="C319" s="6" t="str">
        <f t="shared" si="24"/>
        <v>4 AM - 8 AM</v>
      </c>
      <c r="D319" s="4">
        <v>0.28402777777777777</v>
      </c>
      <c r="E319" t="s">
        <v>23</v>
      </c>
      <c r="F319" t="s">
        <v>51</v>
      </c>
      <c r="G319" t="s">
        <v>122</v>
      </c>
      <c r="H319" t="s">
        <v>62</v>
      </c>
      <c r="I319" t="s">
        <v>63</v>
      </c>
      <c r="J319" t="s">
        <v>35</v>
      </c>
      <c r="K319">
        <v>3</v>
      </c>
      <c r="L319" s="8">
        <v>6600</v>
      </c>
      <c r="M319" s="8" t="str">
        <f t="shared" si="25"/>
        <v>21-30%</v>
      </c>
      <c r="N319">
        <v>25</v>
      </c>
      <c r="O319" t="str">
        <f t="shared" si="26"/>
        <v>Valid</v>
      </c>
      <c r="P319" t="str">
        <f t="shared" si="27"/>
        <v>Match</v>
      </c>
      <c r="Q319" s="8">
        <v>19800</v>
      </c>
      <c r="R319" s="8">
        <v>4950</v>
      </c>
      <c r="S319" s="8">
        <v>14850</v>
      </c>
      <c r="T319" s="8">
        <v>14073.71</v>
      </c>
      <c r="U319" s="8">
        <v>776.29</v>
      </c>
      <c r="V319" s="8" t="b">
        <f t="shared" si="28"/>
        <v>0</v>
      </c>
      <c r="W319" s="8">
        <f t="shared" si="29"/>
        <v>0</v>
      </c>
      <c r="X319" t="s">
        <v>36</v>
      </c>
      <c r="Y319" t="s">
        <v>47</v>
      </c>
      <c r="Z319" t="s">
        <v>56</v>
      </c>
      <c r="AA319">
        <v>4.5</v>
      </c>
      <c r="AB319" t="s">
        <v>127</v>
      </c>
      <c r="AC319" t="s">
        <v>67</v>
      </c>
    </row>
    <row r="320" spans="1:29" x14ac:dyDescent="0.3">
      <c r="A320" t="s">
        <v>440</v>
      </c>
      <c r="B320" s="6">
        <v>45743</v>
      </c>
      <c r="C320" s="6" t="str">
        <f t="shared" si="24"/>
        <v>12 AM - 4 AM</v>
      </c>
      <c r="D320" s="4">
        <v>0.13055555555555556</v>
      </c>
      <c r="E320" t="s">
        <v>32</v>
      </c>
      <c r="F320" t="s">
        <v>51</v>
      </c>
      <c r="G320" t="s">
        <v>153</v>
      </c>
      <c r="H320" t="s">
        <v>43</v>
      </c>
      <c r="I320" t="s">
        <v>98</v>
      </c>
      <c r="J320" t="s">
        <v>64</v>
      </c>
      <c r="K320">
        <v>2</v>
      </c>
      <c r="L320" s="8">
        <v>3500</v>
      </c>
      <c r="M320" s="8" t="str">
        <f t="shared" si="25"/>
        <v>21-30%</v>
      </c>
      <c r="N320">
        <v>25</v>
      </c>
      <c r="O320" t="str">
        <f t="shared" si="26"/>
        <v>Valid</v>
      </c>
      <c r="P320" t="str">
        <f t="shared" si="27"/>
        <v>Match</v>
      </c>
      <c r="Q320" s="8">
        <v>7000</v>
      </c>
      <c r="R320" s="8">
        <v>1750</v>
      </c>
      <c r="S320" s="8">
        <v>5250</v>
      </c>
      <c r="T320" s="8">
        <v>5004.63</v>
      </c>
      <c r="U320" s="8">
        <v>245.37</v>
      </c>
      <c r="V320" s="8" t="b">
        <f t="shared" si="28"/>
        <v>0</v>
      </c>
      <c r="W320" s="8">
        <f t="shared" si="29"/>
        <v>0</v>
      </c>
      <c r="X320" t="s">
        <v>55</v>
      </c>
      <c r="Y320" t="s">
        <v>65</v>
      </c>
      <c r="Z320" t="s">
        <v>38</v>
      </c>
      <c r="AA320">
        <v>3</v>
      </c>
      <c r="AB320" t="s">
        <v>127</v>
      </c>
      <c r="AC320" t="s">
        <v>67</v>
      </c>
    </row>
    <row r="321" spans="1:29" x14ac:dyDescent="0.3">
      <c r="A321" t="s">
        <v>441</v>
      </c>
      <c r="B321" s="6">
        <v>45793</v>
      </c>
      <c r="C321" s="6" t="str">
        <f t="shared" si="24"/>
        <v>8 PM - 12 AM</v>
      </c>
      <c r="D321" s="4">
        <v>0.95208333333333328</v>
      </c>
      <c r="E321" t="s">
        <v>622</v>
      </c>
      <c r="F321" t="s">
        <v>24</v>
      </c>
      <c r="G321" t="s">
        <v>25</v>
      </c>
      <c r="H321" t="s">
        <v>26</v>
      </c>
      <c r="I321" t="s">
        <v>63</v>
      </c>
      <c r="J321" t="s">
        <v>64</v>
      </c>
      <c r="K321">
        <v>1</v>
      </c>
      <c r="L321" s="8">
        <v>4300</v>
      </c>
      <c r="M321" s="8" t="str">
        <f t="shared" si="25"/>
        <v>11-20%</v>
      </c>
      <c r="N321">
        <v>15</v>
      </c>
      <c r="O321" t="str">
        <f t="shared" si="26"/>
        <v>Valid</v>
      </c>
      <c r="P321" t="str">
        <f t="shared" si="27"/>
        <v>Match</v>
      </c>
      <c r="Q321" s="8">
        <v>4300</v>
      </c>
      <c r="R321" s="8">
        <v>645</v>
      </c>
      <c r="S321" s="8">
        <v>3655</v>
      </c>
      <c r="T321" s="8">
        <v>2862</v>
      </c>
      <c r="U321" s="8">
        <v>793</v>
      </c>
      <c r="V321" s="8" t="b">
        <f t="shared" si="28"/>
        <v>0</v>
      </c>
      <c r="W321" s="8">
        <f t="shared" si="29"/>
        <v>0</v>
      </c>
      <c r="X321" t="s">
        <v>79</v>
      </c>
      <c r="Y321" t="s">
        <v>70</v>
      </c>
      <c r="Z321" t="s">
        <v>38</v>
      </c>
      <c r="AA321">
        <v>5</v>
      </c>
      <c r="AB321" t="s">
        <v>111</v>
      </c>
      <c r="AC321" t="s">
        <v>58</v>
      </c>
    </row>
    <row r="322" spans="1:29" x14ac:dyDescent="0.3">
      <c r="A322" t="s">
        <v>442</v>
      </c>
      <c r="B322" s="6">
        <v>45864</v>
      </c>
      <c r="C322" s="6" t="str">
        <f t="shared" ref="C322:C385" si="30">IF(D322&lt;TIME(4,0,0),"12 AM - 4 AM",IF(D322&lt;TIME(8,0,0),"4 AM - 8 AM",IF(D322&lt;TIME(12,0,0),"8 AM - 12 PM",IF(D322&lt;TIME(16,0,0),"12 PM - 4 PM",IF(D322&lt;TIME(20,0,0),"4 PM - 8 PM","8 PM - 12 AM")))))</f>
        <v>12 AM - 4 AM</v>
      </c>
      <c r="D322" s="4">
        <v>5.6944444444444443E-2</v>
      </c>
      <c r="E322" t="s">
        <v>622</v>
      </c>
      <c r="F322" t="s">
        <v>24</v>
      </c>
      <c r="G322" t="s">
        <v>33</v>
      </c>
      <c r="H322" t="s">
        <v>74</v>
      </c>
      <c r="I322" t="s">
        <v>54</v>
      </c>
      <c r="J322" t="s">
        <v>93</v>
      </c>
      <c r="K322">
        <v>1</v>
      </c>
      <c r="L322" s="8">
        <v>2100</v>
      </c>
      <c r="M322" s="8" t="str">
        <f t="shared" ref="M322:M385" si="31">IF(N322&lt;0,"Invalid",IF(N322=0,"0%",IF(N322&lt;=10,"1-10%",IF(N322&lt;=20,"11-20%",IF(N322&lt;=30,"21-30%","30%+")))))</f>
        <v>21-30%</v>
      </c>
      <c r="N322">
        <v>30</v>
      </c>
      <c r="O322" t="str">
        <f t="shared" ref="O322:O385" si="32">IF(OR(N322&lt;0,N322&gt;100),"Invalid Discount","Valid")</f>
        <v>Valid</v>
      </c>
      <c r="P322" t="str">
        <f t="shared" ref="P322:P385" si="33">IF(ROUND(R322,2)=ROUND(Q322*N322/100,2),"Match","Mismatch")</f>
        <v>Match</v>
      </c>
      <c r="Q322" s="8">
        <v>2100</v>
      </c>
      <c r="R322" s="8">
        <v>630</v>
      </c>
      <c r="S322" s="8">
        <v>1470</v>
      </c>
      <c r="T322" s="8">
        <v>1318.73</v>
      </c>
      <c r="U322" s="8">
        <v>151.27000000000001</v>
      </c>
      <c r="V322" s="8" t="b">
        <f t="shared" ref="V322:V385" si="34">IF(AND(S322-T322&lt;0,U322=S322-T322),TRUE,FALSE)</f>
        <v>0</v>
      </c>
      <c r="W322" s="8">
        <f t="shared" ref="W322:W385" si="35">IF(V322=TRUE,ABS(U322),0)</f>
        <v>0</v>
      </c>
      <c r="X322" t="s">
        <v>55</v>
      </c>
      <c r="Y322" t="s">
        <v>37</v>
      </c>
      <c r="Z322" t="s">
        <v>64</v>
      </c>
      <c r="AA322">
        <v>5</v>
      </c>
      <c r="AB322" t="s">
        <v>29</v>
      </c>
      <c r="AC322" t="s">
        <v>71</v>
      </c>
    </row>
    <row r="323" spans="1:29" x14ac:dyDescent="0.3">
      <c r="A323" t="s">
        <v>443</v>
      </c>
      <c r="B323" s="6">
        <v>45991</v>
      </c>
      <c r="C323" s="6" t="str">
        <f t="shared" si="30"/>
        <v>12 PM - 4 PM</v>
      </c>
      <c r="D323" s="4">
        <v>0.56388888888888888</v>
      </c>
      <c r="E323" t="s">
        <v>622</v>
      </c>
      <c r="F323" t="s">
        <v>24</v>
      </c>
      <c r="G323" t="s">
        <v>33</v>
      </c>
      <c r="H323" t="s">
        <v>26</v>
      </c>
      <c r="I323" t="s">
        <v>54</v>
      </c>
      <c r="J323" t="s">
        <v>93</v>
      </c>
      <c r="K323">
        <v>2</v>
      </c>
      <c r="L323" s="8">
        <v>3950</v>
      </c>
      <c r="M323" s="8" t="str">
        <f t="shared" si="31"/>
        <v>21-30%</v>
      </c>
      <c r="N323">
        <v>25</v>
      </c>
      <c r="O323" t="str">
        <f t="shared" si="32"/>
        <v>Valid</v>
      </c>
      <c r="P323" t="str">
        <f t="shared" si="33"/>
        <v>Match</v>
      </c>
      <c r="Q323" s="8">
        <v>7900</v>
      </c>
      <c r="R323" s="8">
        <v>1975</v>
      </c>
      <c r="S323" s="8">
        <v>5925</v>
      </c>
      <c r="T323" s="8">
        <v>4467.3</v>
      </c>
      <c r="U323" s="8">
        <v>1457.7</v>
      </c>
      <c r="V323" s="8" t="b">
        <f t="shared" si="34"/>
        <v>0</v>
      </c>
      <c r="W323" s="8">
        <f t="shared" si="35"/>
        <v>0</v>
      </c>
      <c r="X323" t="s">
        <v>36</v>
      </c>
      <c r="Y323" t="s">
        <v>47</v>
      </c>
      <c r="Z323" t="s">
        <v>45</v>
      </c>
      <c r="AA323">
        <v>3</v>
      </c>
      <c r="AB323" t="s">
        <v>75</v>
      </c>
      <c r="AC323" t="s">
        <v>30</v>
      </c>
    </row>
    <row r="324" spans="1:29" x14ac:dyDescent="0.3">
      <c r="A324" t="s">
        <v>444</v>
      </c>
      <c r="B324" s="6">
        <v>45712</v>
      </c>
      <c r="C324" s="6" t="str">
        <f t="shared" si="30"/>
        <v>4 AM - 8 AM</v>
      </c>
      <c r="D324" s="4">
        <v>0.31041666666666667</v>
      </c>
      <c r="E324" t="s">
        <v>69</v>
      </c>
      <c r="F324" t="s">
        <v>24</v>
      </c>
      <c r="G324" t="s">
        <v>110</v>
      </c>
      <c r="H324" t="s">
        <v>113</v>
      </c>
      <c r="I324" t="s">
        <v>27</v>
      </c>
      <c r="J324" t="s">
        <v>35</v>
      </c>
      <c r="K324">
        <v>3</v>
      </c>
      <c r="L324" s="8">
        <v>6000</v>
      </c>
      <c r="M324" s="8" t="str">
        <f t="shared" si="31"/>
        <v>0%</v>
      </c>
      <c r="N324">
        <v>0</v>
      </c>
      <c r="O324" t="str">
        <f t="shared" si="32"/>
        <v>Valid</v>
      </c>
      <c r="P324" t="str">
        <f t="shared" si="33"/>
        <v>Match</v>
      </c>
      <c r="Q324" s="8">
        <v>18000</v>
      </c>
      <c r="R324" s="8">
        <v>0</v>
      </c>
      <c r="S324" s="8">
        <v>18000</v>
      </c>
      <c r="T324" s="8">
        <v>11089.38</v>
      </c>
      <c r="U324" s="8">
        <v>6910.62</v>
      </c>
      <c r="V324" s="8" t="b">
        <f t="shared" si="34"/>
        <v>0</v>
      </c>
      <c r="W324" s="8">
        <f t="shared" si="35"/>
        <v>0</v>
      </c>
      <c r="X324" t="s">
        <v>36</v>
      </c>
      <c r="Y324" t="s">
        <v>89</v>
      </c>
      <c r="Z324" t="s">
        <v>85</v>
      </c>
      <c r="AA324">
        <v>5</v>
      </c>
      <c r="AB324" t="s">
        <v>66</v>
      </c>
      <c r="AC324" t="s">
        <v>49</v>
      </c>
    </row>
    <row r="325" spans="1:29" x14ac:dyDescent="0.3">
      <c r="A325" t="s">
        <v>445</v>
      </c>
      <c r="B325" s="6">
        <v>45824</v>
      </c>
      <c r="C325" s="6" t="str">
        <f t="shared" si="30"/>
        <v>12 PM - 4 PM</v>
      </c>
      <c r="D325" s="4">
        <v>0.5</v>
      </c>
      <c r="E325" t="s">
        <v>60</v>
      </c>
      <c r="F325" t="s">
        <v>24</v>
      </c>
      <c r="G325" t="s">
        <v>61</v>
      </c>
      <c r="H325" t="s">
        <v>26</v>
      </c>
      <c r="I325" t="s">
        <v>54</v>
      </c>
      <c r="J325" t="s">
        <v>35</v>
      </c>
      <c r="K325">
        <v>1</v>
      </c>
      <c r="L325" s="8">
        <v>8000</v>
      </c>
      <c r="M325" s="8" t="str">
        <f t="shared" si="31"/>
        <v>0%</v>
      </c>
      <c r="N325">
        <v>0</v>
      </c>
      <c r="O325" t="str">
        <f t="shared" si="32"/>
        <v>Valid</v>
      </c>
      <c r="P325" t="str">
        <f t="shared" si="33"/>
        <v>Match</v>
      </c>
      <c r="Q325" s="8">
        <v>8000</v>
      </c>
      <c r="R325" s="8">
        <v>0</v>
      </c>
      <c r="S325" s="8">
        <v>8000</v>
      </c>
      <c r="T325" s="8">
        <v>5210.59</v>
      </c>
      <c r="U325" s="8">
        <v>2789.41</v>
      </c>
      <c r="V325" s="8" t="b">
        <f t="shared" si="34"/>
        <v>0</v>
      </c>
      <c r="W325" s="8">
        <f t="shared" si="35"/>
        <v>0</v>
      </c>
      <c r="X325" t="s">
        <v>28</v>
      </c>
      <c r="Y325" t="s">
        <v>70</v>
      </c>
      <c r="Z325" t="s">
        <v>85</v>
      </c>
      <c r="AA325">
        <v>4.5</v>
      </c>
      <c r="AB325" t="s">
        <v>48</v>
      </c>
      <c r="AC325" t="s">
        <v>49</v>
      </c>
    </row>
    <row r="326" spans="1:29" x14ac:dyDescent="0.3">
      <c r="A326" t="s">
        <v>446</v>
      </c>
      <c r="B326" s="6">
        <v>45794</v>
      </c>
      <c r="C326" s="6" t="str">
        <f t="shared" si="30"/>
        <v>4 PM - 8 PM</v>
      </c>
      <c r="D326" s="4">
        <v>0.66805555555555551</v>
      </c>
      <c r="E326" t="s">
        <v>32</v>
      </c>
      <c r="F326" t="s">
        <v>51</v>
      </c>
      <c r="G326" t="s">
        <v>101</v>
      </c>
      <c r="H326" t="s">
        <v>74</v>
      </c>
      <c r="I326" t="s">
        <v>98</v>
      </c>
      <c r="J326" t="s">
        <v>35</v>
      </c>
      <c r="K326">
        <v>2</v>
      </c>
      <c r="L326" s="8">
        <v>15500</v>
      </c>
      <c r="M326" s="8" t="str">
        <f t="shared" si="31"/>
        <v>0%</v>
      </c>
      <c r="N326">
        <v>0</v>
      </c>
      <c r="O326" t="str">
        <f t="shared" si="32"/>
        <v>Valid</v>
      </c>
      <c r="P326" t="str">
        <f t="shared" si="33"/>
        <v>Match</v>
      </c>
      <c r="Q326" s="8">
        <v>31000</v>
      </c>
      <c r="R326" s="8">
        <v>0</v>
      </c>
      <c r="S326" s="8">
        <v>31000</v>
      </c>
      <c r="T326" s="8">
        <v>21737.25</v>
      </c>
      <c r="U326" s="8">
        <v>9262.75</v>
      </c>
      <c r="V326" s="8" t="b">
        <f t="shared" si="34"/>
        <v>0</v>
      </c>
      <c r="W326" s="8">
        <f t="shared" si="35"/>
        <v>0</v>
      </c>
      <c r="X326" t="s">
        <v>46</v>
      </c>
      <c r="Y326" t="s">
        <v>65</v>
      </c>
      <c r="Z326" t="s">
        <v>85</v>
      </c>
      <c r="AA326">
        <v>4.5</v>
      </c>
      <c r="AB326" t="s">
        <v>111</v>
      </c>
      <c r="AC326" t="s">
        <v>71</v>
      </c>
    </row>
    <row r="327" spans="1:29" x14ac:dyDescent="0.3">
      <c r="A327" t="s">
        <v>447</v>
      </c>
      <c r="B327" s="6">
        <v>45963</v>
      </c>
      <c r="C327" s="6" t="str">
        <f t="shared" si="30"/>
        <v>4 PM - 8 PM</v>
      </c>
      <c r="D327" s="4">
        <v>0.79652777777777772</v>
      </c>
      <c r="E327" t="s">
        <v>60</v>
      </c>
      <c r="F327" t="s">
        <v>96</v>
      </c>
      <c r="G327" t="s">
        <v>134</v>
      </c>
      <c r="H327" t="s">
        <v>102</v>
      </c>
      <c r="I327" t="s">
        <v>54</v>
      </c>
      <c r="J327" t="s">
        <v>64</v>
      </c>
      <c r="K327">
        <v>1</v>
      </c>
      <c r="L327" s="8">
        <v>5500</v>
      </c>
      <c r="M327" s="8" t="str">
        <f t="shared" si="31"/>
        <v>21-30%</v>
      </c>
      <c r="N327">
        <v>30</v>
      </c>
      <c r="O327" t="str">
        <f t="shared" si="32"/>
        <v>Valid</v>
      </c>
      <c r="P327" t="str">
        <f t="shared" si="33"/>
        <v>Match</v>
      </c>
      <c r="Q327" s="8">
        <v>5500</v>
      </c>
      <c r="R327" s="8">
        <v>1650</v>
      </c>
      <c r="S327" s="8">
        <v>3850</v>
      </c>
      <c r="T327" s="8">
        <v>3641.47</v>
      </c>
      <c r="U327" s="8">
        <v>208.53</v>
      </c>
      <c r="V327" s="8" t="b">
        <f t="shared" si="34"/>
        <v>0</v>
      </c>
      <c r="W327" s="8">
        <f t="shared" si="35"/>
        <v>0</v>
      </c>
      <c r="X327" t="s">
        <v>36</v>
      </c>
      <c r="Y327" t="s">
        <v>94</v>
      </c>
      <c r="Z327" t="s">
        <v>38</v>
      </c>
      <c r="AA327">
        <v>4.5</v>
      </c>
      <c r="AB327" t="s">
        <v>75</v>
      </c>
      <c r="AC327" t="s">
        <v>30</v>
      </c>
    </row>
    <row r="328" spans="1:29" x14ac:dyDescent="0.3">
      <c r="A328" t="s">
        <v>448</v>
      </c>
      <c r="B328" s="6">
        <v>45659</v>
      </c>
      <c r="C328" s="6" t="str">
        <f t="shared" si="30"/>
        <v>4 PM - 8 PM</v>
      </c>
      <c r="D328" s="4">
        <v>0.82499999999999996</v>
      </c>
      <c r="E328" t="s">
        <v>60</v>
      </c>
      <c r="F328" t="s">
        <v>51</v>
      </c>
      <c r="G328" t="s">
        <v>101</v>
      </c>
      <c r="H328" t="s">
        <v>62</v>
      </c>
      <c r="I328" t="s">
        <v>103</v>
      </c>
      <c r="J328" t="s">
        <v>35</v>
      </c>
      <c r="K328">
        <v>1</v>
      </c>
      <c r="L328" s="8">
        <v>8050</v>
      </c>
      <c r="M328" s="8" t="str">
        <f t="shared" si="31"/>
        <v>1-10%</v>
      </c>
      <c r="N328">
        <v>5</v>
      </c>
      <c r="O328" t="str">
        <f t="shared" si="32"/>
        <v>Valid</v>
      </c>
      <c r="P328" t="str">
        <f t="shared" si="33"/>
        <v>Match</v>
      </c>
      <c r="Q328" s="8">
        <v>8050</v>
      </c>
      <c r="R328" s="8">
        <v>402.5</v>
      </c>
      <c r="S328" s="8">
        <v>7647.5</v>
      </c>
      <c r="T328" s="8">
        <v>5886.93</v>
      </c>
      <c r="U328" s="8">
        <v>1760.57</v>
      </c>
      <c r="V328" s="8" t="b">
        <f t="shared" si="34"/>
        <v>0</v>
      </c>
      <c r="W328" s="8">
        <f t="shared" si="35"/>
        <v>0</v>
      </c>
      <c r="X328" t="s">
        <v>55</v>
      </c>
      <c r="Y328" t="s">
        <v>104</v>
      </c>
      <c r="Z328" t="s">
        <v>85</v>
      </c>
      <c r="AA328">
        <v>4.5</v>
      </c>
      <c r="AB328" t="s">
        <v>151</v>
      </c>
      <c r="AC328" t="s">
        <v>67</v>
      </c>
    </row>
    <row r="329" spans="1:29" x14ac:dyDescent="0.3">
      <c r="A329" t="s">
        <v>449</v>
      </c>
      <c r="B329" s="6">
        <v>45783</v>
      </c>
      <c r="C329" s="6" t="str">
        <f t="shared" si="30"/>
        <v>4 AM - 8 AM</v>
      </c>
      <c r="D329" s="4">
        <v>0.32777777777777778</v>
      </c>
      <c r="E329" t="s">
        <v>622</v>
      </c>
      <c r="F329" t="s">
        <v>51</v>
      </c>
      <c r="G329" t="s">
        <v>153</v>
      </c>
      <c r="H329" t="s">
        <v>53</v>
      </c>
      <c r="I329" t="s">
        <v>44</v>
      </c>
      <c r="J329" t="s">
        <v>35</v>
      </c>
      <c r="K329">
        <v>2</v>
      </c>
      <c r="L329" s="8">
        <v>2700</v>
      </c>
      <c r="M329" s="8" t="str">
        <f t="shared" si="31"/>
        <v>21-30%</v>
      </c>
      <c r="N329">
        <v>30</v>
      </c>
      <c r="O329" t="str">
        <f t="shared" si="32"/>
        <v>Valid</v>
      </c>
      <c r="P329" t="str">
        <f t="shared" si="33"/>
        <v>Match</v>
      </c>
      <c r="Q329" s="8">
        <v>5400</v>
      </c>
      <c r="R329" s="8">
        <v>1620</v>
      </c>
      <c r="S329" s="8">
        <v>3780</v>
      </c>
      <c r="T329" s="8">
        <v>3513.49</v>
      </c>
      <c r="U329" s="8">
        <v>266.51</v>
      </c>
      <c r="V329" s="8" t="b">
        <f t="shared" si="34"/>
        <v>0</v>
      </c>
      <c r="W329" s="8">
        <f t="shared" si="35"/>
        <v>0</v>
      </c>
      <c r="X329" t="s">
        <v>46</v>
      </c>
      <c r="Y329" t="s">
        <v>47</v>
      </c>
      <c r="Z329" t="s">
        <v>56</v>
      </c>
      <c r="AA329">
        <v>4</v>
      </c>
      <c r="AB329" t="s">
        <v>111</v>
      </c>
      <c r="AC329" t="s">
        <v>86</v>
      </c>
    </row>
    <row r="330" spans="1:29" x14ac:dyDescent="0.3">
      <c r="A330" t="s">
        <v>450</v>
      </c>
      <c r="B330" s="6">
        <v>45973</v>
      </c>
      <c r="C330" s="6" t="str">
        <f t="shared" si="30"/>
        <v>8 AM - 12 PM</v>
      </c>
      <c r="D330" s="4">
        <v>0.37361111111111112</v>
      </c>
      <c r="E330" t="s">
        <v>60</v>
      </c>
      <c r="F330" t="s">
        <v>51</v>
      </c>
      <c r="G330" t="s">
        <v>101</v>
      </c>
      <c r="H330" t="s">
        <v>43</v>
      </c>
      <c r="I330" t="s">
        <v>44</v>
      </c>
      <c r="J330" t="s">
        <v>35</v>
      </c>
      <c r="K330">
        <v>4</v>
      </c>
      <c r="L330" s="8">
        <v>10600</v>
      </c>
      <c r="M330" s="8" t="str">
        <f t="shared" si="31"/>
        <v>1-10%</v>
      </c>
      <c r="N330">
        <v>5</v>
      </c>
      <c r="O330" t="str">
        <f t="shared" si="32"/>
        <v>Valid</v>
      </c>
      <c r="P330" t="str">
        <f t="shared" si="33"/>
        <v>Match</v>
      </c>
      <c r="Q330" s="8">
        <v>42400</v>
      </c>
      <c r="R330" s="8">
        <v>2120</v>
      </c>
      <c r="S330" s="8">
        <v>40280</v>
      </c>
      <c r="T330" s="8">
        <v>30080.31</v>
      </c>
      <c r="U330" s="8">
        <v>10199.69</v>
      </c>
      <c r="V330" s="8" t="b">
        <f t="shared" si="34"/>
        <v>0</v>
      </c>
      <c r="W330" s="8">
        <f t="shared" si="35"/>
        <v>0</v>
      </c>
      <c r="X330" t="s">
        <v>28</v>
      </c>
      <c r="Y330" t="s">
        <v>37</v>
      </c>
      <c r="Z330" t="s">
        <v>45</v>
      </c>
      <c r="AA330">
        <v>4</v>
      </c>
      <c r="AB330" t="s">
        <v>75</v>
      </c>
      <c r="AC330" t="s">
        <v>40</v>
      </c>
    </row>
    <row r="331" spans="1:29" x14ac:dyDescent="0.3">
      <c r="A331" t="s">
        <v>451</v>
      </c>
      <c r="B331" s="6">
        <v>45809</v>
      </c>
      <c r="C331" s="6" t="str">
        <f t="shared" si="30"/>
        <v>4 AM - 8 AM</v>
      </c>
      <c r="D331" s="4">
        <v>0.31319444444444444</v>
      </c>
      <c r="E331" t="s">
        <v>32</v>
      </c>
      <c r="F331" t="s">
        <v>24</v>
      </c>
      <c r="G331" t="s">
        <v>61</v>
      </c>
      <c r="H331" t="s">
        <v>62</v>
      </c>
      <c r="I331" t="s">
        <v>54</v>
      </c>
      <c r="J331" t="s">
        <v>35</v>
      </c>
      <c r="K331">
        <v>1</v>
      </c>
      <c r="L331" s="8">
        <v>22000</v>
      </c>
      <c r="M331" s="8" t="str">
        <f t="shared" si="31"/>
        <v>11-20%</v>
      </c>
      <c r="N331">
        <v>15</v>
      </c>
      <c r="O331" t="str">
        <f t="shared" si="32"/>
        <v>Valid</v>
      </c>
      <c r="P331" t="str">
        <f t="shared" si="33"/>
        <v>Match</v>
      </c>
      <c r="Q331" s="8">
        <v>22000</v>
      </c>
      <c r="R331" s="8">
        <v>3300</v>
      </c>
      <c r="S331" s="8">
        <v>18700</v>
      </c>
      <c r="T331" s="8">
        <v>12969.08</v>
      </c>
      <c r="U331" s="8">
        <v>5730.92</v>
      </c>
      <c r="V331" s="8" t="b">
        <f t="shared" si="34"/>
        <v>0</v>
      </c>
      <c r="W331" s="8">
        <f t="shared" si="35"/>
        <v>0</v>
      </c>
      <c r="X331" t="s">
        <v>55</v>
      </c>
      <c r="Y331" t="s">
        <v>89</v>
      </c>
      <c r="Z331" t="s">
        <v>56</v>
      </c>
      <c r="AA331">
        <v>5</v>
      </c>
      <c r="AB331" t="s">
        <v>48</v>
      </c>
      <c r="AC331" t="s">
        <v>30</v>
      </c>
    </row>
    <row r="332" spans="1:29" x14ac:dyDescent="0.3">
      <c r="A332" t="s">
        <v>452</v>
      </c>
      <c r="B332" s="6">
        <v>45900</v>
      </c>
      <c r="C332" s="6" t="str">
        <f t="shared" si="30"/>
        <v>4 AM - 8 AM</v>
      </c>
      <c r="D332" s="4">
        <v>0.31458333333333333</v>
      </c>
      <c r="E332" t="s">
        <v>69</v>
      </c>
      <c r="F332" t="s">
        <v>96</v>
      </c>
      <c r="G332" t="s">
        <v>145</v>
      </c>
      <c r="H332" t="s">
        <v>113</v>
      </c>
      <c r="I332" t="s">
        <v>103</v>
      </c>
      <c r="J332" t="s">
        <v>64</v>
      </c>
      <c r="K332">
        <v>1</v>
      </c>
      <c r="L332" s="8">
        <v>3100</v>
      </c>
      <c r="M332" s="8" t="str">
        <f t="shared" si="31"/>
        <v>21-30%</v>
      </c>
      <c r="N332">
        <v>25</v>
      </c>
      <c r="O332" t="str">
        <f t="shared" si="32"/>
        <v>Valid</v>
      </c>
      <c r="P332" t="str">
        <f t="shared" si="33"/>
        <v>Match</v>
      </c>
      <c r="Q332" s="8">
        <v>3100</v>
      </c>
      <c r="R332" s="8">
        <v>775</v>
      </c>
      <c r="S332" s="8">
        <v>2325</v>
      </c>
      <c r="T332" s="8">
        <v>2122.91</v>
      </c>
      <c r="U332" s="8">
        <v>202.09</v>
      </c>
      <c r="V332" s="8" t="b">
        <f t="shared" si="34"/>
        <v>0</v>
      </c>
      <c r="W332" s="8">
        <f t="shared" si="35"/>
        <v>0</v>
      </c>
      <c r="X332" t="s">
        <v>36</v>
      </c>
      <c r="Y332" t="s">
        <v>104</v>
      </c>
      <c r="Z332" t="s">
        <v>64</v>
      </c>
      <c r="AA332">
        <v>4</v>
      </c>
      <c r="AB332" t="s">
        <v>90</v>
      </c>
      <c r="AC332" t="s">
        <v>30</v>
      </c>
    </row>
    <row r="333" spans="1:29" x14ac:dyDescent="0.3">
      <c r="A333" t="s">
        <v>453</v>
      </c>
      <c r="B333" s="6">
        <v>45834</v>
      </c>
      <c r="C333" s="6" t="str">
        <f t="shared" si="30"/>
        <v>8 PM - 12 AM</v>
      </c>
      <c r="D333" s="4">
        <v>0.86250000000000004</v>
      </c>
      <c r="E333" t="s">
        <v>77</v>
      </c>
      <c r="F333" t="s">
        <v>24</v>
      </c>
      <c r="G333" t="s">
        <v>84</v>
      </c>
      <c r="H333" t="s">
        <v>26</v>
      </c>
      <c r="I333" t="s">
        <v>98</v>
      </c>
      <c r="J333" t="s">
        <v>64</v>
      </c>
      <c r="K333">
        <v>1</v>
      </c>
      <c r="L333" s="8">
        <v>22600</v>
      </c>
      <c r="M333" s="8" t="str">
        <f t="shared" si="31"/>
        <v>11-20%</v>
      </c>
      <c r="N333">
        <v>15</v>
      </c>
      <c r="O333" t="str">
        <f t="shared" si="32"/>
        <v>Valid</v>
      </c>
      <c r="P333" t="str">
        <f t="shared" si="33"/>
        <v>Match</v>
      </c>
      <c r="Q333" s="8">
        <v>22600</v>
      </c>
      <c r="R333" s="8">
        <v>3390</v>
      </c>
      <c r="S333" s="8">
        <v>19210</v>
      </c>
      <c r="T333" s="8">
        <v>11985.11</v>
      </c>
      <c r="U333" s="8">
        <v>7224.89</v>
      </c>
      <c r="V333" s="8" t="b">
        <f t="shared" si="34"/>
        <v>0</v>
      </c>
      <c r="W333" s="8">
        <f t="shared" si="35"/>
        <v>0</v>
      </c>
      <c r="X333" t="s">
        <v>79</v>
      </c>
      <c r="Y333" t="s">
        <v>104</v>
      </c>
      <c r="Z333" t="s">
        <v>85</v>
      </c>
      <c r="AA333">
        <v>4</v>
      </c>
      <c r="AB333" t="s">
        <v>48</v>
      </c>
      <c r="AC333" t="s">
        <v>67</v>
      </c>
    </row>
    <row r="334" spans="1:29" x14ac:dyDescent="0.3">
      <c r="A334" t="s">
        <v>454</v>
      </c>
      <c r="B334" s="6">
        <v>45958</v>
      </c>
      <c r="C334" s="6" t="str">
        <f t="shared" si="30"/>
        <v>4 PM - 8 PM</v>
      </c>
      <c r="D334" s="4">
        <v>0.77500000000000002</v>
      </c>
      <c r="E334" t="s">
        <v>77</v>
      </c>
      <c r="F334" t="s">
        <v>24</v>
      </c>
      <c r="G334" t="s">
        <v>61</v>
      </c>
      <c r="H334" t="s">
        <v>43</v>
      </c>
      <c r="I334" t="s">
        <v>54</v>
      </c>
      <c r="J334" t="s">
        <v>35</v>
      </c>
      <c r="K334">
        <v>2</v>
      </c>
      <c r="L334" s="8">
        <v>25600</v>
      </c>
      <c r="M334" s="8" t="str">
        <f t="shared" si="31"/>
        <v>Invalid</v>
      </c>
      <c r="N334">
        <v>-5</v>
      </c>
      <c r="O334" t="str">
        <f t="shared" si="32"/>
        <v>Invalid Discount</v>
      </c>
      <c r="P334" t="str">
        <f t="shared" si="33"/>
        <v>Mismatch</v>
      </c>
      <c r="Q334" s="8">
        <v>51200</v>
      </c>
      <c r="R334" s="8">
        <v>10240</v>
      </c>
      <c r="S334" s="8">
        <v>40960</v>
      </c>
      <c r="T334" s="8">
        <v>29157.67</v>
      </c>
      <c r="U334" s="8">
        <v>11802.33</v>
      </c>
      <c r="V334" s="8" t="b">
        <f t="shared" si="34"/>
        <v>0</v>
      </c>
      <c r="W334" s="8">
        <f t="shared" si="35"/>
        <v>0</v>
      </c>
      <c r="X334" t="s">
        <v>28</v>
      </c>
      <c r="Y334" t="s">
        <v>89</v>
      </c>
      <c r="Z334" t="s">
        <v>80</v>
      </c>
      <c r="AA334">
        <v>4</v>
      </c>
      <c r="AB334" t="s">
        <v>57</v>
      </c>
      <c r="AC334" t="s">
        <v>86</v>
      </c>
    </row>
    <row r="335" spans="1:29" x14ac:dyDescent="0.3">
      <c r="A335" t="s">
        <v>455</v>
      </c>
      <c r="B335" s="6">
        <v>45759</v>
      </c>
      <c r="C335" s="6" t="str">
        <f t="shared" si="30"/>
        <v>12 PM - 4 PM</v>
      </c>
      <c r="D335" s="4">
        <v>0.64236111111111116</v>
      </c>
      <c r="E335" t="s">
        <v>32</v>
      </c>
      <c r="F335" t="s">
        <v>24</v>
      </c>
      <c r="G335" t="s">
        <v>88</v>
      </c>
      <c r="H335" t="s">
        <v>34</v>
      </c>
      <c r="I335" t="s">
        <v>54</v>
      </c>
      <c r="J335" t="s">
        <v>45</v>
      </c>
      <c r="K335">
        <v>1</v>
      </c>
      <c r="L335" s="8">
        <v>4000</v>
      </c>
      <c r="M335" s="8" t="str">
        <f t="shared" si="31"/>
        <v>1-10%</v>
      </c>
      <c r="N335">
        <v>5</v>
      </c>
      <c r="O335" t="str">
        <f t="shared" si="32"/>
        <v>Valid</v>
      </c>
      <c r="P335" t="str">
        <f t="shared" si="33"/>
        <v>Match</v>
      </c>
      <c r="Q335" s="8">
        <v>4000</v>
      </c>
      <c r="R335" s="8">
        <v>200</v>
      </c>
      <c r="S335" s="8">
        <v>3800</v>
      </c>
      <c r="T335" s="8">
        <v>2503.21</v>
      </c>
      <c r="U335" s="8">
        <v>1296.79</v>
      </c>
      <c r="V335" s="8" t="b">
        <f t="shared" si="34"/>
        <v>0</v>
      </c>
      <c r="W335" s="8">
        <f t="shared" si="35"/>
        <v>0</v>
      </c>
      <c r="X335" t="s">
        <v>36</v>
      </c>
      <c r="Y335" t="s">
        <v>37</v>
      </c>
      <c r="Z335" t="s">
        <v>56</v>
      </c>
      <c r="AA335">
        <v>4.5</v>
      </c>
      <c r="AB335" t="s">
        <v>99</v>
      </c>
      <c r="AC335" t="s">
        <v>71</v>
      </c>
    </row>
    <row r="336" spans="1:29" x14ac:dyDescent="0.3">
      <c r="A336" t="s">
        <v>456</v>
      </c>
      <c r="B336" s="6">
        <v>46000</v>
      </c>
      <c r="C336" s="6" t="str">
        <f t="shared" si="30"/>
        <v>4 PM - 8 PM</v>
      </c>
      <c r="D336" s="4">
        <v>0.7729166666666667</v>
      </c>
      <c r="E336" t="s">
        <v>69</v>
      </c>
      <c r="F336" t="s">
        <v>24</v>
      </c>
      <c r="G336" t="s">
        <v>84</v>
      </c>
      <c r="H336" t="s">
        <v>26</v>
      </c>
      <c r="I336" t="s">
        <v>63</v>
      </c>
      <c r="J336" t="s">
        <v>45</v>
      </c>
      <c r="K336">
        <v>1</v>
      </c>
      <c r="L336" s="8">
        <v>26050</v>
      </c>
      <c r="M336" s="8" t="str">
        <f t="shared" si="31"/>
        <v>21-30%</v>
      </c>
      <c r="N336">
        <v>25</v>
      </c>
      <c r="O336" t="str">
        <f t="shared" si="32"/>
        <v>Valid</v>
      </c>
      <c r="P336" t="str">
        <f t="shared" si="33"/>
        <v>Match</v>
      </c>
      <c r="Q336" s="8">
        <v>26050</v>
      </c>
      <c r="R336" s="8">
        <v>6512.5</v>
      </c>
      <c r="S336" s="8">
        <v>19537.5</v>
      </c>
      <c r="T336" s="8">
        <v>19127.75</v>
      </c>
      <c r="U336" s="8">
        <v>409.75</v>
      </c>
      <c r="V336" s="8" t="b">
        <f t="shared" si="34"/>
        <v>0</v>
      </c>
      <c r="W336" s="8">
        <f t="shared" si="35"/>
        <v>0</v>
      </c>
      <c r="X336" t="s">
        <v>55</v>
      </c>
      <c r="Y336" t="s">
        <v>65</v>
      </c>
      <c r="Z336" t="s">
        <v>45</v>
      </c>
      <c r="AA336">
        <v>4</v>
      </c>
      <c r="AB336" t="s">
        <v>39</v>
      </c>
      <c r="AC336" t="s">
        <v>86</v>
      </c>
    </row>
    <row r="337" spans="1:29" x14ac:dyDescent="0.3">
      <c r="A337" t="s">
        <v>457</v>
      </c>
      <c r="B337" s="6">
        <v>45893</v>
      </c>
      <c r="C337" s="6" t="str">
        <f t="shared" si="30"/>
        <v>8 AM - 12 PM</v>
      </c>
      <c r="D337" s="4">
        <v>0.42986111111111114</v>
      </c>
      <c r="E337" t="s">
        <v>60</v>
      </c>
      <c r="F337" t="s">
        <v>24</v>
      </c>
      <c r="G337" t="s">
        <v>42</v>
      </c>
      <c r="H337" t="s">
        <v>113</v>
      </c>
      <c r="I337" t="s">
        <v>54</v>
      </c>
      <c r="J337" t="s">
        <v>35</v>
      </c>
      <c r="K337">
        <v>1</v>
      </c>
      <c r="L337" s="8">
        <v>118100</v>
      </c>
      <c r="M337" s="8" t="str">
        <f t="shared" si="31"/>
        <v>1-10%</v>
      </c>
      <c r="N337">
        <v>10</v>
      </c>
      <c r="O337" t="str">
        <f t="shared" si="32"/>
        <v>Valid</v>
      </c>
      <c r="P337" t="str">
        <f t="shared" si="33"/>
        <v>Match</v>
      </c>
      <c r="Q337" s="8">
        <v>118100</v>
      </c>
      <c r="R337" s="8">
        <v>11810</v>
      </c>
      <c r="S337" s="8">
        <v>106290</v>
      </c>
      <c r="T337" s="8">
        <v>61565.06</v>
      </c>
      <c r="U337" s="8">
        <v>44724.94</v>
      </c>
      <c r="V337" s="8" t="b">
        <f t="shared" si="34"/>
        <v>0</v>
      </c>
      <c r="W337" s="8">
        <f t="shared" si="35"/>
        <v>0</v>
      </c>
      <c r="X337" t="s">
        <v>46</v>
      </c>
      <c r="Y337" t="s">
        <v>37</v>
      </c>
      <c r="Z337" t="s">
        <v>38</v>
      </c>
      <c r="AA337">
        <v>4</v>
      </c>
      <c r="AB337" t="s">
        <v>90</v>
      </c>
      <c r="AC337" t="s">
        <v>30</v>
      </c>
    </row>
    <row r="338" spans="1:29" x14ac:dyDescent="0.3">
      <c r="A338" t="s">
        <v>458</v>
      </c>
      <c r="B338" s="6">
        <v>46004</v>
      </c>
      <c r="C338" s="6" t="str">
        <f t="shared" si="30"/>
        <v>4 PM - 8 PM</v>
      </c>
      <c r="D338" s="4">
        <v>0.71180555555555558</v>
      </c>
      <c r="E338" t="s">
        <v>69</v>
      </c>
      <c r="F338" t="s">
        <v>51</v>
      </c>
      <c r="G338" t="s">
        <v>52</v>
      </c>
      <c r="H338" t="s">
        <v>62</v>
      </c>
      <c r="I338" t="s">
        <v>54</v>
      </c>
      <c r="J338" t="s">
        <v>35</v>
      </c>
      <c r="K338">
        <v>1</v>
      </c>
      <c r="L338" s="8">
        <v>35200</v>
      </c>
      <c r="M338" s="8" t="str">
        <f t="shared" si="31"/>
        <v>1-10%</v>
      </c>
      <c r="N338">
        <v>5</v>
      </c>
      <c r="O338" t="str">
        <f t="shared" si="32"/>
        <v>Valid</v>
      </c>
      <c r="P338" t="str">
        <f t="shared" si="33"/>
        <v>Match</v>
      </c>
      <c r="Q338" s="8">
        <v>35200</v>
      </c>
      <c r="R338" s="8">
        <v>1760</v>
      </c>
      <c r="S338" s="8">
        <v>33440</v>
      </c>
      <c r="T338" s="8">
        <v>24007.23</v>
      </c>
      <c r="U338" s="8">
        <v>9432.77</v>
      </c>
      <c r="V338" s="8" t="b">
        <f t="shared" si="34"/>
        <v>0</v>
      </c>
      <c r="W338" s="8">
        <f t="shared" si="35"/>
        <v>0</v>
      </c>
      <c r="X338" t="s">
        <v>55</v>
      </c>
      <c r="Y338" t="s">
        <v>70</v>
      </c>
      <c r="Z338" t="s">
        <v>64</v>
      </c>
      <c r="AA338">
        <v>3.5</v>
      </c>
      <c r="AB338" t="s">
        <v>39</v>
      </c>
      <c r="AC338" t="s">
        <v>71</v>
      </c>
    </row>
    <row r="339" spans="1:29" x14ac:dyDescent="0.3">
      <c r="A339" t="s">
        <v>459</v>
      </c>
      <c r="B339" s="6">
        <v>45819</v>
      </c>
      <c r="C339" s="6" t="str">
        <f t="shared" si="30"/>
        <v>12 PM - 4 PM</v>
      </c>
      <c r="D339" s="4">
        <v>0.66319444444444442</v>
      </c>
      <c r="E339" t="s">
        <v>69</v>
      </c>
      <c r="F339" t="s">
        <v>96</v>
      </c>
      <c r="G339" t="s">
        <v>97</v>
      </c>
      <c r="H339" t="s">
        <v>62</v>
      </c>
      <c r="I339" t="s">
        <v>103</v>
      </c>
      <c r="J339" t="s">
        <v>35</v>
      </c>
      <c r="K339">
        <v>1</v>
      </c>
      <c r="L339" s="8">
        <v>2100</v>
      </c>
      <c r="M339" s="8" t="str">
        <f t="shared" si="31"/>
        <v>21-30%</v>
      </c>
      <c r="N339">
        <v>25</v>
      </c>
      <c r="O339" t="str">
        <f t="shared" si="32"/>
        <v>Valid</v>
      </c>
      <c r="P339" t="str">
        <f t="shared" si="33"/>
        <v>Match</v>
      </c>
      <c r="Q339" s="8">
        <v>2100</v>
      </c>
      <c r="R339" s="8">
        <v>525</v>
      </c>
      <c r="S339" s="8">
        <v>1575</v>
      </c>
      <c r="T339" s="8">
        <v>1138.02</v>
      </c>
      <c r="U339" s="8">
        <v>436.98</v>
      </c>
      <c r="V339" s="8" t="b">
        <f t="shared" si="34"/>
        <v>0</v>
      </c>
      <c r="W339" s="8">
        <f t="shared" si="35"/>
        <v>0</v>
      </c>
      <c r="X339" t="s">
        <v>46</v>
      </c>
      <c r="Y339" t="s">
        <v>70</v>
      </c>
      <c r="Z339" t="s">
        <v>80</v>
      </c>
      <c r="AA339">
        <v>4.5</v>
      </c>
      <c r="AB339" t="s">
        <v>48</v>
      </c>
      <c r="AC339" t="s">
        <v>40</v>
      </c>
    </row>
    <row r="340" spans="1:29" x14ac:dyDescent="0.3">
      <c r="A340" t="s">
        <v>460</v>
      </c>
      <c r="B340" s="6">
        <v>45664</v>
      </c>
      <c r="C340" s="6" t="str">
        <f t="shared" si="30"/>
        <v>4 AM - 8 AM</v>
      </c>
      <c r="D340" s="4">
        <v>0.23125000000000001</v>
      </c>
      <c r="E340" t="s">
        <v>32</v>
      </c>
      <c r="F340" t="s">
        <v>24</v>
      </c>
      <c r="G340" t="s">
        <v>61</v>
      </c>
      <c r="H340" t="s">
        <v>53</v>
      </c>
      <c r="I340" t="s">
        <v>44</v>
      </c>
      <c r="J340" t="s">
        <v>35</v>
      </c>
      <c r="K340">
        <v>1</v>
      </c>
      <c r="L340" s="8">
        <v>42000</v>
      </c>
      <c r="M340" s="8" t="str">
        <f t="shared" si="31"/>
        <v>0%</v>
      </c>
      <c r="N340">
        <v>0</v>
      </c>
      <c r="O340" t="str">
        <f t="shared" si="32"/>
        <v>Valid</v>
      </c>
      <c r="P340" t="str">
        <f t="shared" si="33"/>
        <v>Match</v>
      </c>
      <c r="Q340" s="8">
        <v>42000</v>
      </c>
      <c r="R340" s="8">
        <v>0</v>
      </c>
      <c r="S340" s="8">
        <v>42000</v>
      </c>
      <c r="T340" s="8">
        <v>25311.34</v>
      </c>
      <c r="U340" s="8">
        <v>16688.66</v>
      </c>
      <c r="V340" s="8" t="b">
        <f t="shared" si="34"/>
        <v>0</v>
      </c>
      <c r="W340" s="8">
        <f t="shared" si="35"/>
        <v>0</v>
      </c>
      <c r="X340" t="s">
        <v>28</v>
      </c>
      <c r="Y340" t="s">
        <v>70</v>
      </c>
      <c r="Z340" t="s">
        <v>64</v>
      </c>
      <c r="AA340">
        <v>3</v>
      </c>
      <c r="AB340" t="s">
        <v>151</v>
      </c>
      <c r="AC340" t="s">
        <v>86</v>
      </c>
    </row>
    <row r="341" spans="1:29" x14ac:dyDescent="0.3">
      <c r="A341" t="s">
        <v>461</v>
      </c>
      <c r="B341" s="6">
        <v>45662</v>
      </c>
      <c r="C341" s="6" t="str">
        <f t="shared" si="30"/>
        <v>8 AM - 12 PM</v>
      </c>
      <c r="D341" s="4">
        <v>0.49027777777777776</v>
      </c>
      <c r="E341" t="s">
        <v>108</v>
      </c>
      <c r="F341" t="s">
        <v>24</v>
      </c>
      <c r="G341" t="s">
        <v>84</v>
      </c>
      <c r="H341" t="s">
        <v>53</v>
      </c>
      <c r="I341" t="s">
        <v>63</v>
      </c>
      <c r="J341" t="s">
        <v>45</v>
      </c>
      <c r="K341">
        <v>2</v>
      </c>
      <c r="L341" s="8">
        <v>8750</v>
      </c>
      <c r="M341" s="8" t="str">
        <f t="shared" si="31"/>
        <v>1-10%</v>
      </c>
      <c r="N341">
        <v>5</v>
      </c>
      <c r="O341" t="str">
        <f t="shared" si="32"/>
        <v>Valid</v>
      </c>
      <c r="P341" t="str">
        <f t="shared" si="33"/>
        <v>Match</v>
      </c>
      <c r="Q341" s="8">
        <v>17500</v>
      </c>
      <c r="R341" s="8">
        <v>875</v>
      </c>
      <c r="S341" s="8">
        <v>16625</v>
      </c>
      <c r="T341" s="8">
        <v>11930.98</v>
      </c>
      <c r="U341" s="8">
        <v>4694.0200000000004</v>
      </c>
      <c r="V341" s="8" t="b">
        <f t="shared" si="34"/>
        <v>0</v>
      </c>
      <c r="W341" s="8">
        <f t="shared" si="35"/>
        <v>0</v>
      </c>
      <c r="X341" t="s">
        <v>36</v>
      </c>
      <c r="Y341" t="s">
        <v>37</v>
      </c>
      <c r="Z341" t="s">
        <v>1138</v>
      </c>
      <c r="AA341">
        <v>4</v>
      </c>
      <c r="AB341" t="s">
        <v>151</v>
      </c>
      <c r="AC341" t="s">
        <v>30</v>
      </c>
    </row>
    <row r="342" spans="1:29" x14ac:dyDescent="0.3">
      <c r="A342" t="s">
        <v>462</v>
      </c>
      <c r="B342" s="6">
        <v>45895</v>
      </c>
      <c r="C342" s="6" t="str">
        <f t="shared" si="30"/>
        <v>12 PM - 4 PM</v>
      </c>
      <c r="D342" s="4">
        <v>0.58194444444444449</v>
      </c>
      <c r="E342" t="s">
        <v>108</v>
      </c>
      <c r="F342" t="s">
        <v>24</v>
      </c>
      <c r="G342" t="s">
        <v>61</v>
      </c>
      <c r="H342" t="s">
        <v>113</v>
      </c>
      <c r="I342" t="s">
        <v>63</v>
      </c>
      <c r="J342" t="s">
        <v>45</v>
      </c>
      <c r="K342">
        <v>1</v>
      </c>
      <c r="L342" s="8">
        <v>14450</v>
      </c>
      <c r="M342" s="8" t="str">
        <f t="shared" si="31"/>
        <v>0%</v>
      </c>
      <c r="N342">
        <v>0</v>
      </c>
      <c r="O342" t="str">
        <f t="shared" si="32"/>
        <v>Valid</v>
      </c>
      <c r="P342" t="str">
        <f t="shared" si="33"/>
        <v>Match</v>
      </c>
      <c r="Q342" s="8">
        <v>14450</v>
      </c>
      <c r="R342" s="8">
        <v>0</v>
      </c>
      <c r="S342" s="8">
        <v>14450</v>
      </c>
      <c r="T342" s="8">
        <v>8628.6</v>
      </c>
      <c r="U342" s="8">
        <v>5821.4</v>
      </c>
      <c r="V342" s="8" t="b">
        <f t="shared" si="34"/>
        <v>0</v>
      </c>
      <c r="W342" s="8">
        <f t="shared" si="35"/>
        <v>0</v>
      </c>
      <c r="X342" t="s">
        <v>36</v>
      </c>
      <c r="Y342" t="s">
        <v>47</v>
      </c>
      <c r="Z342" t="s">
        <v>56</v>
      </c>
      <c r="AA342">
        <v>3</v>
      </c>
      <c r="AB342" t="s">
        <v>90</v>
      </c>
      <c r="AC342" t="s">
        <v>86</v>
      </c>
    </row>
    <row r="343" spans="1:29" x14ac:dyDescent="0.3">
      <c r="A343" t="s">
        <v>463</v>
      </c>
      <c r="B343" s="6">
        <v>45753</v>
      </c>
      <c r="C343" s="6" t="str">
        <f t="shared" si="30"/>
        <v>8 PM - 12 AM</v>
      </c>
      <c r="D343" s="4">
        <v>0.92222222222222228</v>
      </c>
      <c r="E343" t="s">
        <v>23</v>
      </c>
      <c r="F343" t="s">
        <v>24</v>
      </c>
      <c r="G343" t="s">
        <v>88</v>
      </c>
      <c r="H343" t="s">
        <v>34</v>
      </c>
      <c r="I343" t="s">
        <v>92</v>
      </c>
      <c r="J343" t="s">
        <v>35</v>
      </c>
      <c r="K343">
        <v>2</v>
      </c>
      <c r="L343" s="8">
        <v>3450</v>
      </c>
      <c r="M343" s="8" t="str">
        <f t="shared" si="31"/>
        <v>1-10%</v>
      </c>
      <c r="N343">
        <v>5</v>
      </c>
      <c r="O343" t="str">
        <f t="shared" si="32"/>
        <v>Valid</v>
      </c>
      <c r="P343" t="str">
        <f t="shared" si="33"/>
        <v>Match</v>
      </c>
      <c r="Q343" s="8">
        <v>6900</v>
      </c>
      <c r="R343" s="8">
        <v>345</v>
      </c>
      <c r="S343" s="8">
        <v>6555</v>
      </c>
      <c r="T343" s="8">
        <v>3855.78</v>
      </c>
      <c r="U343" s="8">
        <v>2699.22</v>
      </c>
      <c r="V343" s="8" t="b">
        <f t="shared" si="34"/>
        <v>0</v>
      </c>
      <c r="W343" s="8">
        <f t="shared" si="35"/>
        <v>0</v>
      </c>
      <c r="X343" t="s">
        <v>36</v>
      </c>
      <c r="Y343" t="s">
        <v>70</v>
      </c>
      <c r="Z343" t="s">
        <v>45</v>
      </c>
      <c r="AA343">
        <v>4</v>
      </c>
      <c r="AB343" t="s">
        <v>99</v>
      </c>
      <c r="AC343" t="s">
        <v>30</v>
      </c>
    </row>
    <row r="344" spans="1:29" x14ac:dyDescent="0.3">
      <c r="A344" t="s">
        <v>464</v>
      </c>
      <c r="B344" s="6">
        <v>45866</v>
      </c>
      <c r="C344" s="6" t="str">
        <f t="shared" si="30"/>
        <v>12 PM - 4 PM</v>
      </c>
      <c r="D344" s="4">
        <v>0.58680555555555558</v>
      </c>
      <c r="E344" t="s">
        <v>108</v>
      </c>
      <c r="F344" t="s">
        <v>51</v>
      </c>
      <c r="G344" t="s">
        <v>73</v>
      </c>
      <c r="H344" t="s">
        <v>26</v>
      </c>
      <c r="I344" t="s">
        <v>98</v>
      </c>
      <c r="J344" t="s">
        <v>45</v>
      </c>
      <c r="K344">
        <v>2</v>
      </c>
      <c r="L344" s="8">
        <v>6450</v>
      </c>
      <c r="M344" s="8" t="str">
        <f t="shared" si="31"/>
        <v>1-10%</v>
      </c>
      <c r="N344">
        <v>5</v>
      </c>
      <c r="O344" t="str">
        <f t="shared" si="32"/>
        <v>Valid</v>
      </c>
      <c r="P344" t="str">
        <f t="shared" si="33"/>
        <v>Match</v>
      </c>
      <c r="Q344" s="8">
        <v>12900</v>
      </c>
      <c r="R344" s="8">
        <v>645</v>
      </c>
      <c r="S344" s="8">
        <v>12255</v>
      </c>
      <c r="T344" s="8">
        <v>7572.49</v>
      </c>
      <c r="U344" s="8">
        <v>4682.51</v>
      </c>
      <c r="V344" s="8" t="b">
        <f t="shared" si="34"/>
        <v>0</v>
      </c>
      <c r="W344" s="8">
        <f t="shared" si="35"/>
        <v>0</v>
      </c>
      <c r="X344" t="s">
        <v>36</v>
      </c>
      <c r="Y344" t="s">
        <v>47</v>
      </c>
      <c r="Z344" t="s">
        <v>38</v>
      </c>
      <c r="AA344">
        <v>4</v>
      </c>
      <c r="AB344" t="s">
        <v>29</v>
      </c>
      <c r="AC344" t="s">
        <v>49</v>
      </c>
    </row>
    <row r="345" spans="1:29" x14ac:dyDescent="0.3">
      <c r="A345" t="s">
        <v>465</v>
      </c>
      <c r="B345" s="6">
        <v>46008</v>
      </c>
      <c r="C345" s="6" t="str">
        <f t="shared" si="30"/>
        <v>12 PM - 4 PM</v>
      </c>
      <c r="D345" s="4">
        <v>0.57777777777777772</v>
      </c>
      <c r="E345" t="s">
        <v>60</v>
      </c>
      <c r="F345" t="s">
        <v>24</v>
      </c>
      <c r="G345" t="s">
        <v>110</v>
      </c>
      <c r="H345" t="s">
        <v>74</v>
      </c>
      <c r="I345" t="s">
        <v>54</v>
      </c>
      <c r="J345" t="s">
        <v>85</v>
      </c>
      <c r="K345">
        <v>5</v>
      </c>
      <c r="L345" s="8">
        <v>4600</v>
      </c>
      <c r="M345" s="8" t="str">
        <f t="shared" si="31"/>
        <v>21-30%</v>
      </c>
      <c r="N345">
        <v>30</v>
      </c>
      <c r="O345" t="str">
        <f t="shared" si="32"/>
        <v>Valid</v>
      </c>
      <c r="P345" t="str">
        <f t="shared" si="33"/>
        <v>Match</v>
      </c>
      <c r="Q345" s="8">
        <v>23000</v>
      </c>
      <c r="R345" s="8">
        <v>6900</v>
      </c>
      <c r="S345" s="8">
        <v>16100</v>
      </c>
      <c r="T345" s="8">
        <v>12329.8</v>
      </c>
      <c r="U345" s="8">
        <v>3770.2</v>
      </c>
      <c r="V345" s="8" t="b">
        <f t="shared" si="34"/>
        <v>0</v>
      </c>
      <c r="W345" s="8">
        <f t="shared" si="35"/>
        <v>0</v>
      </c>
      <c r="X345" t="s">
        <v>36</v>
      </c>
      <c r="Y345" t="s">
        <v>65</v>
      </c>
      <c r="Z345" t="s">
        <v>80</v>
      </c>
      <c r="AA345">
        <v>3.5</v>
      </c>
      <c r="AB345" t="s">
        <v>39</v>
      </c>
      <c r="AC345" t="s">
        <v>40</v>
      </c>
    </row>
    <row r="346" spans="1:29" x14ac:dyDescent="0.3">
      <c r="A346" t="s">
        <v>466</v>
      </c>
      <c r="B346" s="6">
        <v>45709</v>
      </c>
      <c r="C346" s="6" t="str">
        <f t="shared" si="30"/>
        <v>4 AM - 8 AM</v>
      </c>
      <c r="D346" s="4">
        <v>0.2</v>
      </c>
      <c r="E346" t="s">
        <v>622</v>
      </c>
      <c r="F346" t="s">
        <v>24</v>
      </c>
      <c r="G346" t="s">
        <v>88</v>
      </c>
      <c r="H346" t="s">
        <v>26</v>
      </c>
      <c r="I346" t="s">
        <v>98</v>
      </c>
      <c r="J346" t="s">
        <v>163</v>
      </c>
      <c r="K346">
        <v>1</v>
      </c>
      <c r="L346" s="8">
        <v>3250</v>
      </c>
      <c r="M346" s="8" t="str">
        <f t="shared" si="31"/>
        <v>1-10%</v>
      </c>
      <c r="N346">
        <v>5</v>
      </c>
      <c r="O346" t="str">
        <f t="shared" si="32"/>
        <v>Valid</v>
      </c>
      <c r="P346" t="str">
        <f t="shared" si="33"/>
        <v>Match</v>
      </c>
      <c r="Q346" s="8">
        <v>3250</v>
      </c>
      <c r="R346" s="8">
        <v>162.5</v>
      </c>
      <c r="S346" s="8">
        <v>3087.5</v>
      </c>
      <c r="T346" s="8">
        <v>1751.98</v>
      </c>
      <c r="U346" s="8">
        <v>1335.52</v>
      </c>
      <c r="V346" s="8" t="b">
        <f t="shared" si="34"/>
        <v>0</v>
      </c>
      <c r="W346" s="8">
        <f t="shared" si="35"/>
        <v>0</v>
      </c>
      <c r="X346" t="s">
        <v>36</v>
      </c>
      <c r="Y346" t="s">
        <v>89</v>
      </c>
      <c r="Z346" t="s">
        <v>64</v>
      </c>
      <c r="AA346" t="s">
        <v>1139</v>
      </c>
      <c r="AB346" t="s">
        <v>66</v>
      </c>
      <c r="AC346" t="s">
        <v>58</v>
      </c>
    </row>
    <row r="347" spans="1:29" x14ac:dyDescent="0.3">
      <c r="A347" t="s">
        <v>467</v>
      </c>
      <c r="B347" s="6">
        <v>45809</v>
      </c>
      <c r="C347" s="6" t="str">
        <f t="shared" si="30"/>
        <v>8 AM - 12 PM</v>
      </c>
      <c r="D347" s="4">
        <v>0.48541666666666666</v>
      </c>
      <c r="E347" t="s">
        <v>23</v>
      </c>
      <c r="F347" t="s">
        <v>51</v>
      </c>
      <c r="G347" t="s">
        <v>153</v>
      </c>
      <c r="H347" t="s">
        <v>113</v>
      </c>
      <c r="I347" t="s">
        <v>98</v>
      </c>
      <c r="J347" t="s">
        <v>35</v>
      </c>
      <c r="K347">
        <v>2</v>
      </c>
      <c r="L347" s="8">
        <v>3250</v>
      </c>
      <c r="M347" s="8" t="str">
        <f t="shared" si="31"/>
        <v>21-30%</v>
      </c>
      <c r="N347">
        <v>25</v>
      </c>
      <c r="O347" t="str">
        <f t="shared" si="32"/>
        <v>Valid</v>
      </c>
      <c r="P347" t="str">
        <f t="shared" si="33"/>
        <v>Match</v>
      </c>
      <c r="Q347" s="8">
        <v>6500</v>
      </c>
      <c r="R347" s="8">
        <v>1625</v>
      </c>
      <c r="S347" s="8">
        <v>4875</v>
      </c>
      <c r="T347" s="8">
        <v>4690.07</v>
      </c>
      <c r="U347" s="8">
        <v>184.93</v>
      </c>
      <c r="V347" s="8" t="b">
        <f t="shared" si="34"/>
        <v>0</v>
      </c>
      <c r="W347" s="8">
        <f t="shared" si="35"/>
        <v>0</v>
      </c>
      <c r="X347" t="s">
        <v>28</v>
      </c>
      <c r="Y347" t="s">
        <v>65</v>
      </c>
      <c r="Z347" t="s">
        <v>80</v>
      </c>
      <c r="AA347">
        <v>4</v>
      </c>
      <c r="AB347" t="s">
        <v>48</v>
      </c>
      <c r="AC347" t="s">
        <v>30</v>
      </c>
    </row>
    <row r="348" spans="1:29" x14ac:dyDescent="0.3">
      <c r="A348" t="s">
        <v>468</v>
      </c>
      <c r="B348" s="6">
        <v>45816</v>
      </c>
      <c r="C348" s="6" t="str">
        <f t="shared" si="30"/>
        <v>12 PM - 4 PM</v>
      </c>
      <c r="D348" s="4">
        <v>0.60486111111111107</v>
      </c>
      <c r="E348" t="s">
        <v>69</v>
      </c>
      <c r="F348" t="s">
        <v>24</v>
      </c>
      <c r="G348" t="s">
        <v>88</v>
      </c>
      <c r="H348" t="s">
        <v>26</v>
      </c>
      <c r="I348" t="s">
        <v>92</v>
      </c>
      <c r="J348" t="s">
        <v>78</v>
      </c>
      <c r="K348">
        <v>1</v>
      </c>
      <c r="L348" s="8">
        <v>1550</v>
      </c>
      <c r="M348" s="8" t="str">
        <f t="shared" si="31"/>
        <v>0%</v>
      </c>
      <c r="N348">
        <v>0</v>
      </c>
      <c r="O348" t="str">
        <f t="shared" si="32"/>
        <v>Valid</v>
      </c>
      <c r="P348" t="str">
        <f t="shared" si="33"/>
        <v>Match</v>
      </c>
      <c r="Q348" s="8">
        <v>1550</v>
      </c>
      <c r="R348" s="8">
        <v>0</v>
      </c>
      <c r="S348" s="8">
        <v>1550</v>
      </c>
      <c r="T348" s="8">
        <v>889.75</v>
      </c>
      <c r="U348" s="8">
        <v>660.25</v>
      </c>
      <c r="V348" s="8" t="b">
        <f t="shared" si="34"/>
        <v>0</v>
      </c>
      <c r="W348" s="8">
        <f t="shared" si="35"/>
        <v>0</v>
      </c>
      <c r="X348" t="s">
        <v>79</v>
      </c>
      <c r="Y348" t="s">
        <v>70</v>
      </c>
      <c r="Z348" t="s">
        <v>45</v>
      </c>
      <c r="AA348">
        <v>3.5</v>
      </c>
      <c r="AB348" t="s">
        <v>48</v>
      </c>
      <c r="AC348" t="s">
        <v>30</v>
      </c>
    </row>
    <row r="349" spans="1:29" x14ac:dyDescent="0.3">
      <c r="A349" t="s">
        <v>469</v>
      </c>
      <c r="B349" s="6">
        <v>45897</v>
      </c>
      <c r="C349" s="6" t="str">
        <f t="shared" si="30"/>
        <v>8 AM - 12 PM</v>
      </c>
      <c r="D349" s="4">
        <v>0.37430555555555556</v>
      </c>
      <c r="E349" t="s">
        <v>32</v>
      </c>
      <c r="F349" t="s">
        <v>24</v>
      </c>
      <c r="G349" t="s">
        <v>84</v>
      </c>
      <c r="H349" t="s">
        <v>62</v>
      </c>
      <c r="I349" t="s">
        <v>98</v>
      </c>
      <c r="J349" t="s">
        <v>35</v>
      </c>
      <c r="K349">
        <v>1</v>
      </c>
      <c r="L349" s="8">
        <v>20950</v>
      </c>
      <c r="M349" s="8" t="str">
        <f t="shared" si="31"/>
        <v>21-30%</v>
      </c>
      <c r="N349">
        <v>30</v>
      </c>
      <c r="O349" t="str">
        <f t="shared" si="32"/>
        <v>Valid</v>
      </c>
      <c r="P349" t="str">
        <f t="shared" si="33"/>
        <v>Match</v>
      </c>
      <c r="Q349" s="8">
        <v>20950</v>
      </c>
      <c r="R349" s="8">
        <v>6285</v>
      </c>
      <c r="S349" s="8">
        <v>14665</v>
      </c>
      <c r="T349" s="8">
        <v>14314.84</v>
      </c>
      <c r="U349" s="8">
        <v>350.16</v>
      </c>
      <c r="V349" s="8" t="b">
        <f t="shared" si="34"/>
        <v>0</v>
      </c>
      <c r="W349" s="8">
        <f t="shared" si="35"/>
        <v>0</v>
      </c>
      <c r="X349" t="s">
        <v>55</v>
      </c>
      <c r="Y349" t="s">
        <v>70</v>
      </c>
      <c r="Z349" t="s">
        <v>56</v>
      </c>
      <c r="AA349">
        <v>4.5</v>
      </c>
      <c r="AB349" t="s">
        <v>90</v>
      </c>
      <c r="AC349" t="s">
        <v>67</v>
      </c>
    </row>
    <row r="350" spans="1:29" x14ac:dyDescent="0.3">
      <c r="A350" t="s">
        <v>470</v>
      </c>
      <c r="B350" s="6">
        <v>45952</v>
      </c>
      <c r="C350" s="6" t="str">
        <f t="shared" si="30"/>
        <v>4 AM - 8 AM</v>
      </c>
      <c r="D350" s="4">
        <v>0.27847222222222223</v>
      </c>
      <c r="E350" t="s">
        <v>23</v>
      </c>
      <c r="F350" t="s">
        <v>51</v>
      </c>
      <c r="G350" t="s">
        <v>52</v>
      </c>
      <c r="H350" t="s">
        <v>74</v>
      </c>
      <c r="I350" t="s">
        <v>44</v>
      </c>
      <c r="J350" t="s">
        <v>35</v>
      </c>
      <c r="K350">
        <v>2</v>
      </c>
      <c r="L350" s="8">
        <v>28100</v>
      </c>
      <c r="M350" s="8" t="str">
        <f t="shared" si="31"/>
        <v>0%</v>
      </c>
      <c r="N350">
        <v>0</v>
      </c>
      <c r="O350" t="str">
        <f t="shared" si="32"/>
        <v>Valid</v>
      </c>
      <c r="P350" t="str">
        <f t="shared" si="33"/>
        <v>Match</v>
      </c>
      <c r="Q350" s="8">
        <v>56200</v>
      </c>
      <c r="R350" s="8">
        <v>0</v>
      </c>
      <c r="S350" s="8">
        <v>56200</v>
      </c>
      <c r="T350" s="8">
        <v>29707.97</v>
      </c>
      <c r="U350" s="8">
        <v>26492.03</v>
      </c>
      <c r="V350" s="8" t="b">
        <f t="shared" si="34"/>
        <v>0</v>
      </c>
      <c r="W350" s="8">
        <f t="shared" si="35"/>
        <v>0</v>
      </c>
      <c r="X350" t="s">
        <v>55</v>
      </c>
      <c r="Y350" t="s">
        <v>89</v>
      </c>
      <c r="Z350" t="s">
        <v>56</v>
      </c>
      <c r="AA350">
        <v>3</v>
      </c>
      <c r="AB350" t="s">
        <v>57</v>
      </c>
      <c r="AC350" t="s">
        <v>40</v>
      </c>
    </row>
    <row r="351" spans="1:29" x14ac:dyDescent="0.3">
      <c r="A351" t="s">
        <v>471</v>
      </c>
      <c r="B351" s="6">
        <v>45973</v>
      </c>
      <c r="C351" s="6" t="str">
        <f t="shared" si="30"/>
        <v>12 AM - 4 AM</v>
      </c>
      <c r="D351" s="4">
        <v>6.9444444444444441E-3</v>
      </c>
      <c r="E351" t="s">
        <v>622</v>
      </c>
      <c r="F351" t="s">
        <v>24</v>
      </c>
      <c r="G351" t="s">
        <v>33</v>
      </c>
      <c r="H351" t="s">
        <v>74</v>
      </c>
      <c r="I351" t="s">
        <v>27</v>
      </c>
      <c r="J351" t="s">
        <v>163</v>
      </c>
      <c r="K351">
        <v>4</v>
      </c>
      <c r="L351" s="8">
        <v>1350</v>
      </c>
      <c r="M351" s="8" t="str">
        <f t="shared" si="31"/>
        <v>11-20%</v>
      </c>
      <c r="N351">
        <v>15</v>
      </c>
      <c r="O351" t="str">
        <f t="shared" si="32"/>
        <v>Valid</v>
      </c>
      <c r="P351" t="str">
        <f t="shared" si="33"/>
        <v>Match</v>
      </c>
      <c r="Q351" s="8">
        <v>5400</v>
      </c>
      <c r="R351" s="8">
        <v>810</v>
      </c>
      <c r="S351" s="8">
        <v>4590</v>
      </c>
      <c r="T351" s="8">
        <v>3049.33</v>
      </c>
      <c r="U351" s="8">
        <v>1540.67</v>
      </c>
      <c r="V351" s="8" t="b">
        <f t="shared" si="34"/>
        <v>0</v>
      </c>
      <c r="W351" s="8">
        <f t="shared" si="35"/>
        <v>0</v>
      </c>
      <c r="X351" t="s">
        <v>46</v>
      </c>
      <c r="Y351" t="s">
        <v>70</v>
      </c>
      <c r="Z351" t="s">
        <v>38</v>
      </c>
      <c r="AA351">
        <v>4</v>
      </c>
      <c r="AB351" t="s">
        <v>75</v>
      </c>
      <c r="AC351" t="s">
        <v>40</v>
      </c>
    </row>
    <row r="352" spans="1:29" x14ac:dyDescent="0.3">
      <c r="A352" t="s">
        <v>472</v>
      </c>
      <c r="B352" s="6">
        <v>45699</v>
      </c>
      <c r="C352" s="6" t="str">
        <f t="shared" si="30"/>
        <v>8 AM - 12 PM</v>
      </c>
      <c r="D352" s="4">
        <v>0.46805555555555556</v>
      </c>
      <c r="E352" t="s">
        <v>622</v>
      </c>
      <c r="F352" t="s">
        <v>96</v>
      </c>
      <c r="G352" t="s">
        <v>115</v>
      </c>
      <c r="H352" t="s">
        <v>26</v>
      </c>
      <c r="I352" t="s">
        <v>44</v>
      </c>
      <c r="J352" t="s">
        <v>35</v>
      </c>
      <c r="K352">
        <v>1</v>
      </c>
      <c r="L352" s="8">
        <v>6450</v>
      </c>
      <c r="M352" s="8" t="str">
        <f t="shared" si="31"/>
        <v>1-10%</v>
      </c>
      <c r="N352">
        <v>10</v>
      </c>
      <c r="O352" t="str">
        <f t="shared" si="32"/>
        <v>Valid</v>
      </c>
      <c r="P352" t="str">
        <f t="shared" si="33"/>
        <v>Match</v>
      </c>
      <c r="Q352" s="8">
        <v>6450</v>
      </c>
      <c r="R352" s="8">
        <v>645</v>
      </c>
      <c r="S352" s="8">
        <v>5805</v>
      </c>
      <c r="T352" s="8">
        <v>3688.57</v>
      </c>
      <c r="U352" s="8">
        <v>2116.4299999999998</v>
      </c>
      <c r="V352" s="8" t="b">
        <f t="shared" si="34"/>
        <v>0</v>
      </c>
      <c r="W352" s="8">
        <f t="shared" si="35"/>
        <v>0</v>
      </c>
      <c r="X352" t="s">
        <v>46</v>
      </c>
      <c r="Y352" t="s">
        <v>89</v>
      </c>
      <c r="Z352" t="s">
        <v>38</v>
      </c>
      <c r="AA352">
        <v>3.5</v>
      </c>
      <c r="AB352" t="s">
        <v>66</v>
      </c>
      <c r="AC352" t="s">
        <v>86</v>
      </c>
    </row>
    <row r="353" spans="1:29" x14ac:dyDescent="0.3">
      <c r="A353" t="s">
        <v>473</v>
      </c>
      <c r="B353" s="6">
        <v>45826</v>
      </c>
      <c r="C353" s="6" t="str">
        <f t="shared" si="30"/>
        <v>4 AM - 8 AM</v>
      </c>
      <c r="D353" s="4">
        <v>0.23194444444444445</v>
      </c>
      <c r="E353" t="s">
        <v>32</v>
      </c>
      <c r="F353" t="s">
        <v>51</v>
      </c>
      <c r="G353" t="s">
        <v>140</v>
      </c>
      <c r="H353" t="s">
        <v>34</v>
      </c>
      <c r="I353" t="s">
        <v>63</v>
      </c>
      <c r="J353" t="s">
        <v>35</v>
      </c>
      <c r="K353">
        <v>3</v>
      </c>
      <c r="L353" s="8">
        <v>6250</v>
      </c>
      <c r="M353" s="8" t="str">
        <f t="shared" si="31"/>
        <v>11-20%</v>
      </c>
      <c r="N353">
        <v>15</v>
      </c>
      <c r="O353" t="str">
        <f t="shared" si="32"/>
        <v>Valid</v>
      </c>
      <c r="P353" t="str">
        <f t="shared" si="33"/>
        <v>Match</v>
      </c>
      <c r="Q353" s="8">
        <v>18750</v>
      </c>
      <c r="R353" s="8">
        <v>2812.5</v>
      </c>
      <c r="S353" s="8">
        <v>15937.5</v>
      </c>
      <c r="T353" s="8">
        <v>12063.11</v>
      </c>
      <c r="U353" s="8">
        <v>3874.39</v>
      </c>
      <c r="V353" s="8" t="b">
        <f t="shared" si="34"/>
        <v>0</v>
      </c>
      <c r="W353" s="8">
        <f t="shared" si="35"/>
        <v>0</v>
      </c>
      <c r="X353" t="s">
        <v>28</v>
      </c>
      <c r="Y353" t="s">
        <v>37</v>
      </c>
      <c r="Z353" t="s">
        <v>45</v>
      </c>
      <c r="AA353">
        <v>4</v>
      </c>
      <c r="AB353" t="s">
        <v>48</v>
      </c>
      <c r="AC353" t="s">
        <v>40</v>
      </c>
    </row>
    <row r="354" spans="1:29" x14ac:dyDescent="0.3">
      <c r="A354" t="s">
        <v>474</v>
      </c>
      <c r="B354" s="6">
        <v>45802</v>
      </c>
      <c r="C354" s="6" t="str">
        <f t="shared" si="30"/>
        <v>8 AM - 12 PM</v>
      </c>
      <c r="D354" s="4">
        <v>0.3888888888888889</v>
      </c>
      <c r="E354" t="s">
        <v>622</v>
      </c>
      <c r="F354" t="s">
        <v>24</v>
      </c>
      <c r="G354" t="s">
        <v>42</v>
      </c>
      <c r="H354" t="s">
        <v>102</v>
      </c>
      <c r="I354" t="s">
        <v>54</v>
      </c>
      <c r="J354" t="s">
        <v>45</v>
      </c>
      <c r="K354">
        <v>3</v>
      </c>
      <c r="L354" s="8">
        <v>37200</v>
      </c>
      <c r="M354" s="8" t="str">
        <f t="shared" si="31"/>
        <v>1-10%</v>
      </c>
      <c r="N354">
        <v>5</v>
      </c>
      <c r="O354" t="str">
        <f t="shared" si="32"/>
        <v>Valid</v>
      </c>
      <c r="P354" t="str">
        <f t="shared" si="33"/>
        <v>Match</v>
      </c>
      <c r="Q354" s="8">
        <v>111600</v>
      </c>
      <c r="R354" s="8">
        <v>5580</v>
      </c>
      <c r="S354" s="8">
        <v>106020</v>
      </c>
      <c r="T354" s="8">
        <v>79563.89</v>
      </c>
      <c r="U354" s="8">
        <v>26456.11</v>
      </c>
      <c r="V354" s="8" t="b">
        <f t="shared" si="34"/>
        <v>0</v>
      </c>
      <c r="W354" s="8">
        <f t="shared" si="35"/>
        <v>0</v>
      </c>
      <c r="X354" t="s">
        <v>55</v>
      </c>
      <c r="Y354" t="s">
        <v>70</v>
      </c>
      <c r="Z354" t="s">
        <v>38</v>
      </c>
      <c r="AA354">
        <v>4</v>
      </c>
      <c r="AB354" t="s">
        <v>111</v>
      </c>
      <c r="AC354" t="s">
        <v>30</v>
      </c>
    </row>
    <row r="355" spans="1:29" x14ac:dyDescent="0.3">
      <c r="A355" t="s">
        <v>475</v>
      </c>
      <c r="B355" s="6">
        <v>45958</v>
      </c>
      <c r="C355" s="6" t="str">
        <f t="shared" si="30"/>
        <v>12 AM - 4 AM</v>
      </c>
      <c r="D355" s="4">
        <v>2.0833333333333332E-2</v>
      </c>
      <c r="E355" t="s">
        <v>622</v>
      </c>
      <c r="F355" t="s">
        <v>24</v>
      </c>
      <c r="G355" t="s">
        <v>33</v>
      </c>
      <c r="H355" t="s">
        <v>34</v>
      </c>
      <c r="I355" t="s">
        <v>63</v>
      </c>
      <c r="J355" t="s">
        <v>35</v>
      </c>
      <c r="K355">
        <v>4</v>
      </c>
      <c r="L355" s="8">
        <v>3600</v>
      </c>
      <c r="M355" s="8" t="str">
        <f t="shared" si="31"/>
        <v>11-20%</v>
      </c>
      <c r="N355">
        <v>15</v>
      </c>
      <c r="O355" t="str">
        <f t="shared" si="32"/>
        <v>Valid</v>
      </c>
      <c r="P355" t="str">
        <f t="shared" si="33"/>
        <v>Match</v>
      </c>
      <c r="Q355" s="8">
        <v>14400</v>
      </c>
      <c r="R355" s="8">
        <v>2160</v>
      </c>
      <c r="S355" s="8">
        <v>12240</v>
      </c>
      <c r="T355" s="8">
        <v>9647.2900000000009</v>
      </c>
      <c r="U355" s="8">
        <v>2592.71</v>
      </c>
      <c r="V355" s="8" t="b">
        <f t="shared" si="34"/>
        <v>0</v>
      </c>
      <c r="W355" s="8">
        <f t="shared" si="35"/>
        <v>0</v>
      </c>
      <c r="X355" t="s">
        <v>79</v>
      </c>
      <c r="Y355" t="s">
        <v>104</v>
      </c>
      <c r="Z355" t="s">
        <v>56</v>
      </c>
      <c r="AA355">
        <v>5</v>
      </c>
      <c r="AB355" t="s">
        <v>57</v>
      </c>
      <c r="AC355" t="s">
        <v>86</v>
      </c>
    </row>
    <row r="356" spans="1:29" x14ac:dyDescent="0.3">
      <c r="A356" t="s">
        <v>476</v>
      </c>
      <c r="B356" s="6">
        <v>45898</v>
      </c>
      <c r="C356" s="6" t="str">
        <f t="shared" si="30"/>
        <v>4 PM - 8 PM</v>
      </c>
      <c r="D356" s="4">
        <v>0.68819444444444444</v>
      </c>
      <c r="E356" t="s">
        <v>77</v>
      </c>
      <c r="F356" t="s">
        <v>51</v>
      </c>
      <c r="G356" t="s">
        <v>140</v>
      </c>
      <c r="H356" t="s">
        <v>113</v>
      </c>
      <c r="I356" t="s">
        <v>98</v>
      </c>
      <c r="J356" t="s">
        <v>64</v>
      </c>
      <c r="K356">
        <v>1</v>
      </c>
      <c r="L356" s="8">
        <v>3550</v>
      </c>
      <c r="M356" s="8" t="str">
        <f t="shared" si="31"/>
        <v>1-10%</v>
      </c>
      <c r="N356">
        <v>10</v>
      </c>
      <c r="O356" t="str">
        <f t="shared" si="32"/>
        <v>Valid</v>
      </c>
      <c r="P356" t="str">
        <f t="shared" si="33"/>
        <v>Match</v>
      </c>
      <c r="Q356" s="8">
        <v>3550</v>
      </c>
      <c r="R356" s="8">
        <v>355</v>
      </c>
      <c r="S356" s="8">
        <v>3195</v>
      </c>
      <c r="T356" s="8">
        <v>2563.9899999999998</v>
      </c>
      <c r="U356" s="8">
        <v>631.01</v>
      </c>
      <c r="V356" s="8" t="b">
        <f t="shared" si="34"/>
        <v>0</v>
      </c>
      <c r="W356" s="8">
        <f t="shared" si="35"/>
        <v>0</v>
      </c>
      <c r="X356" t="s">
        <v>46</v>
      </c>
      <c r="Y356" t="s">
        <v>65</v>
      </c>
      <c r="Z356" t="s">
        <v>38</v>
      </c>
      <c r="AA356">
        <v>4</v>
      </c>
      <c r="AB356" t="s">
        <v>90</v>
      </c>
      <c r="AC356" t="s">
        <v>58</v>
      </c>
    </row>
    <row r="357" spans="1:29" x14ac:dyDescent="0.3">
      <c r="A357" t="s">
        <v>477</v>
      </c>
      <c r="B357" s="6">
        <v>45892</v>
      </c>
      <c r="C357" s="6" t="str">
        <f t="shared" si="30"/>
        <v>8 PM - 12 AM</v>
      </c>
      <c r="D357" s="4">
        <v>0.83402777777777781</v>
      </c>
      <c r="E357" t="s">
        <v>622</v>
      </c>
      <c r="F357" t="s">
        <v>96</v>
      </c>
      <c r="G357" t="s">
        <v>115</v>
      </c>
      <c r="H357" t="s">
        <v>74</v>
      </c>
      <c r="I357" t="s">
        <v>103</v>
      </c>
      <c r="J357" t="s">
        <v>78</v>
      </c>
      <c r="K357">
        <v>3</v>
      </c>
      <c r="L357" s="8">
        <v>9400</v>
      </c>
      <c r="M357" s="8" t="str">
        <f t="shared" si="31"/>
        <v>21-30%</v>
      </c>
      <c r="N357">
        <v>25</v>
      </c>
      <c r="O357" t="str">
        <f t="shared" si="32"/>
        <v>Valid</v>
      </c>
      <c r="P357" t="str">
        <f t="shared" si="33"/>
        <v>Match</v>
      </c>
      <c r="Q357" s="8">
        <v>28200</v>
      </c>
      <c r="R357" s="8">
        <v>7050</v>
      </c>
      <c r="S357" s="8">
        <v>21150</v>
      </c>
      <c r="T357" s="8">
        <v>17899.080000000002</v>
      </c>
      <c r="U357" s="8">
        <v>3250.92</v>
      </c>
      <c r="V357" s="8" t="b">
        <f t="shared" si="34"/>
        <v>0</v>
      </c>
      <c r="W357" s="8">
        <f t="shared" si="35"/>
        <v>0</v>
      </c>
      <c r="X357" t="s">
        <v>46</v>
      </c>
      <c r="Y357" t="s">
        <v>89</v>
      </c>
      <c r="Z357" t="s">
        <v>80</v>
      </c>
      <c r="AA357">
        <v>4</v>
      </c>
      <c r="AB357" t="s">
        <v>90</v>
      </c>
      <c r="AC357" t="s">
        <v>71</v>
      </c>
    </row>
    <row r="358" spans="1:29" x14ac:dyDescent="0.3">
      <c r="A358" t="s">
        <v>478</v>
      </c>
      <c r="B358" s="6">
        <v>45822</v>
      </c>
      <c r="C358" s="6" t="str">
        <f t="shared" si="30"/>
        <v>12 AM - 4 AM</v>
      </c>
      <c r="D358" s="4">
        <v>6.2500000000000003E-3</v>
      </c>
      <c r="E358" t="s">
        <v>622</v>
      </c>
      <c r="F358" t="s">
        <v>24</v>
      </c>
      <c r="G358" t="s">
        <v>110</v>
      </c>
      <c r="H358" t="s">
        <v>102</v>
      </c>
      <c r="I358" t="s">
        <v>92</v>
      </c>
      <c r="J358" t="s">
        <v>78</v>
      </c>
      <c r="K358">
        <v>1</v>
      </c>
      <c r="L358" s="8">
        <v>4650</v>
      </c>
      <c r="M358" s="8" t="str">
        <f t="shared" si="31"/>
        <v>11-20%</v>
      </c>
      <c r="N358">
        <v>20</v>
      </c>
      <c r="O358" t="str">
        <f t="shared" si="32"/>
        <v>Valid</v>
      </c>
      <c r="P358" t="str">
        <f t="shared" si="33"/>
        <v>Match</v>
      </c>
      <c r="Q358" s="8">
        <v>4650</v>
      </c>
      <c r="R358" s="8">
        <v>930</v>
      </c>
      <c r="S358" s="8">
        <v>3720</v>
      </c>
      <c r="T358" s="8">
        <v>2921.31</v>
      </c>
      <c r="U358" s="8">
        <v>798.69</v>
      </c>
      <c r="V358" s="8" t="b">
        <f t="shared" si="34"/>
        <v>0</v>
      </c>
      <c r="W358" s="8">
        <f t="shared" si="35"/>
        <v>0</v>
      </c>
      <c r="X358" t="s">
        <v>36</v>
      </c>
      <c r="Y358" t="s">
        <v>65</v>
      </c>
      <c r="Z358" t="s">
        <v>38</v>
      </c>
      <c r="AA358">
        <v>4</v>
      </c>
      <c r="AB358" t="s">
        <v>48</v>
      </c>
      <c r="AC358" t="s">
        <v>71</v>
      </c>
    </row>
    <row r="359" spans="1:29" x14ac:dyDescent="0.3">
      <c r="A359" t="s">
        <v>479</v>
      </c>
      <c r="B359" s="6">
        <v>45666</v>
      </c>
      <c r="C359" s="6" t="str">
        <f t="shared" si="30"/>
        <v>4 AM - 8 AM</v>
      </c>
      <c r="D359" s="4">
        <v>0.30069444444444443</v>
      </c>
      <c r="E359" t="s">
        <v>622</v>
      </c>
      <c r="F359" t="s">
        <v>24</v>
      </c>
      <c r="G359" t="s">
        <v>61</v>
      </c>
      <c r="H359" t="s">
        <v>62</v>
      </c>
      <c r="I359" t="s">
        <v>44</v>
      </c>
      <c r="J359" t="s">
        <v>35</v>
      </c>
      <c r="K359">
        <v>2</v>
      </c>
      <c r="L359" s="8">
        <v>8200</v>
      </c>
      <c r="M359" s="8" t="str">
        <f t="shared" si="31"/>
        <v>11-20%</v>
      </c>
      <c r="N359">
        <v>20</v>
      </c>
      <c r="O359" t="str">
        <f t="shared" si="32"/>
        <v>Valid</v>
      </c>
      <c r="P359" t="str">
        <f t="shared" si="33"/>
        <v>Match</v>
      </c>
      <c r="Q359" s="8">
        <v>16400</v>
      </c>
      <c r="R359" s="8">
        <v>3280</v>
      </c>
      <c r="S359" s="8">
        <v>13120</v>
      </c>
      <c r="T359" s="8">
        <v>11291.92</v>
      </c>
      <c r="U359" s="8">
        <v>1828.08</v>
      </c>
      <c r="V359" s="8" t="b">
        <f t="shared" si="34"/>
        <v>0</v>
      </c>
      <c r="W359" s="8">
        <f t="shared" si="35"/>
        <v>0</v>
      </c>
      <c r="X359" t="s">
        <v>28</v>
      </c>
      <c r="Y359" t="s">
        <v>104</v>
      </c>
      <c r="Z359" t="s">
        <v>85</v>
      </c>
      <c r="AA359">
        <v>3.5</v>
      </c>
      <c r="AB359" t="s">
        <v>151</v>
      </c>
      <c r="AC359" t="s">
        <v>67</v>
      </c>
    </row>
    <row r="360" spans="1:29" x14ac:dyDescent="0.3">
      <c r="A360" t="s">
        <v>480</v>
      </c>
      <c r="B360" s="6">
        <v>45680</v>
      </c>
      <c r="C360" s="6" t="str">
        <f t="shared" si="30"/>
        <v>4 AM - 8 AM</v>
      </c>
      <c r="D360" s="4">
        <v>0.17430555555555555</v>
      </c>
      <c r="E360" t="s">
        <v>108</v>
      </c>
      <c r="F360" t="s">
        <v>24</v>
      </c>
      <c r="G360" t="s">
        <v>88</v>
      </c>
      <c r="H360" t="s">
        <v>62</v>
      </c>
      <c r="I360" t="s">
        <v>63</v>
      </c>
      <c r="J360" t="s">
        <v>35</v>
      </c>
      <c r="K360">
        <v>1</v>
      </c>
      <c r="L360" s="8">
        <v>3400</v>
      </c>
      <c r="M360" s="8" t="str">
        <f t="shared" si="31"/>
        <v>11-20%</v>
      </c>
      <c r="N360">
        <v>20</v>
      </c>
      <c r="O360" t="str">
        <f t="shared" si="32"/>
        <v>Valid</v>
      </c>
      <c r="P360" t="str">
        <f t="shared" si="33"/>
        <v>Match</v>
      </c>
      <c r="Q360" s="8">
        <v>3400</v>
      </c>
      <c r="R360" s="8">
        <v>680</v>
      </c>
      <c r="S360" s="8">
        <v>2720</v>
      </c>
      <c r="T360" s="8">
        <v>2260.85</v>
      </c>
      <c r="U360" s="8">
        <v>459.15</v>
      </c>
      <c r="V360" s="8" t="b">
        <f t="shared" si="34"/>
        <v>0</v>
      </c>
      <c r="W360" s="8">
        <f t="shared" si="35"/>
        <v>0</v>
      </c>
      <c r="X360" t="s">
        <v>55</v>
      </c>
      <c r="Y360" t="s">
        <v>65</v>
      </c>
      <c r="Z360" t="s">
        <v>38</v>
      </c>
      <c r="AA360">
        <v>3</v>
      </c>
      <c r="AB360" t="s">
        <v>151</v>
      </c>
      <c r="AC360" t="s">
        <v>67</v>
      </c>
    </row>
    <row r="361" spans="1:29" x14ac:dyDescent="0.3">
      <c r="A361" t="s">
        <v>481</v>
      </c>
      <c r="B361" s="6">
        <v>45789</v>
      </c>
      <c r="C361" s="6" t="str">
        <f t="shared" si="30"/>
        <v>8 PM - 12 AM</v>
      </c>
      <c r="D361" s="4">
        <v>0.86111111111111116</v>
      </c>
      <c r="E361" t="s">
        <v>69</v>
      </c>
      <c r="F361" t="s">
        <v>51</v>
      </c>
      <c r="G361" t="s">
        <v>122</v>
      </c>
      <c r="H361" t="s">
        <v>102</v>
      </c>
      <c r="I361" t="s">
        <v>98</v>
      </c>
      <c r="J361" t="s">
        <v>45</v>
      </c>
      <c r="K361">
        <v>2</v>
      </c>
      <c r="L361" s="8">
        <v>2350</v>
      </c>
      <c r="M361" s="8" t="str">
        <f t="shared" si="31"/>
        <v>11-20%</v>
      </c>
      <c r="N361">
        <v>15</v>
      </c>
      <c r="O361" t="str">
        <f t="shared" si="32"/>
        <v>Valid</v>
      </c>
      <c r="P361" t="str">
        <f t="shared" si="33"/>
        <v>Match</v>
      </c>
      <c r="Q361" s="8">
        <v>4700</v>
      </c>
      <c r="R361" s="8">
        <v>705</v>
      </c>
      <c r="S361" s="8">
        <v>3995</v>
      </c>
      <c r="T361" s="8">
        <v>3421.81</v>
      </c>
      <c r="U361" s="8">
        <v>573.19000000000005</v>
      </c>
      <c r="V361" s="8" t="b">
        <f t="shared" si="34"/>
        <v>0</v>
      </c>
      <c r="W361" s="8">
        <f t="shared" si="35"/>
        <v>0</v>
      </c>
      <c r="X361" t="s">
        <v>36</v>
      </c>
      <c r="Y361" t="s">
        <v>47</v>
      </c>
      <c r="Z361" t="s">
        <v>64</v>
      </c>
      <c r="AA361">
        <v>4</v>
      </c>
      <c r="AB361" t="s">
        <v>111</v>
      </c>
      <c r="AC361" t="s">
        <v>49</v>
      </c>
    </row>
    <row r="362" spans="1:29" x14ac:dyDescent="0.3">
      <c r="A362" t="s">
        <v>482</v>
      </c>
      <c r="B362" s="6">
        <v>46022</v>
      </c>
      <c r="C362" s="6" t="str">
        <f t="shared" si="30"/>
        <v>4 AM - 8 AM</v>
      </c>
      <c r="D362" s="4">
        <v>0.23958333333333334</v>
      </c>
      <c r="E362" t="s">
        <v>32</v>
      </c>
      <c r="F362" t="s">
        <v>24</v>
      </c>
      <c r="G362" t="s">
        <v>33</v>
      </c>
      <c r="H362" t="s">
        <v>113</v>
      </c>
      <c r="I362" t="s">
        <v>98</v>
      </c>
      <c r="J362" t="s">
        <v>35</v>
      </c>
      <c r="K362">
        <v>1</v>
      </c>
      <c r="L362" s="8">
        <v>4050</v>
      </c>
      <c r="M362" s="8" t="str">
        <f t="shared" si="31"/>
        <v>1-10%</v>
      </c>
      <c r="N362">
        <v>10</v>
      </c>
      <c r="O362" t="str">
        <f t="shared" si="32"/>
        <v>Valid</v>
      </c>
      <c r="P362" t="str">
        <f t="shared" si="33"/>
        <v>Match</v>
      </c>
      <c r="Q362" s="8">
        <v>4050</v>
      </c>
      <c r="R362" s="8">
        <v>405</v>
      </c>
      <c r="S362" s="8">
        <v>3645</v>
      </c>
      <c r="T362" s="8">
        <v>2722.32</v>
      </c>
      <c r="U362" s="8">
        <v>922.68</v>
      </c>
      <c r="V362" s="8" t="b">
        <f t="shared" si="34"/>
        <v>0</v>
      </c>
      <c r="W362" s="8">
        <f t="shared" si="35"/>
        <v>0</v>
      </c>
      <c r="X362" t="s">
        <v>46</v>
      </c>
      <c r="Y362" t="s">
        <v>47</v>
      </c>
      <c r="Z362" t="s">
        <v>64</v>
      </c>
      <c r="AA362">
        <v>5</v>
      </c>
      <c r="AB362" t="s">
        <v>39</v>
      </c>
      <c r="AC362" t="s">
        <v>40</v>
      </c>
    </row>
    <row r="363" spans="1:29" x14ac:dyDescent="0.3">
      <c r="A363" t="s">
        <v>483</v>
      </c>
      <c r="B363" s="6">
        <v>46022</v>
      </c>
      <c r="C363" s="6" t="str">
        <f t="shared" si="30"/>
        <v>12 PM - 4 PM</v>
      </c>
      <c r="D363" s="4">
        <v>0.54097222222222219</v>
      </c>
      <c r="E363" t="s">
        <v>622</v>
      </c>
      <c r="F363" t="s">
        <v>24</v>
      </c>
      <c r="G363" t="s">
        <v>120</v>
      </c>
      <c r="H363" t="s">
        <v>113</v>
      </c>
      <c r="I363" t="s">
        <v>82</v>
      </c>
      <c r="J363" t="s">
        <v>35</v>
      </c>
      <c r="K363">
        <v>1</v>
      </c>
      <c r="L363" s="8">
        <v>2700</v>
      </c>
      <c r="M363" s="8" t="str">
        <f t="shared" si="31"/>
        <v>1-10%</v>
      </c>
      <c r="N363">
        <v>5</v>
      </c>
      <c r="O363" t="str">
        <f t="shared" si="32"/>
        <v>Valid</v>
      </c>
      <c r="P363" t="str">
        <f t="shared" si="33"/>
        <v>Match</v>
      </c>
      <c r="Q363" s="8">
        <v>2700</v>
      </c>
      <c r="R363" s="8">
        <v>135</v>
      </c>
      <c r="S363" s="8">
        <v>2565</v>
      </c>
      <c r="T363" s="8">
        <v>1850.84</v>
      </c>
      <c r="U363" s="8">
        <v>714.16</v>
      </c>
      <c r="V363" s="8" t="b">
        <f t="shared" si="34"/>
        <v>0</v>
      </c>
      <c r="W363" s="8">
        <f t="shared" si="35"/>
        <v>0</v>
      </c>
      <c r="X363" t="s">
        <v>28</v>
      </c>
      <c r="Y363" t="s">
        <v>94</v>
      </c>
      <c r="Z363" t="s">
        <v>64</v>
      </c>
      <c r="AA363">
        <v>4</v>
      </c>
      <c r="AB363" t="s">
        <v>39</v>
      </c>
      <c r="AC363" t="s">
        <v>40</v>
      </c>
    </row>
    <row r="364" spans="1:29" x14ac:dyDescent="0.3">
      <c r="A364" t="s">
        <v>484</v>
      </c>
      <c r="B364" s="6">
        <v>45906</v>
      </c>
      <c r="C364" s="6" t="str">
        <f t="shared" si="30"/>
        <v>12 AM - 4 AM</v>
      </c>
      <c r="D364" s="4">
        <v>2.0833333333333333E-3</v>
      </c>
      <c r="E364" t="s">
        <v>108</v>
      </c>
      <c r="F364" t="s">
        <v>24</v>
      </c>
      <c r="G364" t="s">
        <v>25</v>
      </c>
      <c r="H364" t="s">
        <v>53</v>
      </c>
      <c r="I364" t="s">
        <v>27</v>
      </c>
      <c r="J364" t="s">
        <v>93</v>
      </c>
      <c r="K364">
        <v>1</v>
      </c>
      <c r="L364" s="8">
        <v>6550</v>
      </c>
      <c r="M364" s="8" t="str">
        <f t="shared" si="31"/>
        <v>21-30%</v>
      </c>
      <c r="N364">
        <v>30</v>
      </c>
      <c r="O364" t="str">
        <f t="shared" si="32"/>
        <v>Valid</v>
      </c>
      <c r="P364" t="str">
        <f t="shared" si="33"/>
        <v>Match</v>
      </c>
      <c r="Q364" s="8">
        <v>6550</v>
      </c>
      <c r="R364" s="8">
        <v>1965</v>
      </c>
      <c r="S364" s="8">
        <v>4585</v>
      </c>
      <c r="T364" s="8">
        <v>3466.86</v>
      </c>
      <c r="U364" s="8">
        <v>1118.1400000000001</v>
      </c>
      <c r="V364" s="8" t="b">
        <f t="shared" si="34"/>
        <v>0</v>
      </c>
      <c r="W364" s="8">
        <f t="shared" si="35"/>
        <v>0</v>
      </c>
      <c r="X364" t="s">
        <v>79</v>
      </c>
      <c r="Y364" t="s">
        <v>65</v>
      </c>
      <c r="Z364" t="s">
        <v>64</v>
      </c>
      <c r="AA364">
        <v>3</v>
      </c>
      <c r="AB364" t="s">
        <v>155</v>
      </c>
      <c r="AC364" t="s">
        <v>71</v>
      </c>
    </row>
    <row r="365" spans="1:29" x14ac:dyDescent="0.3">
      <c r="A365" t="s">
        <v>485</v>
      </c>
      <c r="B365" s="6">
        <v>45733</v>
      </c>
      <c r="C365" s="6" t="str">
        <f t="shared" si="30"/>
        <v>12 PM - 4 PM</v>
      </c>
      <c r="D365" s="4">
        <v>0.62847222222222221</v>
      </c>
      <c r="E365" t="s">
        <v>77</v>
      </c>
      <c r="F365" t="s">
        <v>51</v>
      </c>
      <c r="G365" t="s">
        <v>101</v>
      </c>
      <c r="H365" t="s">
        <v>26</v>
      </c>
      <c r="I365" t="s">
        <v>98</v>
      </c>
      <c r="J365" t="s">
        <v>35</v>
      </c>
      <c r="K365">
        <v>1</v>
      </c>
      <c r="L365" s="8">
        <v>6200</v>
      </c>
      <c r="M365" s="8" t="str">
        <f t="shared" si="31"/>
        <v>21-30%</v>
      </c>
      <c r="N365">
        <v>25</v>
      </c>
      <c r="O365" t="str">
        <f t="shared" si="32"/>
        <v>Valid</v>
      </c>
      <c r="P365" t="str">
        <f t="shared" si="33"/>
        <v>Match</v>
      </c>
      <c r="Q365" s="8">
        <v>6200</v>
      </c>
      <c r="R365" s="8">
        <v>1550</v>
      </c>
      <c r="S365" s="8">
        <v>4650</v>
      </c>
      <c r="T365" s="8">
        <v>3815.84</v>
      </c>
      <c r="U365" s="8">
        <v>834.16</v>
      </c>
      <c r="V365" s="8" t="b">
        <f t="shared" si="34"/>
        <v>0</v>
      </c>
      <c r="W365" s="8">
        <f t="shared" si="35"/>
        <v>0</v>
      </c>
      <c r="X365" t="s">
        <v>79</v>
      </c>
      <c r="Y365" t="s">
        <v>37</v>
      </c>
      <c r="Z365" t="s">
        <v>56</v>
      </c>
      <c r="AA365">
        <v>3.5</v>
      </c>
      <c r="AB365" t="s">
        <v>127</v>
      </c>
      <c r="AC365" t="s">
        <v>49</v>
      </c>
    </row>
    <row r="366" spans="1:29" x14ac:dyDescent="0.3">
      <c r="A366" t="s">
        <v>486</v>
      </c>
      <c r="B366" s="6">
        <v>45695</v>
      </c>
      <c r="C366" s="6" t="str">
        <f t="shared" si="30"/>
        <v>4 AM - 8 AM</v>
      </c>
      <c r="D366" s="4">
        <v>0.28541666666666665</v>
      </c>
      <c r="E366" t="s">
        <v>108</v>
      </c>
      <c r="F366" t="s">
        <v>24</v>
      </c>
      <c r="G366" t="s">
        <v>33</v>
      </c>
      <c r="H366" t="s">
        <v>34</v>
      </c>
      <c r="I366" t="s">
        <v>63</v>
      </c>
      <c r="J366" t="s">
        <v>45</v>
      </c>
      <c r="K366">
        <v>1</v>
      </c>
      <c r="L366" s="8">
        <v>900</v>
      </c>
      <c r="M366" s="8" t="str">
        <f t="shared" si="31"/>
        <v>11-20%</v>
      </c>
      <c r="N366">
        <v>20</v>
      </c>
      <c r="O366" t="str">
        <f t="shared" si="32"/>
        <v>Valid</v>
      </c>
      <c r="P366" t="str">
        <f t="shared" si="33"/>
        <v>Match</v>
      </c>
      <c r="Q366" s="8">
        <v>900</v>
      </c>
      <c r="R366" s="8">
        <v>180</v>
      </c>
      <c r="S366" s="8">
        <v>720</v>
      </c>
      <c r="T366" s="8">
        <v>587.38</v>
      </c>
      <c r="U366" s="8">
        <v>132.62</v>
      </c>
      <c r="V366" s="8" t="b">
        <f t="shared" si="34"/>
        <v>0</v>
      </c>
      <c r="W366" s="8">
        <f t="shared" si="35"/>
        <v>0</v>
      </c>
      <c r="X366" t="s">
        <v>79</v>
      </c>
      <c r="Y366" t="s">
        <v>89</v>
      </c>
      <c r="Z366" t="s">
        <v>45</v>
      </c>
      <c r="AA366">
        <v>4</v>
      </c>
      <c r="AB366" t="s">
        <v>66</v>
      </c>
      <c r="AC366" t="s">
        <v>58</v>
      </c>
    </row>
    <row r="367" spans="1:29" x14ac:dyDescent="0.3">
      <c r="A367" t="s">
        <v>487</v>
      </c>
      <c r="B367" s="6">
        <v>45882</v>
      </c>
      <c r="C367" s="6" t="str">
        <f t="shared" si="30"/>
        <v>12 PM - 4 PM</v>
      </c>
      <c r="D367" s="4">
        <v>0.56944444444444442</v>
      </c>
      <c r="E367" t="s">
        <v>77</v>
      </c>
      <c r="F367" t="s">
        <v>24</v>
      </c>
      <c r="G367" t="s">
        <v>120</v>
      </c>
      <c r="H367" t="s">
        <v>102</v>
      </c>
      <c r="I367" t="s">
        <v>98</v>
      </c>
      <c r="J367" t="s">
        <v>93</v>
      </c>
      <c r="K367">
        <v>2</v>
      </c>
      <c r="L367" s="8">
        <v>10250</v>
      </c>
      <c r="M367" s="8" t="str">
        <f t="shared" si="31"/>
        <v>1-10%</v>
      </c>
      <c r="N367">
        <v>5</v>
      </c>
      <c r="O367" t="str">
        <f t="shared" si="32"/>
        <v>Valid</v>
      </c>
      <c r="P367" t="str">
        <f t="shared" si="33"/>
        <v>Match</v>
      </c>
      <c r="Q367" s="8">
        <v>20500</v>
      </c>
      <c r="R367" s="8">
        <v>1025</v>
      </c>
      <c r="S367" s="8">
        <v>19475</v>
      </c>
      <c r="T367" s="8">
        <v>14275.2</v>
      </c>
      <c r="U367" s="8">
        <v>5199.8</v>
      </c>
      <c r="V367" s="8" t="b">
        <f t="shared" si="34"/>
        <v>0</v>
      </c>
      <c r="W367" s="8">
        <f t="shared" si="35"/>
        <v>0</v>
      </c>
      <c r="X367" t="s">
        <v>46</v>
      </c>
      <c r="Y367" t="s">
        <v>37</v>
      </c>
      <c r="Z367" t="s">
        <v>38</v>
      </c>
      <c r="AA367">
        <v>4.5</v>
      </c>
      <c r="AB367" t="s">
        <v>90</v>
      </c>
      <c r="AC367" t="s">
        <v>40</v>
      </c>
    </row>
    <row r="368" spans="1:29" x14ac:dyDescent="0.3">
      <c r="A368" t="s">
        <v>488</v>
      </c>
      <c r="B368" s="6">
        <v>45765</v>
      </c>
      <c r="C368" s="6" t="str">
        <f t="shared" si="30"/>
        <v>4 PM - 8 PM</v>
      </c>
      <c r="D368" s="4">
        <v>0.78055555555555556</v>
      </c>
      <c r="E368" t="s">
        <v>60</v>
      </c>
      <c r="F368" t="s">
        <v>96</v>
      </c>
      <c r="G368" t="s">
        <v>115</v>
      </c>
      <c r="H368" t="s">
        <v>34</v>
      </c>
      <c r="I368" t="s">
        <v>103</v>
      </c>
      <c r="J368" t="s">
        <v>93</v>
      </c>
      <c r="K368">
        <v>5</v>
      </c>
      <c r="L368" s="8">
        <v>6650</v>
      </c>
      <c r="M368" s="8" t="str">
        <f t="shared" si="31"/>
        <v>21-30%</v>
      </c>
      <c r="N368">
        <v>30</v>
      </c>
      <c r="O368" t="str">
        <f t="shared" si="32"/>
        <v>Valid</v>
      </c>
      <c r="P368" t="str">
        <f t="shared" si="33"/>
        <v>Match</v>
      </c>
      <c r="Q368" s="8">
        <v>33250</v>
      </c>
      <c r="R368" s="8">
        <v>9975</v>
      </c>
      <c r="S368" s="8">
        <v>23275</v>
      </c>
      <c r="T368" s="8">
        <v>23228.97</v>
      </c>
      <c r="U368" s="8">
        <v>46.03</v>
      </c>
      <c r="V368" s="8" t="b">
        <f t="shared" si="34"/>
        <v>0</v>
      </c>
      <c r="W368" s="8">
        <f t="shared" si="35"/>
        <v>0</v>
      </c>
      <c r="X368" t="s">
        <v>36</v>
      </c>
      <c r="Y368" t="s">
        <v>94</v>
      </c>
      <c r="Z368" t="s">
        <v>45</v>
      </c>
      <c r="AA368">
        <v>3.5</v>
      </c>
      <c r="AB368" t="s">
        <v>99</v>
      </c>
      <c r="AC368" t="s">
        <v>58</v>
      </c>
    </row>
    <row r="369" spans="1:29" x14ac:dyDescent="0.3">
      <c r="A369" t="s">
        <v>489</v>
      </c>
      <c r="B369" s="6">
        <v>45726</v>
      </c>
      <c r="C369" s="6" t="str">
        <f t="shared" si="30"/>
        <v>12 PM - 4 PM</v>
      </c>
      <c r="D369" s="4">
        <v>0.61250000000000004</v>
      </c>
      <c r="E369" t="s">
        <v>69</v>
      </c>
      <c r="F369" t="s">
        <v>24</v>
      </c>
      <c r="G369" t="s">
        <v>110</v>
      </c>
      <c r="H369" t="s">
        <v>53</v>
      </c>
      <c r="I369" t="s">
        <v>98</v>
      </c>
      <c r="J369" t="s">
        <v>78</v>
      </c>
      <c r="K369">
        <v>1</v>
      </c>
      <c r="L369" s="8">
        <v>1200</v>
      </c>
      <c r="M369" s="8" t="str">
        <f t="shared" si="31"/>
        <v>21-30%</v>
      </c>
      <c r="N369">
        <v>30</v>
      </c>
      <c r="O369" t="str">
        <f t="shared" si="32"/>
        <v>Valid</v>
      </c>
      <c r="P369" t="str">
        <f t="shared" si="33"/>
        <v>Match</v>
      </c>
      <c r="Q369" s="8">
        <v>1200</v>
      </c>
      <c r="R369" s="8">
        <v>360</v>
      </c>
      <c r="S369" s="8">
        <v>840</v>
      </c>
      <c r="T369" s="8">
        <v>656.04</v>
      </c>
      <c r="U369" s="8">
        <v>183.96</v>
      </c>
      <c r="V369" s="8" t="b">
        <f t="shared" si="34"/>
        <v>0</v>
      </c>
      <c r="W369" s="8">
        <f t="shared" si="35"/>
        <v>0</v>
      </c>
      <c r="X369" t="s">
        <v>55</v>
      </c>
      <c r="Y369" t="s">
        <v>104</v>
      </c>
      <c r="Z369" t="s">
        <v>85</v>
      </c>
      <c r="AA369">
        <v>4.5</v>
      </c>
      <c r="AB369" t="s">
        <v>127</v>
      </c>
      <c r="AC369" t="s">
        <v>49</v>
      </c>
    </row>
    <row r="370" spans="1:29" x14ac:dyDescent="0.3">
      <c r="A370" t="s">
        <v>490</v>
      </c>
      <c r="B370" s="6">
        <v>45992</v>
      </c>
      <c r="C370" s="6" t="str">
        <f t="shared" si="30"/>
        <v>8 PM - 12 AM</v>
      </c>
      <c r="D370" s="4">
        <v>0.95277777777777772</v>
      </c>
      <c r="E370" t="s">
        <v>77</v>
      </c>
      <c r="F370" t="s">
        <v>51</v>
      </c>
      <c r="G370" t="s">
        <v>153</v>
      </c>
      <c r="H370" t="s">
        <v>113</v>
      </c>
      <c r="I370" t="s">
        <v>44</v>
      </c>
      <c r="J370" t="s">
        <v>35</v>
      </c>
      <c r="K370">
        <v>1</v>
      </c>
      <c r="L370" s="8">
        <v>2300</v>
      </c>
      <c r="M370" s="8" t="str">
        <f t="shared" si="31"/>
        <v>11-20%</v>
      </c>
      <c r="N370">
        <v>20</v>
      </c>
      <c r="O370" t="str">
        <f t="shared" si="32"/>
        <v>Valid</v>
      </c>
      <c r="P370" t="str">
        <f t="shared" si="33"/>
        <v>Match</v>
      </c>
      <c r="Q370" s="8">
        <v>2300</v>
      </c>
      <c r="R370" s="8">
        <v>460</v>
      </c>
      <c r="S370" s="8">
        <v>1840</v>
      </c>
      <c r="T370" s="8">
        <v>1351.04</v>
      </c>
      <c r="U370" s="8">
        <v>488.96</v>
      </c>
      <c r="V370" s="8" t="b">
        <f t="shared" si="34"/>
        <v>0</v>
      </c>
      <c r="W370" s="8">
        <f t="shared" si="35"/>
        <v>0</v>
      </c>
      <c r="X370" t="s">
        <v>36</v>
      </c>
      <c r="Y370" t="s">
        <v>70</v>
      </c>
      <c r="Z370" t="s">
        <v>38</v>
      </c>
      <c r="AA370">
        <v>5</v>
      </c>
      <c r="AB370" t="s">
        <v>39</v>
      </c>
      <c r="AC370" t="s">
        <v>49</v>
      </c>
    </row>
    <row r="371" spans="1:29" x14ac:dyDescent="0.3">
      <c r="A371" t="s">
        <v>491</v>
      </c>
      <c r="B371" s="6">
        <v>45747</v>
      </c>
      <c r="C371" s="6" t="str">
        <f t="shared" si="30"/>
        <v>12 PM - 4 PM</v>
      </c>
      <c r="D371" s="4">
        <v>0.62638888888888888</v>
      </c>
      <c r="E371" t="s">
        <v>622</v>
      </c>
      <c r="F371" t="s">
        <v>24</v>
      </c>
      <c r="G371" t="s">
        <v>33</v>
      </c>
      <c r="H371" t="s">
        <v>43</v>
      </c>
      <c r="I371" t="s">
        <v>92</v>
      </c>
      <c r="J371" t="s">
        <v>35</v>
      </c>
      <c r="K371">
        <v>2</v>
      </c>
      <c r="L371" s="8">
        <v>3900</v>
      </c>
      <c r="M371" s="8" t="str">
        <f t="shared" si="31"/>
        <v>11-20%</v>
      </c>
      <c r="N371">
        <v>15</v>
      </c>
      <c r="O371" t="str">
        <f t="shared" si="32"/>
        <v>Valid</v>
      </c>
      <c r="P371" t="str">
        <f t="shared" si="33"/>
        <v>Match</v>
      </c>
      <c r="Q371" s="8">
        <v>7800</v>
      </c>
      <c r="R371" s="8">
        <v>1170</v>
      </c>
      <c r="S371" s="8">
        <v>6630</v>
      </c>
      <c r="T371" s="8">
        <v>4986.29</v>
      </c>
      <c r="U371" s="8">
        <v>1643.71</v>
      </c>
      <c r="V371" s="8" t="b">
        <f t="shared" si="34"/>
        <v>0</v>
      </c>
      <c r="W371" s="8">
        <f t="shared" si="35"/>
        <v>0</v>
      </c>
      <c r="X371" t="s">
        <v>46</v>
      </c>
      <c r="Y371" t="s">
        <v>89</v>
      </c>
      <c r="Z371" t="s">
        <v>80</v>
      </c>
      <c r="AA371">
        <v>4.5</v>
      </c>
      <c r="AB371" t="s">
        <v>127</v>
      </c>
      <c r="AC371" t="s">
        <v>49</v>
      </c>
    </row>
    <row r="372" spans="1:29" x14ac:dyDescent="0.3">
      <c r="A372" t="s">
        <v>492</v>
      </c>
      <c r="B372" s="6">
        <v>45860</v>
      </c>
      <c r="C372" s="6" t="str">
        <f t="shared" si="30"/>
        <v>12 PM - 4 PM</v>
      </c>
      <c r="D372" s="4">
        <v>0.56041666666666667</v>
      </c>
      <c r="E372" t="s">
        <v>108</v>
      </c>
      <c r="F372" t="s">
        <v>24</v>
      </c>
      <c r="G372" t="s">
        <v>42</v>
      </c>
      <c r="H372" t="s">
        <v>26</v>
      </c>
      <c r="I372" t="s">
        <v>44</v>
      </c>
      <c r="J372" t="s">
        <v>64</v>
      </c>
      <c r="K372">
        <v>2</v>
      </c>
      <c r="L372" s="8">
        <v>106750</v>
      </c>
      <c r="M372" s="8" t="str">
        <f t="shared" si="31"/>
        <v>1-10%</v>
      </c>
      <c r="N372">
        <v>10</v>
      </c>
      <c r="O372" t="str">
        <f t="shared" si="32"/>
        <v>Valid</v>
      </c>
      <c r="P372" t="str">
        <f t="shared" si="33"/>
        <v>Match</v>
      </c>
      <c r="Q372" s="8">
        <v>213500</v>
      </c>
      <c r="R372" s="8">
        <v>21350</v>
      </c>
      <c r="S372" s="8">
        <v>192150</v>
      </c>
      <c r="T372" s="8">
        <v>134146.88</v>
      </c>
      <c r="U372" s="8">
        <v>58003.12</v>
      </c>
      <c r="V372" s="8" t="b">
        <f t="shared" si="34"/>
        <v>0</v>
      </c>
      <c r="W372" s="8">
        <f t="shared" si="35"/>
        <v>0</v>
      </c>
      <c r="X372" t="s">
        <v>493</v>
      </c>
      <c r="Y372" t="s">
        <v>94</v>
      </c>
      <c r="Z372" t="s">
        <v>45</v>
      </c>
      <c r="AA372">
        <v>3</v>
      </c>
      <c r="AB372" t="s">
        <v>29</v>
      </c>
      <c r="AC372" t="s">
        <v>86</v>
      </c>
    </row>
    <row r="373" spans="1:29" x14ac:dyDescent="0.3">
      <c r="A373" t="s">
        <v>494</v>
      </c>
      <c r="B373" s="6">
        <v>45863</v>
      </c>
      <c r="C373" s="6" t="str">
        <f t="shared" si="30"/>
        <v>4 PM - 8 PM</v>
      </c>
      <c r="D373" s="4">
        <v>0.72638888888888886</v>
      </c>
      <c r="E373" t="s">
        <v>157</v>
      </c>
      <c r="F373" t="s">
        <v>24</v>
      </c>
      <c r="G373" t="s">
        <v>61</v>
      </c>
      <c r="H373" t="s">
        <v>113</v>
      </c>
      <c r="I373" t="s">
        <v>98</v>
      </c>
      <c r="J373" t="s">
        <v>64</v>
      </c>
      <c r="K373">
        <v>1</v>
      </c>
      <c r="L373" s="8">
        <v>28700</v>
      </c>
      <c r="M373" s="8" t="str">
        <f t="shared" si="31"/>
        <v>1-10%</v>
      </c>
      <c r="N373">
        <v>5</v>
      </c>
      <c r="O373" t="str">
        <f t="shared" si="32"/>
        <v>Valid</v>
      </c>
      <c r="P373" t="str">
        <f t="shared" si="33"/>
        <v>Match</v>
      </c>
      <c r="Q373" s="8">
        <v>28700</v>
      </c>
      <c r="R373" s="8">
        <v>1435</v>
      </c>
      <c r="S373" s="8">
        <v>27265</v>
      </c>
      <c r="T373" s="8">
        <v>19766.05</v>
      </c>
      <c r="U373" s="8">
        <v>7498.95</v>
      </c>
      <c r="V373" s="8" t="b">
        <f t="shared" si="34"/>
        <v>0</v>
      </c>
      <c r="W373" s="8">
        <f t="shared" si="35"/>
        <v>0</v>
      </c>
      <c r="X373" t="s">
        <v>46</v>
      </c>
      <c r="Y373" t="s">
        <v>65</v>
      </c>
      <c r="Z373" t="s">
        <v>64</v>
      </c>
      <c r="AA373">
        <v>4</v>
      </c>
      <c r="AB373" t="s">
        <v>29</v>
      </c>
      <c r="AC373" t="s">
        <v>58</v>
      </c>
    </row>
    <row r="374" spans="1:29" x14ac:dyDescent="0.3">
      <c r="A374" t="s">
        <v>495</v>
      </c>
      <c r="B374" s="6">
        <v>45798</v>
      </c>
      <c r="C374" s="6" t="str">
        <f t="shared" si="30"/>
        <v>12 AM - 4 AM</v>
      </c>
      <c r="D374" s="4">
        <v>0.11180555555555556</v>
      </c>
      <c r="E374" t="s">
        <v>60</v>
      </c>
      <c r="F374" t="s">
        <v>24</v>
      </c>
      <c r="G374" t="s">
        <v>42</v>
      </c>
      <c r="H374" t="s">
        <v>102</v>
      </c>
      <c r="I374" t="s">
        <v>54</v>
      </c>
      <c r="J374" t="s">
        <v>35</v>
      </c>
      <c r="K374">
        <v>2</v>
      </c>
      <c r="L374" s="8">
        <v>124150</v>
      </c>
      <c r="M374" s="8" t="str">
        <f t="shared" si="31"/>
        <v>21-30%</v>
      </c>
      <c r="N374">
        <v>25</v>
      </c>
      <c r="O374" t="str">
        <f t="shared" si="32"/>
        <v>Valid</v>
      </c>
      <c r="P374" t="str">
        <f t="shared" si="33"/>
        <v>Match</v>
      </c>
      <c r="Q374" s="8">
        <v>248300</v>
      </c>
      <c r="R374" s="8">
        <v>62075</v>
      </c>
      <c r="S374" s="8">
        <v>186225</v>
      </c>
      <c r="T374" s="8">
        <v>145605.71</v>
      </c>
      <c r="U374" s="8">
        <v>40619.29</v>
      </c>
      <c r="V374" s="8" t="b">
        <f t="shared" si="34"/>
        <v>0</v>
      </c>
      <c r="W374" s="8">
        <f t="shared" si="35"/>
        <v>0</v>
      </c>
      <c r="X374" t="s">
        <v>36</v>
      </c>
      <c r="Y374" t="s">
        <v>104</v>
      </c>
      <c r="Z374" t="s">
        <v>64</v>
      </c>
      <c r="AA374">
        <v>3</v>
      </c>
      <c r="AB374" t="s">
        <v>111</v>
      </c>
      <c r="AC374" t="s">
        <v>40</v>
      </c>
    </row>
    <row r="375" spans="1:29" x14ac:dyDescent="0.3">
      <c r="A375" t="s">
        <v>496</v>
      </c>
      <c r="B375" s="6">
        <v>45975</v>
      </c>
      <c r="C375" s="6" t="str">
        <f t="shared" si="30"/>
        <v>12 PM - 4 PM</v>
      </c>
      <c r="D375" s="4">
        <v>0.6166666666666667</v>
      </c>
      <c r="E375" t="s">
        <v>622</v>
      </c>
      <c r="F375" t="s">
        <v>51</v>
      </c>
      <c r="G375" t="s">
        <v>140</v>
      </c>
      <c r="H375" t="s">
        <v>62</v>
      </c>
      <c r="I375" t="s">
        <v>63</v>
      </c>
      <c r="J375" t="s">
        <v>45</v>
      </c>
      <c r="K375">
        <v>1</v>
      </c>
      <c r="L375" s="8">
        <v>4750</v>
      </c>
      <c r="M375" s="8" t="str">
        <f t="shared" si="31"/>
        <v>0%</v>
      </c>
      <c r="N375">
        <v>0</v>
      </c>
      <c r="O375" t="str">
        <f t="shared" si="32"/>
        <v>Valid</v>
      </c>
      <c r="P375" t="str">
        <f t="shared" si="33"/>
        <v>Match</v>
      </c>
      <c r="Q375" s="8">
        <v>4750</v>
      </c>
      <c r="R375" s="8">
        <v>0</v>
      </c>
      <c r="S375" s="8">
        <v>4750</v>
      </c>
      <c r="T375" s="8">
        <v>3280.66</v>
      </c>
      <c r="U375" s="8">
        <v>1469.34</v>
      </c>
      <c r="V375" s="8" t="b">
        <f t="shared" si="34"/>
        <v>0</v>
      </c>
      <c r="W375" s="8">
        <f t="shared" si="35"/>
        <v>0</v>
      </c>
      <c r="X375" t="s">
        <v>28</v>
      </c>
      <c r="Y375" t="s">
        <v>89</v>
      </c>
      <c r="Z375" t="s">
        <v>64</v>
      </c>
      <c r="AA375">
        <v>3</v>
      </c>
      <c r="AB375" t="s">
        <v>75</v>
      </c>
      <c r="AC375" t="s">
        <v>58</v>
      </c>
    </row>
    <row r="376" spans="1:29" x14ac:dyDescent="0.3">
      <c r="A376" t="s">
        <v>497</v>
      </c>
      <c r="B376" s="6">
        <v>45984</v>
      </c>
      <c r="C376" s="6" t="str">
        <f t="shared" si="30"/>
        <v>8 PM - 12 AM</v>
      </c>
      <c r="D376" s="4">
        <v>0.91597222222222219</v>
      </c>
      <c r="E376" t="s">
        <v>69</v>
      </c>
      <c r="F376" t="s">
        <v>24</v>
      </c>
      <c r="G376" t="s">
        <v>84</v>
      </c>
      <c r="H376" t="s">
        <v>53</v>
      </c>
      <c r="I376" t="s">
        <v>92</v>
      </c>
      <c r="J376" t="s">
        <v>93</v>
      </c>
      <c r="K376">
        <v>1</v>
      </c>
      <c r="L376" s="8">
        <v>2100</v>
      </c>
      <c r="M376" s="8" t="str">
        <f t="shared" si="31"/>
        <v>1-10%</v>
      </c>
      <c r="N376">
        <v>10</v>
      </c>
      <c r="O376" t="str">
        <f t="shared" si="32"/>
        <v>Valid</v>
      </c>
      <c r="P376" t="str">
        <f t="shared" si="33"/>
        <v>Match</v>
      </c>
      <c r="Q376" s="8">
        <v>2100</v>
      </c>
      <c r="R376" s="8">
        <v>210</v>
      </c>
      <c r="S376" s="8">
        <v>1890</v>
      </c>
      <c r="T376" s="8">
        <v>1119.93</v>
      </c>
      <c r="U376" s="8">
        <v>770.07</v>
      </c>
      <c r="V376" s="8" t="b">
        <f t="shared" si="34"/>
        <v>0</v>
      </c>
      <c r="W376" s="8">
        <f t="shared" si="35"/>
        <v>0</v>
      </c>
      <c r="X376" t="s">
        <v>347</v>
      </c>
      <c r="Y376" t="s">
        <v>37</v>
      </c>
      <c r="Z376" t="s">
        <v>80</v>
      </c>
      <c r="AA376">
        <v>3</v>
      </c>
      <c r="AB376" t="s">
        <v>75</v>
      </c>
      <c r="AC376" t="s">
        <v>30</v>
      </c>
    </row>
    <row r="377" spans="1:29" x14ac:dyDescent="0.3">
      <c r="A377" t="s">
        <v>498</v>
      </c>
      <c r="B377" s="6">
        <v>45812</v>
      </c>
      <c r="C377" s="6" t="str">
        <f t="shared" si="30"/>
        <v>4 AM - 8 AM</v>
      </c>
      <c r="D377" s="4">
        <v>0.27291666666666664</v>
      </c>
      <c r="E377" t="s">
        <v>69</v>
      </c>
      <c r="F377" t="s">
        <v>24</v>
      </c>
      <c r="G377" t="s">
        <v>25</v>
      </c>
      <c r="H377" t="s">
        <v>43</v>
      </c>
      <c r="I377" t="s">
        <v>27</v>
      </c>
      <c r="J377" t="s">
        <v>35</v>
      </c>
      <c r="K377">
        <v>2</v>
      </c>
      <c r="L377" s="8">
        <v>7400</v>
      </c>
      <c r="M377" s="8" t="str">
        <f t="shared" si="31"/>
        <v>21-30%</v>
      </c>
      <c r="N377">
        <v>30</v>
      </c>
      <c r="O377" t="str">
        <f t="shared" si="32"/>
        <v>Valid</v>
      </c>
      <c r="P377" t="str">
        <f t="shared" si="33"/>
        <v>Match</v>
      </c>
      <c r="Q377" s="8">
        <v>14800</v>
      </c>
      <c r="R377" s="8">
        <v>4440</v>
      </c>
      <c r="S377" s="8">
        <v>10360</v>
      </c>
      <c r="T377" s="8">
        <v>10454.06</v>
      </c>
      <c r="U377" s="8">
        <v>-94.06</v>
      </c>
      <c r="V377" s="8" t="b">
        <f t="shared" si="34"/>
        <v>0</v>
      </c>
      <c r="W377" s="8">
        <f t="shared" si="35"/>
        <v>0</v>
      </c>
      <c r="X377" t="s">
        <v>28</v>
      </c>
      <c r="Y377" t="s">
        <v>37</v>
      </c>
      <c r="Z377" t="s">
        <v>85</v>
      </c>
      <c r="AA377">
        <v>3</v>
      </c>
      <c r="AB377" t="s">
        <v>48</v>
      </c>
      <c r="AC377" t="s">
        <v>40</v>
      </c>
    </row>
    <row r="378" spans="1:29" x14ac:dyDescent="0.3">
      <c r="A378" t="s">
        <v>499</v>
      </c>
      <c r="B378" s="6">
        <v>46006</v>
      </c>
      <c r="C378" s="6" t="str">
        <f t="shared" si="30"/>
        <v>12 PM - 4 PM</v>
      </c>
      <c r="D378" s="4">
        <v>0.56805555555555554</v>
      </c>
      <c r="E378" t="s">
        <v>622</v>
      </c>
      <c r="F378" t="s">
        <v>24</v>
      </c>
      <c r="G378" t="s">
        <v>61</v>
      </c>
      <c r="H378" t="s">
        <v>102</v>
      </c>
      <c r="I378" t="s">
        <v>63</v>
      </c>
      <c r="J378" t="s">
        <v>35</v>
      </c>
      <c r="K378">
        <v>3</v>
      </c>
      <c r="L378" s="8">
        <v>35700</v>
      </c>
      <c r="M378" s="8" t="str">
        <f t="shared" si="31"/>
        <v>1-10%</v>
      </c>
      <c r="N378">
        <v>5</v>
      </c>
      <c r="O378" t="str">
        <f t="shared" si="32"/>
        <v>Valid</v>
      </c>
      <c r="P378" t="str">
        <f t="shared" si="33"/>
        <v>Match</v>
      </c>
      <c r="Q378" s="8">
        <v>107100</v>
      </c>
      <c r="R378" s="8">
        <v>5355</v>
      </c>
      <c r="S378" s="8">
        <v>101745</v>
      </c>
      <c r="T378" s="8">
        <v>70475.88</v>
      </c>
      <c r="U378" s="8">
        <v>31269.119999999999</v>
      </c>
      <c r="V378" s="8" t="b">
        <f t="shared" si="34"/>
        <v>0</v>
      </c>
      <c r="W378" s="8">
        <f t="shared" si="35"/>
        <v>0</v>
      </c>
      <c r="X378" t="s">
        <v>55</v>
      </c>
      <c r="Y378" t="s">
        <v>94</v>
      </c>
      <c r="Z378" t="s">
        <v>45</v>
      </c>
      <c r="AA378">
        <v>4.5</v>
      </c>
      <c r="AB378" t="s">
        <v>39</v>
      </c>
      <c r="AC378" t="s">
        <v>49</v>
      </c>
    </row>
    <row r="379" spans="1:29" x14ac:dyDescent="0.3">
      <c r="A379" t="s">
        <v>500</v>
      </c>
      <c r="B379" s="6">
        <v>45701</v>
      </c>
      <c r="C379" s="6" t="str">
        <f t="shared" si="30"/>
        <v>8 PM - 12 AM</v>
      </c>
      <c r="D379" s="4">
        <v>0.91527777777777775</v>
      </c>
      <c r="E379" t="s">
        <v>60</v>
      </c>
      <c r="F379" t="s">
        <v>24</v>
      </c>
      <c r="G379" t="s">
        <v>110</v>
      </c>
      <c r="H379" t="s">
        <v>74</v>
      </c>
      <c r="I379" t="s">
        <v>92</v>
      </c>
      <c r="J379" t="s">
        <v>93</v>
      </c>
      <c r="K379">
        <v>1</v>
      </c>
      <c r="L379" s="8">
        <v>2600</v>
      </c>
      <c r="M379" s="8" t="str">
        <f t="shared" si="31"/>
        <v>11-20%</v>
      </c>
      <c r="N379">
        <v>15</v>
      </c>
      <c r="O379" t="str">
        <f t="shared" si="32"/>
        <v>Valid</v>
      </c>
      <c r="P379" t="str">
        <f t="shared" si="33"/>
        <v>Match</v>
      </c>
      <c r="Q379" s="8">
        <v>2600</v>
      </c>
      <c r="R379" s="8">
        <v>390</v>
      </c>
      <c r="S379" s="8">
        <v>2210</v>
      </c>
      <c r="T379" s="8">
        <v>1877.54</v>
      </c>
      <c r="U379" s="8">
        <v>332.46</v>
      </c>
      <c r="V379" s="8" t="b">
        <f t="shared" si="34"/>
        <v>0</v>
      </c>
      <c r="W379" s="8">
        <f t="shared" si="35"/>
        <v>0</v>
      </c>
      <c r="X379" t="s">
        <v>36</v>
      </c>
      <c r="Y379" t="s">
        <v>37</v>
      </c>
      <c r="Z379" t="s">
        <v>85</v>
      </c>
      <c r="AA379">
        <v>3.5</v>
      </c>
      <c r="AB379" t="s">
        <v>66</v>
      </c>
      <c r="AC379" t="s">
        <v>67</v>
      </c>
    </row>
    <row r="380" spans="1:29" x14ac:dyDescent="0.3">
      <c r="A380" t="s">
        <v>501</v>
      </c>
      <c r="B380" s="6">
        <v>45719</v>
      </c>
      <c r="C380" s="6" t="str">
        <f t="shared" si="30"/>
        <v>4 AM - 8 AM</v>
      </c>
      <c r="D380" s="4">
        <v>0.18055555555555555</v>
      </c>
      <c r="E380" t="s">
        <v>108</v>
      </c>
      <c r="F380" t="s">
        <v>51</v>
      </c>
      <c r="G380" t="s">
        <v>101</v>
      </c>
      <c r="H380" t="s">
        <v>43</v>
      </c>
      <c r="I380" t="s">
        <v>103</v>
      </c>
      <c r="J380" t="s">
        <v>35</v>
      </c>
      <c r="K380">
        <v>1</v>
      </c>
      <c r="L380" s="8">
        <v>7800</v>
      </c>
      <c r="M380" s="8" t="str">
        <f t="shared" si="31"/>
        <v>1-10%</v>
      </c>
      <c r="N380">
        <v>5</v>
      </c>
      <c r="O380" t="str">
        <f t="shared" si="32"/>
        <v>Valid</v>
      </c>
      <c r="P380" t="str">
        <f t="shared" si="33"/>
        <v>Match</v>
      </c>
      <c r="Q380" s="8">
        <v>7800</v>
      </c>
      <c r="R380" s="8">
        <v>390</v>
      </c>
      <c r="S380" s="8">
        <v>7410</v>
      </c>
      <c r="T380" s="8">
        <v>5057.21</v>
      </c>
      <c r="U380" s="8">
        <v>2352.79</v>
      </c>
      <c r="V380" s="8" t="b">
        <f t="shared" si="34"/>
        <v>0</v>
      </c>
      <c r="W380" s="8">
        <f t="shared" si="35"/>
        <v>0</v>
      </c>
      <c r="X380" t="s">
        <v>46</v>
      </c>
      <c r="Y380" t="s">
        <v>47</v>
      </c>
      <c r="Z380" t="s">
        <v>80</v>
      </c>
      <c r="AA380">
        <v>5</v>
      </c>
      <c r="AB380" t="s">
        <v>127</v>
      </c>
      <c r="AC380" t="s">
        <v>49</v>
      </c>
    </row>
    <row r="381" spans="1:29" x14ac:dyDescent="0.3">
      <c r="A381" t="s">
        <v>502</v>
      </c>
      <c r="B381" s="6">
        <v>45942</v>
      </c>
      <c r="C381" s="6" t="str">
        <f t="shared" si="30"/>
        <v>8 AM - 12 PM</v>
      </c>
      <c r="D381" s="4">
        <v>0.46319444444444446</v>
      </c>
      <c r="E381" t="s">
        <v>108</v>
      </c>
      <c r="F381" t="s">
        <v>24</v>
      </c>
      <c r="G381" t="s">
        <v>33</v>
      </c>
      <c r="H381" t="s">
        <v>62</v>
      </c>
      <c r="I381" t="s">
        <v>98</v>
      </c>
      <c r="J381" t="s">
        <v>35</v>
      </c>
      <c r="K381">
        <v>1</v>
      </c>
      <c r="L381" s="8">
        <v>1300</v>
      </c>
      <c r="M381" s="8" t="str">
        <f t="shared" si="31"/>
        <v>21-30%</v>
      </c>
      <c r="N381">
        <v>30</v>
      </c>
      <c r="O381" t="str">
        <f t="shared" si="32"/>
        <v>Valid</v>
      </c>
      <c r="P381" t="str">
        <f t="shared" si="33"/>
        <v>Match</v>
      </c>
      <c r="Q381" s="8">
        <v>1300</v>
      </c>
      <c r="R381" s="8">
        <v>390</v>
      </c>
      <c r="S381" s="8">
        <v>910</v>
      </c>
      <c r="T381" s="8">
        <v>706.95</v>
      </c>
      <c r="U381" s="8">
        <v>203.05</v>
      </c>
      <c r="V381" s="8" t="b">
        <f t="shared" si="34"/>
        <v>0</v>
      </c>
      <c r="W381" s="8">
        <f t="shared" si="35"/>
        <v>0</v>
      </c>
      <c r="X381" t="s">
        <v>55</v>
      </c>
      <c r="Y381" t="s">
        <v>65</v>
      </c>
      <c r="Z381" t="s">
        <v>64</v>
      </c>
      <c r="AA381">
        <v>4.5</v>
      </c>
      <c r="AB381" t="s">
        <v>57</v>
      </c>
      <c r="AC381" t="s">
        <v>30</v>
      </c>
    </row>
    <row r="382" spans="1:29" x14ac:dyDescent="0.3">
      <c r="A382" t="s">
        <v>503</v>
      </c>
      <c r="B382" s="6">
        <v>45843</v>
      </c>
      <c r="C382" s="6" t="str">
        <f t="shared" si="30"/>
        <v>8 PM - 12 AM</v>
      </c>
      <c r="D382" s="4">
        <v>0.85416666666666663</v>
      </c>
      <c r="E382" t="s">
        <v>69</v>
      </c>
      <c r="F382" t="s">
        <v>96</v>
      </c>
      <c r="G382" t="s">
        <v>97</v>
      </c>
      <c r="H382" t="s">
        <v>26</v>
      </c>
      <c r="I382" t="s">
        <v>98</v>
      </c>
      <c r="J382" t="s">
        <v>35</v>
      </c>
      <c r="K382">
        <v>1</v>
      </c>
      <c r="L382" s="8">
        <v>2600</v>
      </c>
      <c r="M382" s="8" t="str">
        <f t="shared" si="31"/>
        <v>11-20%</v>
      </c>
      <c r="N382">
        <v>20</v>
      </c>
      <c r="O382" t="str">
        <f t="shared" si="32"/>
        <v>Valid</v>
      </c>
      <c r="P382" t="str">
        <f t="shared" si="33"/>
        <v>Match</v>
      </c>
      <c r="Q382" s="8">
        <v>2600</v>
      </c>
      <c r="R382" s="8">
        <v>520</v>
      </c>
      <c r="S382" s="8">
        <v>2080</v>
      </c>
      <c r="T382" s="8">
        <v>1395.73</v>
      </c>
      <c r="U382" s="8">
        <v>684.27</v>
      </c>
      <c r="V382" s="8" t="b">
        <f t="shared" si="34"/>
        <v>0</v>
      </c>
      <c r="W382" s="8">
        <f t="shared" si="35"/>
        <v>0</v>
      </c>
      <c r="X382" t="s">
        <v>55</v>
      </c>
      <c r="Y382" t="s">
        <v>70</v>
      </c>
      <c r="Z382" t="s">
        <v>38</v>
      </c>
      <c r="AA382">
        <v>4.5</v>
      </c>
      <c r="AB382" t="s">
        <v>29</v>
      </c>
      <c r="AC382" t="s">
        <v>71</v>
      </c>
    </row>
    <row r="383" spans="1:29" x14ac:dyDescent="0.3">
      <c r="A383" t="s">
        <v>504</v>
      </c>
      <c r="B383" s="6">
        <v>45847</v>
      </c>
      <c r="C383" s="6" t="str">
        <f t="shared" si="30"/>
        <v>8 PM - 12 AM</v>
      </c>
      <c r="D383" s="4">
        <v>0.87708333333333333</v>
      </c>
      <c r="E383" t="s">
        <v>60</v>
      </c>
      <c r="F383" t="s">
        <v>24</v>
      </c>
      <c r="G383" t="s">
        <v>88</v>
      </c>
      <c r="H383" t="s">
        <v>62</v>
      </c>
      <c r="I383" t="s">
        <v>82</v>
      </c>
      <c r="J383" t="s">
        <v>35</v>
      </c>
      <c r="K383">
        <v>1</v>
      </c>
      <c r="L383" s="8">
        <v>1150</v>
      </c>
      <c r="M383" s="8" t="str">
        <f t="shared" si="31"/>
        <v>1-10%</v>
      </c>
      <c r="N383">
        <v>5</v>
      </c>
      <c r="O383" t="str">
        <f t="shared" si="32"/>
        <v>Valid</v>
      </c>
      <c r="P383" t="str">
        <f t="shared" si="33"/>
        <v>Match</v>
      </c>
      <c r="Q383" s="8">
        <v>1150</v>
      </c>
      <c r="R383" s="8">
        <v>57.5</v>
      </c>
      <c r="S383" s="8">
        <v>1092.5</v>
      </c>
      <c r="T383" s="8">
        <v>848.64</v>
      </c>
      <c r="U383" s="8">
        <v>243.86</v>
      </c>
      <c r="V383" s="8" t="b">
        <f t="shared" si="34"/>
        <v>0</v>
      </c>
      <c r="W383" s="8">
        <f t="shared" si="35"/>
        <v>0</v>
      </c>
      <c r="X383" t="s">
        <v>55</v>
      </c>
      <c r="Y383" t="s">
        <v>1137</v>
      </c>
      <c r="Z383" t="s">
        <v>45</v>
      </c>
      <c r="AA383" t="s">
        <v>1139</v>
      </c>
      <c r="AB383" t="s">
        <v>29</v>
      </c>
      <c r="AC383" t="s">
        <v>40</v>
      </c>
    </row>
    <row r="384" spans="1:29" x14ac:dyDescent="0.3">
      <c r="A384" t="s">
        <v>505</v>
      </c>
      <c r="B384" s="6">
        <v>45765</v>
      </c>
      <c r="C384" s="6" t="str">
        <f t="shared" si="30"/>
        <v>4 PM - 8 PM</v>
      </c>
      <c r="D384" s="4">
        <v>0.82291666666666663</v>
      </c>
      <c r="E384" t="s">
        <v>60</v>
      </c>
      <c r="F384" t="s">
        <v>24</v>
      </c>
      <c r="G384" t="s">
        <v>120</v>
      </c>
      <c r="H384" t="s">
        <v>26</v>
      </c>
      <c r="I384" t="s">
        <v>63</v>
      </c>
      <c r="J384" t="s">
        <v>45</v>
      </c>
      <c r="K384">
        <v>3</v>
      </c>
      <c r="L384" s="8">
        <v>11400</v>
      </c>
      <c r="M384" s="8" t="str">
        <f t="shared" si="31"/>
        <v>21-30%</v>
      </c>
      <c r="N384">
        <v>25</v>
      </c>
      <c r="O384" t="str">
        <f t="shared" si="32"/>
        <v>Valid</v>
      </c>
      <c r="P384" t="str">
        <f t="shared" si="33"/>
        <v>Match</v>
      </c>
      <c r="Q384" s="8">
        <v>34200</v>
      </c>
      <c r="R384" s="8">
        <v>8550</v>
      </c>
      <c r="S384" s="8">
        <v>25650</v>
      </c>
      <c r="T384" s="8">
        <v>19419.29</v>
      </c>
      <c r="U384" s="8">
        <v>6230.71</v>
      </c>
      <c r="V384" s="8" t="b">
        <f t="shared" si="34"/>
        <v>0</v>
      </c>
      <c r="W384" s="8">
        <f t="shared" si="35"/>
        <v>0</v>
      </c>
      <c r="X384" t="s">
        <v>55</v>
      </c>
      <c r="Y384" t="s">
        <v>47</v>
      </c>
      <c r="Z384" t="s">
        <v>64</v>
      </c>
      <c r="AA384">
        <v>5</v>
      </c>
      <c r="AB384" t="s">
        <v>99</v>
      </c>
      <c r="AC384" t="s">
        <v>58</v>
      </c>
    </row>
    <row r="385" spans="1:29" x14ac:dyDescent="0.3">
      <c r="A385" t="s">
        <v>506</v>
      </c>
      <c r="B385" s="6">
        <v>45776</v>
      </c>
      <c r="C385" s="6" t="str">
        <f t="shared" si="30"/>
        <v>12 AM - 4 AM</v>
      </c>
      <c r="D385" s="4">
        <v>9.7916666666666666E-2</v>
      </c>
      <c r="E385" t="s">
        <v>69</v>
      </c>
      <c r="F385" t="s">
        <v>24</v>
      </c>
      <c r="G385" t="s">
        <v>61</v>
      </c>
      <c r="H385" t="s">
        <v>62</v>
      </c>
      <c r="I385" t="s">
        <v>63</v>
      </c>
      <c r="J385" t="s">
        <v>64</v>
      </c>
      <c r="K385">
        <v>4</v>
      </c>
      <c r="L385" s="8">
        <v>26050</v>
      </c>
      <c r="M385" s="8" t="str">
        <f t="shared" si="31"/>
        <v>0%</v>
      </c>
      <c r="N385">
        <v>0</v>
      </c>
      <c r="O385" t="str">
        <f t="shared" si="32"/>
        <v>Valid</v>
      </c>
      <c r="P385" t="str">
        <f t="shared" si="33"/>
        <v>Match</v>
      </c>
      <c r="Q385" s="8">
        <v>104200</v>
      </c>
      <c r="R385" s="8">
        <v>0</v>
      </c>
      <c r="S385" s="8">
        <v>104200</v>
      </c>
      <c r="T385" s="8">
        <v>56423.35</v>
      </c>
      <c r="U385" s="8">
        <v>47776.65</v>
      </c>
      <c r="V385" s="8" t="b">
        <f t="shared" si="34"/>
        <v>0</v>
      </c>
      <c r="W385" s="8">
        <f t="shared" si="35"/>
        <v>0</v>
      </c>
      <c r="X385" t="s">
        <v>79</v>
      </c>
      <c r="Y385" t="s">
        <v>94</v>
      </c>
      <c r="Z385" t="s">
        <v>38</v>
      </c>
      <c r="AA385">
        <v>4</v>
      </c>
      <c r="AB385" t="s">
        <v>99</v>
      </c>
      <c r="AC385" t="s">
        <v>86</v>
      </c>
    </row>
    <row r="386" spans="1:29" x14ac:dyDescent="0.3">
      <c r="A386" t="s">
        <v>507</v>
      </c>
      <c r="B386" s="6">
        <v>45757</v>
      </c>
      <c r="C386" s="6" t="str">
        <f t="shared" ref="C386:C449" si="36">IF(D386&lt;TIME(4,0,0),"12 AM - 4 AM",IF(D386&lt;TIME(8,0,0),"4 AM - 8 AM",IF(D386&lt;TIME(12,0,0),"8 AM - 12 PM",IF(D386&lt;TIME(16,0,0),"12 PM - 4 PM",IF(D386&lt;TIME(20,0,0),"4 PM - 8 PM","8 PM - 12 AM")))))</f>
        <v>4 AM - 8 AM</v>
      </c>
      <c r="D386" s="4">
        <v>0.32847222222222222</v>
      </c>
      <c r="E386" t="s">
        <v>60</v>
      </c>
      <c r="F386" t="s">
        <v>51</v>
      </c>
      <c r="G386" t="s">
        <v>73</v>
      </c>
      <c r="H386" t="s">
        <v>53</v>
      </c>
      <c r="I386" t="s">
        <v>44</v>
      </c>
      <c r="J386" t="s">
        <v>35</v>
      </c>
      <c r="K386">
        <v>1</v>
      </c>
      <c r="L386" s="8">
        <v>4050</v>
      </c>
      <c r="M386" s="8" t="str">
        <f t="shared" ref="M386:M449" si="37">IF(N386&lt;0,"Invalid",IF(N386=0,"0%",IF(N386&lt;=10,"1-10%",IF(N386&lt;=20,"11-20%",IF(N386&lt;=30,"21-30%","30%+")))))</f>
        <v>11-20%</v>
      </c>
      <c r="N386">
        <v>15</v>
      </c>
      <c r="O386" t="str">
        <f t="shared" ref="O386:O449" si="38">IF(OR(N386&lt;0,N386&gt;100),"Invalid Discount","Valid")</f>
        <v>Valid</v>
      </c>
      <c r="P386" t="str">
        <f t="shared" ref="P386:P449" si="39">IF(ROUND(R386,2)=ROUND(Q386*N386/100,2),"Match","Mismatch")</f>
        <v>Match</v>
      </c>
      <c r="Q386" s="8">
        <v>4050</v>
      </c>
      <c r="R386" s="8">
        <v>607.5</v>
      </c>
      <c r="S386" s="8">
        <v>3442.5</v>
      </c>
      <c r="T386" s="8">
        <v>2454.38</v>
      </c>
      <c r="U386" s="8">
        <v>988.12</v>
      </c>
      <c r="V386" s="8" t="b">
        <f t="shared" ref="V386:V449" si="40">IF(AND(S386-T386&lt;0,U386=S386-T386),TRUE,FALSE)</f>
        <v>0</v>
      </c>
      <c r="W386" s="8">
        <f t="shared" ref="W386:W449" si="41">IF(V386=TRUE,ABS(U386),0)</f>
        <v>0</v>
      </c>
      <c r="X386" t="s">
        <v>46</v>
      </c>
      <c r="Y386" t="s">
        <v>65</v>
      </c>
      <c r="Z386" t="s">
        <v>64</v>
      </c>
      <c r="AA386">
        <v>3.5</v>
      </c>
      <c r="AB386" t="s">
        <v>99</v>
      </c>
      <c r="AC386" t="s">
        <v>67</v>
      </c>
    </row>
    <row r="387" spans="1:29" x14ac:dyDescent="0.3">
      <c r="A387" t="s">
        <v>508</v>
      </c>
      <c r="B387" s="6">
        <v>45659</v>
      </c>
      <c r="C387" s="6" t="str">
        <f t="shared" si="36"/>
        <v>8 AM - 12 PM</v>
      </c>
      <c r="D387" s="4">
        <v>0.43194444444444446</v>
      </c>
      <c r="E387" t="s">
        <v>108</v>
      </c>
      <c r="F387" t="s">
        <v>24</v>
      </c>
      <c r="G387" t="s">
        <v>120</v>
      </c>
      <c r="H387" t="s">
        <v>74</v>
      </c>
      <c r="I387" t="s">
        <v>82</v>
      </c>
      <c r="J387" t="s">
        <v>45</v>
      </c>
      <c r="K387">
        <v>1</v>
      </c>
      <c r="L387" s="8">
        <v>11450</v>
      </c>
      <c r="M387" s="8" t="str">
        <f t="shared" si="37"/>
        <v>21-30%</v>
      </c>
      <c r="N387">
        <v>30</v>
      </c>
      <c r="O387" t="str">
        <f t="shared" si="38"/>
        <v>Valid</v>
      </c>
      <c r="P387" t="str">
        <f t="shared" si="39"/>
        <v>Match</v>
      </c>
      <c r="Q387" s="8">
        <v>11450</v>
      </c>
      <c r="R387" s="8">
        <v>3435</v>
      </c>
      <c r="S387" s="8">
        <v>8015</v>
      </c>
      <c r="T387" s="8">
        <v>7613.79</v>
      </c>
      <c r="U387" s="8">
        <v>401.21</v>
      </c>
      <c r="V387" s="8" t="b">
        <f t="shared" si="40"/>
        <v>0</v>
      </c>
      <c r="W387" s="8">
        <f t="shared" si="41"/>
        <v>0</v>
      </c>
      <c r="X387" t="s">
        <v>46</v>
      </c>
      <c r="Y387" t="s">
        <v>70</v>
      </c>
      <c r="Z387" t="s">
        <v>38</v>
      </c>
      <c r="AA387">
        <v>4.5</v>
      </c>
      <c r="AB387" t="s">
        <v>151</v>
      </c>
      <c r="AC387" t="s">
        <v>67</v>
      </c>
    </row>
    <row r="388" spans="1:29" x14ac:dyDescent="0.3">
      <c r="A388" t="s">
        <v>509</v>
      </c>
      <c r="B388" s="6">
        <v>45931</v>
      </c>
      <c r="C388" s="6" t="str">
        <f t="shared" si="36"/>
        <v>4 AM - 8 AM</v>
      </c>
      <c r="D388" s="4">
        <v>0.28194444444444444</v>
      </c>
      <c r="E388" t="s">
        <v>60</v>
      </c>
      <c r="F388" t="s">
        <v>24</v>
      </c>
      <c r="G388" t="s">
        <v>88</v>
      </c>
      <c r="H388" t="s">
        <v>62</v>
      </c>
      <c r="I388" t="s">
        <v>82</v>
      </c>
      <c r="J388" t="s">
        <v>78</v>
      </c>
      <c r="K388">
        <v>4</v>
      </c>
      <c r="L388" s="8">
        <v>2300</v>
      </c>
      <c r="M388" s="8" t="str">
        <f t="shared" si="37"/>
        <v>11-20%</v>
      </c>
      <c r="N388">
        <v>15</v>
      </c>
      <c r="O388" t="str">
        <f t="shared" si="38"/>
        <v>Valid</v>
      </c>
      <c r="P388" t="str">
        <f t="shared" si="39"/>
        <v>Match</v>
      </c>
      <c r="Q388" s="8">
        <v>9200</v>
      </c>
      <c r="R388" s="8">
        <v>1380</v>
      </c>
      <c r="S388" s="8">
        <v>7820</v>
      </c>
      <c r="T388" s="8">
        <v>4793.45</v>
      </c>
      <c r="U388" s="8">
        <v>3026.55</v>
      </c>
      <c r="V388" s="8" t="b">
        <f t="shared" si="40"/>
        <v>0</v>
      </c>
      <c r="W388" s="8">
        <f t="shared" si="41"/>
        <v>0</v>
      </c>
      <c r="X388" t="s">
        <v>46</v>
      </c>
      <c r="Y388" t="s">
        <v>65</v>
      </c>
      <c r="Z388" t="s">
        <v>64</v>
      </c>
      <c r="AA388">
        <v>3.5</v>
      </c>
      <c r="AB388" t="s">
        <v>57</v>
      </c>
      <c r="AC388" t="s">
        <v>40</v>
      </c>
    </row>
    <row r="389" spans="1:29" x14ac:dyDescent="0.3">
      <c r="A389" t="s">
        <v>510</v>
      </c>
      <c r="B389" s="6">
        <v>45821</v>
      </c>
      <c r="C389" s="6" t="str">
        <f t="shared" si="36"/>
        <v>4 AM - 8 AM</v>
      </c>
      <c r="D389" s="4">
        <v>0.18472222222222223</v>
      </c>
      <c r="E389" t="s">
        <v>60</v>
      </c>
      <c r="F389" t="s">
        <v>24</v>
      </c>
      <c r="G389" t="s">
        <v>120</v>
      </c>
      <c r="H389" t="s">
        <v>34</v>
      </c>
      <c r="I389" t="s">
        <v>92</v>
      </c>
      <c r="J389" t="s">
        <v>35</v>
      </c>
      <c r="K389">
        <v>2</v>
      </c>
      <c r="L389" s="8">
        <v>4750</v>
      </c>
      <c r="M389" s="8" t="str">
        <f t="shared" si="37"/>
        <v>1-10%</v>
      </c>
      <c r="N389">
        <v>10</v>
      </c>
      <c r="O389" t="str">
        <f t="shared" si="38"/>
        <v>Valid</v>
      </c>
      <c r="P389" t="str">
        <f t="shared" si="39"/>
        <v>Match</v>
      </c>
      <c r="Q389" s="8">
        <v>9500</v>
      </c>
      <c r="R389" s="8">
        <v>950</v>
      </c>
      <c r="S389" s="8">
        <v>8550</v>
      </c>
      <c r="T389" s="8">
        <v>5754.97</v>
      </c>
      <c r="U389" s="8">
        <v>2795.03</v>
      </c>
      <c r="V389" s="8" t="b">
        <f t="shared" si="40"/>
        <v>0</v>
      </c>
      <c r="W389" s="8">
        <f t="shared" si="41"/>
        <v>0</v>
      </c>
      <c r="X389" t="s">
        <v>36</v>
      </c>
      <c r="Y389" t="s">
        <v>94</v>
      </c>
      <c r="Z389" t="s">
        <v>80</v>
      </c>
      <c r="AA389">
        <v>3</v>
      </c>
      <c r="AB389" t="s">
        <v>48</v>
      </c>
      <c r="AC389" t="s">
        <v>58</v>
      </c>
    </row>
    <row r="390" spans="1:29" x14ac:dyDescent="0.3">
      <c r="A390" t="s">
        <v>511</v>
      </c>
      <c r="B390" s="6">
        <v>45754</v>
      </c>
      <c r="C390" s="6" t="str">
        <f t="shared" si="36"/>
        <v>4 AM - 8 AM</v>
      </c>
      <c r="D390" s="4">
        <v>0.32222222222222224</v>
      </c>
      <c r="E390" t="s">
        <v>77</v>
      </c>
      <c r="F390" t="s">
        <v>51</v>
      </c>
      <c r="G390" t="s">
        <v>73</v>
      </c>
      <c r="H390" t="s">
        <v>53</v>
      </c>
      <c r="I390" t="s">
        <v>63</v>
      </c>
      <c r="J390" t="s">
        <v>93</v>
      </c>
      <c r="K390">
        <v>1</v>
      </c>
      <c r="L390" s="8">
        <v>6700</v>
      </c>
      <c r="M390" s="8" t="str">
        <f t="shared" si="37"/>
        <v>1-10%</v>
      </c>
      <c r="N390">
        <v>10</v>
      </c>
      <c r="O390" t="str">
        <f t="shared" si="38"/>
        <v>Valid</v>
      </c>
      <c r="P390" t="str">
        <f t="shared" si="39"/>
        <v>Match</v>
      </c>
      <c r="Q390" s="8">
        <v>6700</v>
      </c>
      <c r="R390" s="8">
        <v>670</v>
      </c>
      <c r="S390" s="8">
        <v>6030</v>
      </c>
      <c r="T390" s="8">
        <v>4903.74</v>
      </c>
      <c r="U390" s="8">
        <v>1126.26</v>
      </c>
      <c r="V390" s="8" t="b">
        <f t="shared" si="40"/>
        <v>0</v>
      </c>
      <c r="W390" s="8">
        <f t="shared" si="41"/>
        <v>0</v>
      </c>
      <c r="X390" t="s">
        <v>55</v>
      </c>
      <c r="Y390" t="s">
        <v>65</v>
      </c>
      <c r="Z390" t="s">
        <v>38</v>
      </c>
      <c r="AA390">
        <v>4.5</v>
      </c>
      <c r="AB390" t="s">
        <v>99</v>
      </c>
      <c r="AC390" t="s">
        <v>49</v>
      </c>
    </row>
    <row r="391" spans="1:29" x14ac:dyDescent="0.3">
      <c r="A391" t="s">
        <v>512</v>
      </c>
      <c r="B391" s="6">
        <v>45953</v>
      </c>
      <c r="C391" s="6" t="str">
        <f t="shared" si="36"/>
        <v>4 PM - 8 PM</v>
      </c>
      <c r="D391" s="4">
        <v>0.8256944444444444</v>
      </c>
      <c r="E391" t="s">
        <v>32</v>
      </c>
      <c r="F391" t="s">
        <v>24</v>
      </c>
      <c r="G391" t="s">
        <v>42</v>
      </c>
      <c r="H391" t="s">
        <v>53</v>
      </c>
      <c r="I391" t="s">
        <v>54</v>
      </c>
      <c r="J391" t="s">
        <v>93</v>
      </c>
      <c r="K391">
        <v>2</v>
      </c>
      <c r="L391" s="8">
        <v>33000</v>
      </c>
      <c r="M391" s="8" t="str">
        <f t="shared" si="37"/>
        <v>21-30%</v>
      </c>
      <c r="N391">
        <v>25</v>
      </c>
      <c r="O391" t="str">
        <f t="shared" si="38"/>
        <v>Valid</v>
      </c>
      <c r="P391" t="str">
        <f t="shared" si="39"/>
        <v>Match</v>
      </c>
      <c r="Q391" s="8">
        <v>66000</v>
      </c>
      <c r="R391" s="8">
        <v>16500</v>
      </c>
      <c r="S391" s="8">
        <v>49500</v>
      </c>
      <c r="T391" s="8">
        <v>42685.120000000003</v>
      </c>
      <c r="U391" s="8">
        <v>6814.88</v>
      </c>
      <c r="V391" s="8" t="b">
        <f t="shared" si="40"/>
        <v>0</v>
      </c>
      <c r="W391" s="8">
        <f t="shared" si="41"/>
        <v>0</v>
      </c>
      <c r="X391" t="s">
        <v>79</v>
      </c>
      <c r="Y391" t="s">
        <v>89</v>
      </c>
      <c r="Z391" t="s">
        <v>45</v>
      </c>
      <c r="AA391">
        <v>5</v>
      </c>
      <c r="AB391" t="s">
        <v>57</v>
      </c>
      <c r="AC391" t="s">
        <v>67</v>
      </c>
    </row>
    <row r="392" spans="1:29" x14ac:dyDescent="0.3">
      <c r="A392" t="s">
        <v>513</v>
      </c>
      <c r="B392" s="6">
        <v>45861</v>
      </c>
      <c r="C392" s="6" t="str">
        <f t="shared" si="36"/>
        <v>4 PM - 8 PM</v>
      </c>
      <c r="D392" s="4">
        <v>0.79513888888888884</v>
      </c>
      <c r="E392" t="s">
        <v>108</v>
      </c>
      <c r="F392" t="s">
        <v>96</v>
      </c>
      <c r="G392" t="s">
        <v>145</v>
      </c>
      <c r="H392" t="s">
        <v>43</v>
      </c>
      <c r="I392" t="s">
        <v>98</v>
      </c>
      <c r="J392" t="s">
        <v>93</v>
      </c>
      <c r="K392">
        <v>1</v>
      </c>
      <c r="L392" s="8">
        <v>3150</v>
      </c>
      <c r="M392" s="8" t="str">
        <f t="shared" si="37"/>
        <v>1-10%</v>
      </c>
      <c r="N392">
        <v>5</v>
      </c>
      <c r="O392" t="str">
        <f t="shared" si="38"/>
        <v>Valid</v>
      </c>
      <c r="P392" t="str">
        <f t="shared" si="39"/>
        <v>Match</v>
      </c>
      <c r="Q392" s="8">
        <v>3150</v>
      </c>
      <c r="R392" s="8">
        <v>157.5</v>
      </c>
      <c r="S392" s="8">
        <v>2992.5</v>
      </c>
      <c r="T392" s="8">
        <v>1888.4</v>
      </c>
      <c r="U392" s="8">
        <v>1104.0999999999999</v>
      </c>
      <c r="V392" s="8" t="b">
        <f t="shared" si="40"/>
        <v>0</v>
      </c>
      <c r="W392" s="8">
        <f t="shared" si="41"/>
        <v>0</v>
      </c>
      <c r="X392" t="s">
        <v>46</v>
      </c>
      <c r="Y392" t="s">
        <v>89</v>
      </c>
      <c r="Z392" t="s">
        <v>64</v>
      </c>
      <c r="AA392">
        <v>5</v>
      </c>
      <c r="AB392" t="s">
        <v>29</v>
      </c>
      <c r="AC392" t="s">
        <v>40</v>
      </c>
    </row>
    <row r="393" spans="1:29" x14ac:dyDescent="0.3">
      <c r="A393" t="s">
        <v>514</v>
      </c>
      <c r="B393" s="6">
        <v>45815</v>
      </c>
      <c r="C393" s="6" t="str">
        <f t="shared" si="36"/>
        <v>12 AM - 4 AM</v>
      </c>
      <c r="D393" s="4">
        <v>9.930555555555555E-2</v>
      </c>
      <c r="E393" t="s">
        <v>69</v>
      </c>
      <c r="F393" t="s">
        <v>24</v>
      </c>
      <c r="G393" t="s">
        <v>42</v>
      </c>
      <c r="H393" t="s">
        <v>113</v>
      </c>
      <c r="I393" t="s">
        <v>63</v>
      </c>
      <c r="J393" t="s">
        <v>93</v>
      </c>
      <c r="K393">
        <v>1</v>
      </c>
      <c r="L393" s="8">
        <v>53450</v>
      </c>
      <c r="M393" s="8" t="str">
        <f t="shared" si="37"/>
        <v>1-10%</v>
      </c>
      <c r="N393">
        <v>10</v>
      </c>
      <c r="O393" t="str">
        <f t="shared" si="38"/>
        <v>Valid</v>
      </c>
      <c r="P393" t="str">
        <f t="shared" si="39"/>
        <v>Match</v>
      </c>
      <c r="Q393" s="8">
        <v>53450</v>
      </c>
      <c r="R393" s="8">
        <v>5345</v>
      </c>
      <c r="S393" s="8">
        <v>48105</v>
      </c>
      <c r="T393" s="8">
        <v>39058.61</v>
      </c>
      <c r="U393" s="8">
        <v>9046.39</v>
      </c>
      <c r="V393" s="8" t="b">
        <f t="shared" si="40"/>
        <v>0</v>
      </c>
      <c r="W393" s="8">
        <f t="shared" si="41"/>
        <v>0</v>
      </c>
      <c r="X393" t="s">
        <v>36</v>
      </c>
      <c r="Y393" t="s">
        <v>89</v>
      </c>
      <c r="Z393" t="s">
        <v>56</v>
      </c>
      <c r="AA393">
        <v>4</v>
      </c>
      <c r="AB393" t="s">
        <v>48</v>
      </c>
      <c r="AC393" t="s">
        <v>71</v>
      </c>
    </row>
    <row r="394" spans="1:29" x14ac:dyDescent="0.3">
      <c r="A394" t="s">
        <v>515</v>
      </c>
      <c r="B394" s="6">
        <v>45742</v>
      </c>
      <c r="C394" s="6" t="str">
        <f t="shared" si="36"/>
        <v>12 PM - 4 PM</v>
      </c>
      <c r="D394" s="4">
        <v>0.60347222222222219</v>
      </c>
      <c r="E394" t="s">
        <v>60</v>
      </c>
      <c r="F394" t="s">
        <v>24</v>
      </c>
      <c r="G394" t="s">
        <v>33</v>
      </c>
      <c r="H394" t="s">
        <v>102</v>
      </c>
      <c r="I394" t="s">
        <v>63</v>
      </c>
      <c r="J394" t="s">
        <v>35</v>
      </c>
      <c r="K394">
        <v>2</v>
      </c>
      <c r="L394" s="8">
        <v>1200</v>
      </c>
      <c r="M394" s="8" t="str">
        <f t="shared" si="37"/>
        <v>0%</v>
      </c>
      <c r="N394">
        <v>0</v>
      </c>
      <c r="O394" t="str">
        <f t="shared" si="38"/>
        <v>Valid</v>
      </c>
      <c r="P394" t="str">
        <f t="shared" si="39"/>
        <v>Match</v>
      </c>
      <c r="Q394" s="8">
        <v>2400</v>
      </c>
      <c r="R394" s="8">
        <v>0</v>
      </c>
      <c r="S394" s="8">
        <v>2400</v>
      </c>
      <c r="T394" s="8">
        <v>1330.06</v>
      </c>
      <c r="U394" s="8">
        <v>1069.94</v>
      </c>
      <c r="V394" s="8" t="b">
        <f t="shared" si="40"/>
        <v>0</v>
      </c>
      <c r="W394" s="8">
        <f t="shared" si="41"/>
        <v>0</v>
      </c>
      <c r="X394" t="s">
        <v>28</v>
      </c>
      <c r="Y394" t="s">
        <v>89</v>
      </c>
      <c r="Z394" t="s">
        <v>45</v>
      </c>
      <c r="AA394">
        <v>4</v>
      </c>
      <c r="AB394" t="s">
        <v>127</v>
      </c>
      <c r="AC394" t="s">
        <v>40</v>
      </c>
    </row>
    <row r="395" spans="1:29" x14ac:dyDescent="0.3">
      <c r="A395" t="s">
        <v>516</v>
      </c>
      <c r="B395" s="6">
        <v>45774</v>
      </c>
      <c r="C395" s="6" t="str">
        <f t="shared" si="36"/>
        <v>8 AM - 12 PM</v>
      </c>
      <c r="D395" s="4">
        <v>0.46597222222222223</v>
      </c>
      <c r="E395" t="s">
        <v>60</v>
      </c>
      <c r="F395" t="s">
        <v>96</v>
      </c>
      <c r="G395" t="s">
        <v>134</v>
      </c>
      <c r="H395" t="s">
        <v>102</v>
      </c>
      <c r="I395" t="s">
        <v>125</v>
      </c>
      <c r="J395" t="s">
        <v>35</v>
      </c>
      <c r="K395">
        <v>5</v>
      </c>
      <c r="L395" s="8">
        <v>4300</v>
      </c>
      <c r="M395" s="8" t="str">
        <f t="shared" si="37"/>
        <v>21-30%</v>
      </c>
      <c r="N395">
        <v>30</v>
      </c>
      <c r="O395" t="str">
        <f t="shared" si="38"/>
        <v>Valid</v>
      </c>
      <c r="P395" t="str">
        <f t="shared" si="39"/>
        <v>Match</v>
      </c>
      <c r="Q395" s="8">
        <v>21500</v>
      </c>
      <c r="R395" s="8">
        <v>6450</v>
      </c>
      <c r="S395" s="8">
        <v>15050</v>
      </c>
      <c r="T395" s="8">
        <v>12098.18</v>
      </c>
      <c r="U395" s="8">
        <v>2951.82</v>
      </c>
      <c r="V395" s="8" t="b">
        <f t="shared" si="40"/>
        <v>0</v>
      </c>
      <c r="W395" s="8">
        <f t="shared" si="41"/>
        <v>0</v>
      </c>
      <c r="X395" t="s">
        <v>36</v>
      </c>
      <c r="Y395" t="s">
        <v>65</v>
      </c>
      <c r="Z395" t="s">
        <v>38</v>
      </c>
      <c r="AA395">
        <v>3</v>
      </c>
      <c r="AB395" t="s">
        <v>99</v>
      </c>
      <c r="AC395" t="s">
        <v>30</v>
      </c>
    </row>
    <row r="396" spans="1:29" x14ac:dyDescent="0.3">
      <c r="A396" t="s">
        <v>517</v>
      </c>
      <c r="B396" s="6">
        <v>45878</v>
      </c>
      <c r="C396" s="6" t="str">
        <f t="shared" si="36"/>
        <v>4 PM - 8 PM</v>
      </c>
      <c r="D396" s="4">
        <v>0.69097222222222221</v>
      </c>
      <c r="E396" t="s">
        <v>23</v>
      </c>
      <c r="F396" t="s">
        <v>24</v>
      </c>
      <c r="G396" t="s">
        <v>84</v>
      </c>
      <c r="H396" t="s">
        <v>53</v>
      </c>
      <c r="I396" t="s">
        <v>54</v>
      </c>
      <c r="J396" t="s">
        <v>35</v>
      </c>
      <c r="K396">
        <v>1</v>
      </c>
      <c r="L396" s="8">
        <v>27300</v>
      </c>
      <c r="M396" s="8" t="str">
        <f t="shared" si="37"/>
        <v>1-10%</v>
      </c>
      <c r="N396">
        <v>10</v>
      </c>
      <c r="O396" t="str">
        <f t="shared" si="38"/>
        <v>Valid</v>
      </c>
      <c r="P396" t="str">
        <f t="shared" si="39"/>
        <v>Match</v>
      </c>
      <c r="Q396" s="8">
        <v>27300</v>
      </c>
      <c r="R396" s="8">
        <v>2730</v>
      </c>
      <c r="S396" s="8">
        <v>24570</v>
      </c>
      <c r="T396" s="8">
        <v>16332.91</v>
      </c>
      <c r="U396" s="8">
        <v>8237.09</v>
      </c>
      <c r="V396" s="8" t="b">
        <f t="shared" si="40"/>
        <v>0</v>
      </c>
      <c r="W396" s="8">
        <f t="shared" si="41"/>
        <v>0</v>
      </c>
      <c r="X396" t="s">
        <v>55</v>
      </c>
      <c r="Y396" t="s">
        <v>65</v>
      </c>
      <c r="Z396" t="s">
        <v>85</v>
      </c>
      <c r="AA396">
        <v>4</v>
      </c>
      <c r="AB396" t="s">
        <v>90</v>
      </c>
      <c r="AC396" t="s">
        <v>71</v>
      </c>
    </row>
    <row r="397" spans="1:29" x14ac:dyDescent="0.3">
      <c r="A397" t="s">
        <v>518</v>
      </c>
      <c r="B397" s="6">
        <v>45862</v>
      </c>
      <c r="C397" s="6" t="str">
        <f t="shared" si="36"/>
        <v>4 AM - 8 AM</v>
      </c>
      <c r="D397" s="4">
        <v>0.2</v>
      </c>
      <c r="E397" t="s">
        <v>157</v>
      </c>
      <c r="F397" t="s">
        <v>24</v>
      </c>
      <c r="G397" t="s">
        <v>120</v>
      </c>
      <c r="H397" t="s">
        <v>34</v>
      </c>
      <c r="I397" t="s">
        <v>63</v>
      </c>
      <c r="J397" t="s">
        <v>35</v>
      </c>
      <c r="K397">
        <v>1</v>
      </c>
      <c r="L397" s="8">
        <v>13250</v>
      </c>
      <c r="M397" s="8" t="str">
        <f t="shared" si="37"/>
        <v>21-30%</v>
      </c>
      <c r="N397">
        <v>30</v>
      </c>
      <c r="O397" t="str">
        <f t="shared" si="38"/>
        <v>Valid</v>
      </c>
      <c r="P397" t="str">
        <f t="shared" si="39"/>
        <v>Match</v>
      </c>
      <c r="Q397" s="8">
        <v>13250</v>
      </c>
      <c r="R397" s="8">
        <v>3975</v>
      </c>
      <c r="S397" s="8">
        <v>9275</v>
      </c>
      <c r="T397" s="8">
        <v>7896.76</v>
      </c>
      <c r="U397" s="8">
        <v>1378.24</v>
      </c>
      <c r="V397" s="8" t="b">
        <f t="shared" si="40"/>
        <v>0</v>
      </c>
      <c r="W397" s="8">
        <f t="shared" si="41"/>
        <v>0</v>
      </c>
      <c r="X397" t="s">
        <v>36</v>
      </c>
      <c r="Y397" t="s">
        <v>37</v>
      </c>
      <c r="Z397" t="s">
        <v>45</v>
      </c>
      <c r="AA397">
        <v>4</v>
      </c>
      <c r="AB397" t="s">
        <v>29</v>
      </c>
      <c r="AC397" t="s">
        <v>67</v>
      </c>
    </row>
    <row r="398" spans="1:29" x14ac:dyDescent="0.3">
      <c r="A398" t="s">
        <v>519</v>
      </c>
      <c r="B398" s="6">
        <v>45685</v>
      </c>
      <c r="C398" s="6" t="str">
        <f t="shared" si="36"/>
        <v>8 AM - 12 PM</v>
      </c>
      <c r="D398" s="4">
        <v>0.47847222222222224</v>
      </c>
      <c r="E398" t="s">
        <v>77</v>
      </c>
      <c r="F398" t="s">
        <v>96</v>
      </c>
      <c r="G398" t="s">
        <v>145</v>
      </c>
      <c r="H398" t="s">
        <v>102</v>
      </c>
      <c r="I398" t="s">
        <v>63</v>
      </c>
      <c r="J398" t="s">
        <v>93</v>
      </c>
      <c r="K398">
        <v>3</v>
      </c>
      <c r="L398" s="8">
        <v>3350</v>
      </c>
      <c r="M398" s="8" t="str">
        <f t="shared" si="37"/>
        <v>0%</v>
      </c>
      <c r="N398">
        <v>0</v>
      </c>
      <c r="O398" t="str">
        <f t="shared" si="38"/>
        <v>Valid</v>
      </c>
      <c r="P398" t="str">
        <f t="shared" si="39"/>
        <v>Match</v>
      </c>
      <c r="Q398" s="8">
        <v>10050</v>
      </c>
      <c r="R398" s="8">
        <v>0</v>
      </c>
      <c r="S398" s="8">
        <v>10050</v>
      </c>
      <c r="T398" s="8">
        <v>5879.17</v>
      </c>
      <c r="U398" s="8">
        <v>4170.83</v>
      </c>
      <c r="V398" s="8" t="b">
        <f t="shared" si="40"/>
        <v>0</v>
      </c>
      <c r="W398" s="8">
        <f t="shared" si="41"/>
        <v>0</v>
      </c>
      <c r="X398" t="s">
        <v>79</v>
      </c>
      <c r="Y398" t="s">
        <v>94</v>
      </c>
      <c r="Z398" t="s">
        <v>80</v>
      </c>
      <c r="AA398">
        <v>4.5</v>
      </c>
      <c r="AB398" t="s">
        <v>151</v>
      </c>
      <c r="AC398" t="s">
        <v>86</v>
      </c>
    </row>
    <row r="399" spans="1:29" x14ac:dyDescent="0.3">
      <c r="A399" t="s">
        <v>520</v>
      </c>
      <c r="B399" s="6">
        <v>46008</v>
      </c>
      <c r="C399" s="6" t="str">
        <f t="shared" si="36"/>
        <v>8 AM - 12 PM</v>
      </c>
      <c r="D399" s="4">
        <v>0.38472222222222224</v>
      </c>
      <c r="E399" t="s">
        <v>32</v>
      </c>
      <c r="F399" t="s">
        <v>96</v>
      </c>
      <c r="G399" t="s">
        <v>97</v>
      </c>
      <c r="H399" t="s">
        <v>26</v>
      </c>
      <c r="I399" t="s">
        <v>63</v>
      </c>
      <c r="J399" t="s">
        <v>35</v>
      </c>
      <c r="K399">
        <v>1</v>
      </c>
      <c r="L399" s="8">
        <v>4500</v>
      </c>
      <c r="M399" s="8" t="str">
        <f t="shared" si="37"/>
        <v>0%</v>
      </c>
      <c r="N399">
        <v>0</v>
      </c>
      <c r="O399" t="str">
        <f t="shared" si="38"/>
        <v>Valid</v>
      </c>
      <c r="P399" t="str">
        <f t="shared" si="39"/>
        <v>Match</v>
      </c>
      <c r="Q399" s="8">
        <v>4500</v>
      </c>
      <c r="R399" s="8">
        <v>0</v>
      </c>
      <c r="S399" s="8">
        <v>4500</v>
      </c>
      <c r="T399" s="8">
        <v>2572.42</v>
      </c>
      <c r="U399" s="8">
        <v>1927.58</v>
      </c>
      <c r="V399" s="8" t="b">
        <f t="shared" si="40"/>
        <v>0</v>
      </c>
      <c r="W399" s="8">
        <f t="shared" si="41"/>
        <v>0</v>
      </c>
      <c r="X399" t="s">
        <v>79</v>
      </c>
      <c r="Y399" t="s">
        <v>37</v>
      </c>
      <c r="Z399" t="s">
        <v>45</v>
      </c>
      <c r="AA399">
        <v>4</v>
      </c>
      <c r="AB399" t="s">
        <v>39</v>
      </c>
      <c r="AC399" t="s">
        <v>40</v>
      </c>
    </row>
    <row r="400" spans="1:29" x14ac:dyDescent="0.3">
      <c r="A400" t="s">
        <v>521</v>
      </c>
      <c r="B400" s="6">
        <v>45836</v>
      </c>
      <c r="C400" s="6" t="str">
        <f t="shared" si="36"/>
        <v>4 PM - 8 PM</v>
      </c>
      <c r="D400" s="4">
        <v>0.69791666666666663</v>
      </c>
      <c r="E400" t="s">
        <v>77</v>
      </c>
      <c r="F400" t="s">
        <v>24</v>
      </c>
      <c r="G400" t="s">
        <v>42</v>
      </c>
      <c r="H400" t="s">
        <v>53</v>
      </c>
      <c r="I400" t="s">
        <v>44</v>
      </c>
      <c r="J400" t="s">
        <v>45</v>
      </c>
      <c r="K400">
        <v>1</v>
      </c>
      <c r="L400" s="8">
        <v>124200</v>
      </c>
      <c r="M400" s="8" t="str">
        <f t="shared" si="37"/>
        <v>11-20%</v>
      </c>
      <c r="N400">
        <v>15</v>
      </c>
      <c r="O400" t="str">
        <f t="shared" si="38"/>
        <v>Valid</v>
      </c>
      <c r="P400" t="str">
        <f t="shared" si="39"/>
        <v>Match</v>
      </c>
      <c r="Q400" s="8">
        <v>124200</v>
      </c>
      <c r="R400" s="8">
        <v>18630</v>
      </c>
      <c r="S400" s="8">
        <v>105570</v>
      </c>
      <c r="T400" s="8">
        <v>90735.72</v>
      </c>
      <c r="U400" s="8">
        <v>14834.28</v>
      </c>
      <c r="V400" s="8" t="b">
        <f t="shared" si="40"/>
        <v>0</v>
      </c>
      <c r="W400" s="8">
        <f t="shared" si="41"/>
        <v>0</v>
      </c>
      <c r="X400" t="s">
        <v>28</v>
      </c>
      <c r="Y400" t="s">
        <v>65</v>
      </c>
      <c r="Z400" t="s">
        <v>85</v>
      </c>
      <c r="AA400">
        <v>5</v>
      </c>
      <c r="AB400" t="s">
        <v>48</v>
      </c>
      <c r="AC400" t="s">
        <v>71</v>
      </c>
    </row>
    <row r="401" spans="1:29" x14ac:dyDescent="0.3">
      <c r="A401" t="s">
        <v>522</v>
      </c>
      <c r="B401" s="6">
        <v>45775</v>
      </c>
      <c r="C401" s="6" t="str">
        <f t="shared" si="36"/>
        <v>4 PM - 8 PM</v>
      </c>
      <c r="D401" s="4">
        <v>0.77152777777777781</v>
      </c>
      <c r="E401" t="s">
        <v>622</v>
      </c>
      <c r="F401" t="s">
        <v>51</v>
      </c>
      <c r="G401" t="s">
        <v>101</v>
      </c>
      <c r="H401" t="s">
        <v>26</v>
      </c>
      <c r="I401" t="s">
        <v>44</v>
      </c>
      <c r="J401" t="s">
        <v>35</v>
      </c>
      <c r="K401">
        <v>1</v>
      </c>
      <c r="L401" s="8">
        <v>11700</v>
      </c>
      <c r="M401" s="8" t="str">
        <f t="shared" si="37"/>
        <v>11-20%</v>
      </c>
      <c r="N401">
        <v>20</v>
      </c>
      <c r="O401" t="str">
        <f t="shared" si="38"/>
        <v>Valid</v>
      </c>
      <c r="P401" t="str">
        <f t="shared" si="39"/>
        <v>Match</v>
      </c>
      <c r="Q401" s="8">
        <v>11700</v>
      </c>
      <c r="R401" s="8">
        <v>2340</v>
      </c>
      <c r="S401" s="8">
        <v>9360</v>
      </c>
      <c r="T401" s="8">
        <v>6176.68</v>
      </c>
      <c r="U401" s="8">
        <v>3183.32</v>
      </c>
      <c r="V401" s="8" t="b">
        <f t="shared" si="40"/>
        <v>0</v>
      </c>
      <c r="W401" s="8">
        <f t="shared" si="41"/>
        <v>0</v>
      </c>
      <c r="X401" t="s">
        <v>28</v>
      </c>
      <c r="Y401" t="s">
        <v>70</v>
      </c>
      <c r="Z401" t="s">
        <v>85</v>
      </c>
      <c r="AA401">
        <v>4.5</v>
      </c>
      <c r="AB401" t="s">
        <v>99</v>
      </c>
      <c r="AC401" t="s">
        <v>49</v>
      </c>
    </row>
    <row r="402" spans="1:29" x14ac:dyDescent="0.3">
      <c r="A402" t="s">
        <v>523</v>
      </c>
      <c r="B402" s="6">
        <v>45764</v>
      </c>
      <c r="C402" s="6" t="str">
        <f t="shared" si="36"/>
        <v>4 PM - 8 PM</v>
      </c>
      <c r="D402" s="4">
        <v>0.81805555555555554</v>
      </c>
      <c r="E402" t="s">
        <v>622</v>
      </c>
      <c r="F402" t="s">
        <v>96</v>
      </c>
      <c r="G402" t="s">
        <v>97</v>
      </c>
      <c r="H402" t="s">
        <v>26</v>
      </c>
      <c r="I402" t="s">
        <v>103</v>
      </c>
      <c r="J402" t="s">
        <v>78</v>
      </c>
      <c r="K402">
        <v>2</v>
      </c>
      <c r="L402" s="8">
        <v>1350</v>
      </c>
      <c r="M402" s="8" t="str">
        <f t="shared" si="37"/>
        <v>21-30%</v>
      </c>
      <c r="N402">
        <v>25</v>
      </c>
      <c r="O402" t="str">
        <f t="shared" si="38"/>
        <v>Valid</v>
      </c>
      <c r="P402" t="str">
        <f t="shared" si="39"/>
        <v>Match</v>
      </c>
      <c r="Q402" s="8">
        <v>2700</v>
      </c>
      <c r="R402" s="8">
        <v>675</v>
      </c>
      <c r="S402" s="8">
        <v>2025</v>
      </c>
      <c r="T402" s="8">
        <v>1634.25</v>
      </c>
      <c r="U402" s="8">
        <v>390.75</v>
      </c>
      <c r="V402" s="8" t="b">
        <f t="shared" si="40"/>
        <v>0</v>
      </c>
      <c r="W402" s="8">
        <f t="shared" si="41"/>
        <v>0</v>
      </c>
      <c r="X402" t="s">
        <v>79</v>
      </c>
      <c r="Y402" t="s">
        <v>1137</v>
      </c>
      <c r="Z402" t="s">
        <v>45</v>
      </c>
      <c r="AA402">
        <v>3</v>
      </c>
      <c r="AB402" t="s">
        <v>99</v>
      </c>
      <c r="AC402" t="s">
        <v>67</v>
      </c>
    </row>
    <row r="403" spans="1:29" x14ac:dyDescent="0.3">
      <c r="A403" t="s">
        <v>524</v>
      </c>
      <c r="B403" s="6">
        <v>45873</v>
      </c>
      <c r="C403" s="6" t="str">
        <f t="shared" si="36"/>
        <v>12 AM - 4 AM</v>
      </c>
      <c r="D403" s="4">
        <v>9.930555555555555E-2</v>
      </c>
      <c r="E403" t="s">
        <v>77</v>
      </c>
      <c r="F403" t="s">
        <v>24</v>
      </c>
      <c r="G403" t="s">
        <v>42</v>
      </c>
      <c r="H403" t="s">
        <v>26</v>
      </c>
      <c r="I403" t="s">
        <v>63</v>
      </c>
      <c r="J403" t="s">
        <v>64</v>
      </c>
      <c r="K403">
        <v>1</v>
      </c>
      <c r="L403" s="8">
        <v>49900</v>
      </c>
      <c r="M403" s="8" t="str">
        <f t="shared" si="37"/>
        <v>21-30%</v>
      </c>
      <c r="N403">
        <v>25</v>
      </c>
      <c r="O403" t="str">
        <f t="shared" si="38"/>
        <v>Valid</v>
      </c>
      <c r="P403" t="str">
        <f t="shared" si="39"/>
        <v>Match</v>
      </c>
      <c r="Q403" s="8">
        <v>49900</v>
      </c>
      <c r="R403" s="8">
        <v>12475</v>
      </c>
      <c r="S403" s="8">
        <v>37425</v>
      </c>
      <c r="T403" s="8">
        <v>33017.699999999997</v>
      </c>
      <c r="U403" s="8">
        <v>4407.3</v>
      </c>
      <c r="V403" s="8" t="b">
        <f t="shared" si="40"/>
        <v>0</v>
      </c>
      <c r="W403" s="8">
        <f t="shared" si="41"/>
        <v>0</v>
      </c>
      <c r="X403" t="s">
        <v>55</v>
      </c>
      <c r="Y403" t="s">
        <v>104</v>
      </c>
      <c r="Z403" t="s">
        <v>56</v>
      </c>
      <c r="AA403">
        <v>5</v>
      </c>
      <c r="AB403" t="s">
        <v>90</v>
      </c>
      <c r="AC403" t="s">
        <v>49</v>
      </c>
    </row>
    <row r="404" spans="1:29" x14ac:dyDescent="0.3">
      <c r="A404" t="s">
        <v>525</v>
      </c>
      <c r="B404" s="6">
        <v>45844</v>
      </c>
      <c r="C404" s="6" t="str">
        <f t="shared" si="36"/>
        <v>12 PM - 4 PM</v>
      </c>
      <c r="D404" s="4">
        <v>0.5444444444444444</v>
      </c>
      <c r="E404" t="s">
        <v>32</v>
      </c>
      <c r="F404" t="s">
        <v>96</v>
      </c>
      <c r="G404" t="s">
        <v>134</v>
      </c>
      <c r="H404" t="s">
        <v>102</v>
      </c>
      <c r="I404" t="s">
        <v>44</v>
      </c>
      <c r="J404" t="s">
        <v>78</v>
      </c>
      <c r="K404">
        <v>4</v>
      </c>
      <c r="L404" s="8">
        <v>4700</v>
      </c>
      <c r="M404" s="8" t="str">
        <f t="shared" si="37"/>
        <v>21-30%</v>
      </c>
      <c r="N404">
        <v>25</v>
      </c>
      <c r="O404" t="str">
        <f t="shared" si="38"/>
        <v>Valid</v>
      </c>
      <c r="P404" t="str">
        <f t="shared" si="39"/>
        <v>Match</v>
      </c>
      <c r="Q404" s="8">
        <v>18800</v>
      </c>
      <c r="R404" s="8">
        <v>4700</v>
      </c>
      <c r="S404" s="8">
        <v>14100</v>
      </c>
      <c r="T404" s="8">
        <v>12549.72</v>
      </c>
      <c r="U404" s="8">
        <v>1550.28</v>
      </c>
      <c r="V404" s="8" t="b">
        <f t="shared" si="40"/>
        <v>0</v>
      </c>
      <c r="W404" s="8">
        <f t="shared" si="41"/>
        <v>0</v>
      </c>
      <c r="X404" t="s">
        <v>28</v>
      </c>
      <c r="Y404" t="s">
        <v>89</v>
      </c>
      <c r="Z404" t="s">
        <v>38</v>
      </c>
      <c r="AA404">
        <v>5</v>
      </c>
      <c r="AB404" t="s">
        <v>29</v>
      </c>
      <c r="AC404" t="s">
        <v>30</v>
      </c>
    </row>
    <row r="405" spans="1:29" x14ac:dyDescent="0.3">
      <c r="A405" t="s">
        <v>526</v>
      </c>
      <c r="B405" s="6">
        <v>45796</v>
      </c>
      <c r="C405" s="6" t="str">
        <f t="shared" si="36"/>
        <v>4 AM - 8 AM</v>
      </c>
      <c r="D405" s="4">
        <v>0.1986111111111111</v>
      </c>
      <c r="E405" t="s">
        <v>23</v>
      </c>
      <c r="F405" t="s">
        <v>51</v>
      </c>
      <c r="G405" t="s">
        <v>122</v>
      </c>
      <c r="H405" t="s">
        <v>62</v>
      </c>
      <c r="I405" t="s">
        <v>44</v>
      </c>
      <c r="J405" t="s">
        <v>35</v>
      </c>
      <c r="K405">
        <v>2</v>
      </c>
      <c r="L405" s="8">
        <v>5250</v>
      </c>
      <c r="M405" s="8" t="str">
        <f t="shared" si="37"/>
        <v>1-10%</v>
      </c>
      <c r="N405">
        <v>5</v>
      </c>
      <c r="O405" t="str">
        <f t="shared" si="38"/>
        <v>Valid</v>
      </c>
      <c r="P405" t="str">
        <f t="shared" si="39"/>
        <v>Match</v>
      </c>
      <c r="Q405" s="8">
        <v>10500</v>
      </c>
      <c r="R405" s="8">
        <v>525</v>
      </c>
      <c r="S405" s="8">
        <v>9975</v>
      </c>
      <c r="T405" s="8">
        <v>7663.01</v>
      </c>
      <c r="U405" s="8">
        <v>2311.9899999999998</v>
      </c>
      <c r="V405" s="8" t="b">
        <f t="shared" si="40"/>
        <v>0</v>
      </c>
      <c r="W405" s="8">
        <f t="shared" si="41"/>
        <v>0</v>
      </c>
      <c r="X405" t="s">
        <v>28</v>
      </c>
      <c r="Y405" t="s">
        <v>89</v>
      </c>
      <c r="Z405" t="s">
        <v>85</v>
      </c>
      <c r="AA405">
        <v>3.5</v>
      </c>
      <c r="AB405" t="s">
        <v>111</v>
      </c>
      <c r="AC405" t="s">
        <v>49</v>
      </c>
    </row>
    <row r="406" spans="1:29" x14ac:dyDescent="0.3">
      <c r="A406" t="s">
        <v>527</v>
      </c>
      <c r="B406" s="6">
        <v>45785</v>
      </c>
      <c r="C406" s="6" t="str">
        <f t="shared" si="36"/>
        <v>4 PM - 8 PM</v>
      </c>
      <c r="D406" s="4">
        <v>0.68541666666666667</v>
      </c>
      <c r="E406" t="s">
        <v>60</v>
      </c>
      <c r="F406" t="s">
        <v>24</v>
      </c>
      <c r="G406" t="s">
        <v>110</v>
      </c>
      <c r="H406" t="s">
        <v>53</v>
      </c>
      <c r="I406" t="s">
        <v>92</v>
      </c>
      <c r="J406" t="s">
        <v>45</v>
      </c>
      <c r="K406">
        <v>5</v>
      </c>
      <c r="L406" s="8">
        <v>2750</v>
      </c>
      <c r="M406" s="8" t="str">
        <f t="shared" si="37"/>
        <v>21-30%</v>
      </c>
      <c r="N406">
        <v>25</v>
      </c>
      <c r="O406" t="str">
        <f t="shared" si="38"/>
        <v>Valid</v>
      </c>
      <c r="P406" t="str">
        <f t="shared" si="39"/>
        <v>Match</v>
      </c>
      <c r="Q406" s="8">
        <v>13750</v>
      </c>
      <c r="R406" s="8">
        <v>3437.5</v>
      </c>
      <c r="S406" s="8">
        <v>10312.5</v>
      </c>
      <c r="T406" s="8">
        <v>9881.2800000000007</v>
      </c>
      <c r="U406" s="8">
        <v>431.22</v>
      </c>
      <c r="V406" s="8" t="b">
        <f t="shared" si="40"/>
        <v>0</v>
      </c>
      <c r="W406" s="8">
        <f t="shared" si="41"/>
        <v>0</v>
      </c>
      <c r="X406" t="s">
        <v>46</v>
      </c>
      <c r="Y406" t="s">
        <v>104</v>
      </c>
      <c r="Z406" t="s">
        <v>64</v>
      </c>
      <c r="AA406">
        <v>4</v>
      </c>
      <c r="AB406" t="s">
        <v>111</v>
      </c>
      <c r="AC406" t="s">
        <v>67</v>
      </c>
    </row>
    <row r="407" spans="1:29" x14ac:dyDescent="0.3">
      <c r="A407" t="s">
        <v>528</v>
      </c>
      <c r="B407" s="6">
        <v>45795</v>
      </c>
      <c r="C407" s="6" t="str">
        <f t="shared" si="36"/>
        <v>4 AM - 8 AM</v>
      </c>
      <c r="D407" s="4">
        <v>0.29097222222222224</v>
      </c>
      <c r="E407" t="s">
        <v>32</v>
      </c>
      <c r="F407" t="s">
        <v>96</v>
      </c>
      <c r="G407" t="s">
        <v>115</v>
      </c>
      <c r="H407" t="s">
        <v>62</v>
      </c>
      <c r="I407" t="s">
        <v>98</v>
      </c>
      <c r="J407" t="s">
        <v>35</v>
      </c>
      <c r="K407">
        <v>2</v>
      </c>
      <c r="L407" s="8">
        <v>8550</v>
      </c>
      <c r="M407" s="8" t="str">
        <f t="shared" si="37"/>
        <v>1-10%</v>
      </c>
      <c r="N407">
        <v>10</v>
      </c>
      <c r="O407" t="str">
        <f t="shared" si="38"/>
        <v>Valid</v>
      </c>
      <c r="P407" t="str">
        <f t="shared" si="39"/>
        <v>Match</v>
      </c>
      <c r="Q407" s="8">
        <v>17100</v>
      </c>
      <c r="R407" s="8">
        <v>1710</v>
      </c>
      <c r="S407" s="8">
        <v>15390</v>
      </c>
      <c r="T407" s="8">
        <v>11955.13</v>
      </c>
      <c r="U407" s="8">
        <v>3434.87</v>
      </c>
      <c r="V407" s="8" t="b">
        <f t="shared" si="40"/>
        <v>0</v>
      </c>
      <c r="W407" s="8">
        <f t="shared" si="41"/>
        <v>0</v>
      </c>
      <c r="X407" t="s">
        <v>46</v>
      </c>
      <c r="Y407" t="s">
        <v>37</v>
      </c>
      <c r="Z407" t="s">
        <v>64</v>
      </c>
      <c r="AA407">
        <v>4</v>
      </c>
      <c r="AB407" t="s">
        <v>111</v>
      </c>
      <c r="AC407" t="s">
        <v>30</v>
      </c>
    </row>
    <row r="408" spans="1:29" x14ac:dyDescent="0.3">
      <c r="A408" t="s">
        <v>529</v>
      </c>
      <c r="B408" s="6">
        <v>45714</v>
      </c>
      <c r="C408" s="6" t="str">
        <f t="shared" si="36"/>
        <v>12 PM - 4 PM</v>
      </c>
      <c r="D408" s="4">
        <v>0.62430555555555556</v>
      </c>
      <c r="E408" t="s">
        <v>69</v>
      </c>
      <c r="F408" t="s">
        <v>24</v>
      </c>
      <c r="G408" t="s">
        <v>84</v>
      </c>
      <c r="H408" t="s">
        <v>74</v>
      </c>
      <c r="I408" t="s">
        <v>27</v>
      </c>
      <c r="J408" t="s">
        <v>35</v>
      </c>
      <c r="K408">
        <v>2</v>
      </c>
      <c r="L408" s="8">
        <v>22650</v>
      </c>
      <c r="M408" s="8" t="str">
        <f t="shared" si="37"/>
        <v>11-20%</v>
      </c>
      <c r="N408">
        <v>20</v>
      </c>
      <c r="O408" t="str">
        <f t="shared" si="38"/>
        <v>Valid</v>
      </c>
      <c r="P408" t="str">
        <f t="shared" si="39"/>
        <v>Match</v>
      </c>
      <c r="Q408" s="8">
        <v>45300</v>
      </c>
      <c r="R408" s="8">
        <v>9060</v>
      </c>
      <c r="S408" s="8">
        <v>36240</v>
      </c>
      <c r="T408" s="8">
        <v>32195.91</v>
      </c>
      <c r="U408" s="8">
        <v>4044.09</v>
      </c>
      <c r="V408" s="8" t="b">
        <f t="shared" si="40"/>
        <v>0</v>
      </c>
      <c r="W408" s="8">
        <f t="shared" si="41"/>
        <v>0</v>
      </c>
      <c r="X408" t="s">
        <v>46</v>
      </c>
      <c r="Y408" t="s">
        <v>104</v>
      </c>
      <c r="Z408" t="s">
        <v>56</v>
      </c>
      <c r="AA408">
        <v>3.5</v>
      </c>
      <c r="AB408" t="s">
        <v>66</v>
      </c>
      <c r="AC408" t="s">
        <v>40</v>
      </c>
    </row>
    <row r="409" spans="1:29" x14ac:dyDescent="0.3">
      <c r="A409" t="s">
        <v>530</v>
      </c>
      <c r="B409" s="6">
        <v>45847</v>
      </c>
      <c r="C409" s="6" t="str">
        <f t="shared" si="36"/>
        <v>12 AM - 4 AM</v>
      </c>
      <c r="D409" s="4">
        <v>3.2638888888888891E-2</v>
      </c>
      <c r="E409" t="s">
        <v>69</v>
      </c>
      <c r="F409" t="s">
        <v>24</v>
      </c>
      <c r="G409" t="s">
        <v>42</v>
      </c>
      <c r="H409" t="s">
        <v>34</v>
      </c>
      <c r="I409" t="s">
        <v>54</v>
      </c>
      <c r="J409" t="s">
        <v>93</v>
      </c>
      <c r="K409">
        <v>1</v>
      </c>
      <c r="L409" s="8">
        <v>52800</v>
      </c>
      <c r="M409" s="8" t="str">
        <f t="shared" si="37"/>
        <v>21-30%</v>
      </c>
      <c r="N409">
        <v>25</v>
      </c>
      <c r="O409" t="str">
        <f t="shared" si="38"/>
        <v>Valid</v>
      </c>
      <c r="P409" t="str">
        <f t="shared" si="39"/>
        <v>Match</v>
      </c>
      <c r="Q409" s="8">
        <v>52800</v>
      </c>
      <c r="R409" s="8">
        <v>13200</v>
      </c>
      <c r="S409" s="8">
        <v>39600</v>
      </c>
      <c r="T409" s="8">
        <v>28512.67</v>
      </c>
      <c r="U409" s="8">
        <v>11087.33</v>
      </c>
      <c r="V409" s="8" t="b">
        <f t="shared" si="40"/>
        <v>0</v>
      </c>
      <c r="W409" s="8">
        <f t="shared" si="41"/>
        <v>0</v>
      </c>
      <c r="X409" t="s">
        <v>36</v>
      </c>
      <c r="Y409" t="s">
        <v>104</v>
      </c>
      <c r="Z409" t="s">
        <v>64</v>
      </c>
      <c r="AA409">
        <v>3.5</v>
      </c>
      <c r="AB409" t="s">
        <v>29</v>
      </c>
      <c r="AC409" t="s">
        <v>40</v>
      </c>
    </row>
    <row r="410" spans="1:29" x14ac:dyDescent="0.3">
      <c r="A410" t="s">
        <v>531</v>
      </c>
      <c r="B410" s="6">
        <v>45778</v>
      </c>
      <c r="C410" s="6" t="str">
        <f t="shared" si="36"/>
        <v>8 AM - 12 PM</v>
      </c>
      <c r="D410" s="4">
        <v>0.38541666666666669</v>
      </c>
      <c r="E410" t="s">
        <v>69</v>
      </c>
      <c r="F410" t="s">
        <v>96</v>
      </c>
      <c r="G410" t="s">
        <v>97</v>
      </c>
      <c r="H410" t="s">
        <v>53</v>
      </c>
      <c r="I410" t="s">
        <v>44</v>
      </c>
      <c r="J410" t="s">
        <v>93</v>
      </c>
      <c r="K410">
        <v>1</v>
      </c>
      <c r="L410" s="8">
        <v>4750</v>
      </c>
      <c r="M410" s="8" t="str">
        <f t="shared" si="37"/>
        <v>1-10%</v>
      </c>
      <c r="N410">
        <v>5</v>
      </c>
      <c r="O410" t="str">
        <f t="shared" si="38"/>
        <v>Valid</v>
      </c>
      <c r="P410" t="str">
        <f t="shared" si="39"/>
        <v>Match</v>
      </c>
      <c r="Q410" s="8">
        <v>4750</v>
      </c>
      <c r="R410" s="8">
        <v>237.5</v>
      </c>
      <c r="S410" s="8">
        <v>4512.5</v>
      </c>
      <c r="T410" s="8">
        <v>2893.56</v>
      </c>
      <c r="U410" s="8">
        <v>1618.94</v>
      </c>
      <c r="V410" s="8" t="b">
        <f t="shared" si="40"/>
        <v>0</v>
      </c>
      <c r="W410" s="8">
        <f t="shared" si="41"/>
        <v>0</v>
      </c>
      <c r="X410" t="s">
        <v>46</v>
      </c>
      <c r="Y410" t="s">
        <v>37</v>
      </c>
      <c r="Z410" t="s">
        <v>45</v>
      </c>
      <c r="AA410">
        <v>4.5</v>
      </c>
      <c r="AB410" t="s">
        <v>111</v>
      </c>
      <c r="AC410" t="s">
        <v>67</v>
      </c>
    </row>
    <row r="411" spans="1:29" x14ac:dyDescent="0.3">
      <c r="A411" t="s">
        <v>532</v>
      </c>
      <c r="B411" s="6">
        <v>45670</v>
      </c>
      <c r="C411" s="6" t="str">
        <f t="shared" si="36"/>
        <v>12 PM - 4 PM</v>
      </c>
      <c r="D411" s="4">
        <v>0.6645833333333333</v>
      </c>
      <c r="E411" t="s">
        <v>69</v>
      </c>
      <c r="F411" t="s">
        <v>24</v>
      </c>
      <c r="G411" t="s">
        <v>120</v>
      </c>
      <c r="H411" t="s">
        <v>102</v>
      </c>
      <c r="I411" t="s">
        <v>98</v>
      </c>
      <c r="J411" t="s">
        <v>35</v>
      </c>
      <c r="K411">
        <v>2</v>
      </c>
      <c r="L411" s="8">
        <v>12300</v>
      </c>
      <c r="M411" s="8" t="str">
        <f t="shared" si="37"/>
        <v>0%</v>
      </c>
      <c r="N411">
        <v>0</v>
      </c>
      <c r="O411" t="str">
        <f t="shared" si="38"/>
        <v>Valid</v>
      </c>
      <c r="P411" t="str">
        <f t="shared" si="39"/>
        <v>Match</v>
      </c>
      <c r="Q411" s="8">
        <v>24600</v>
      </c>
      <c r="R411" s="8">
        <v>0</v>
      </c>
      <c r="S411" s="8">
        <v>24600</v>
      </c>
      <c r="T411" s="8">
        <v>15193.71</v>
      </c>
      <c r="U411" s="8">
        <v>9406.2900000000009</v>
      </c>
      <c r="V411" s="8" t="b">
        <f t="shared" si="40"/>
        <v>0</v>
      </c>
      <c r="W411" s="8">
        <f t="shared" si="41"/>
        <v>0</v>
      </c>
      <c r="X411" t="s">
        <v>79</v>
      </c>
      <c r="Y411" t="s">
        <v>70</v>
      </c>
      <c r="Z411" t="s">
        <v>45</v>
      </c>
      <c r="AA411">
        <v>5</v>
      </c>
      <c r="AB411" t="s">
        <v>151</v>
      </c>
      <c r="AC411" t="s">
        <v>49</v>
      </c>
    </row>
    <row r="412" spans="1:29" x14ac:dyDescent="0.3">
      <c r="A412" t="s">
        <v>533</v>
      </c>
      <c r="B412" s="6">
        <v>45718</v>
      </c>
      <c r="C412" s="6" t="str">
        <f t="shared" si="36"/>
        <v>8 PM - 12 AM</v>
      </c>
      <c r="D412" s="4">
        <v>0.87013888888888891</v>
      </c>
      <c r="E412" t="s">
        <v>23</v>
      </c>
      <c r="F412" t="s">
        <v>24</v>
      </c>
      <c r="G412" t="s">
        <v>61</v>
      </c>
      <c r="H412" t="s">
        <v>43</v>
      </c>
      <c r="I412" t="s">
        <v>125</v>
      </c>
      <c r="J412" t="s">
        <v>35</v>
      </c>
      <c r="K412">
        <v>3</v>
      </c>
      <c r="L412" s="8">
        <v>15550</v>
      </c>
      <c r="M412" s="8" t="str">
        <f t="shared" si="37"/>
        <v>0%</v>
      </c>
      <c r="N412">
        <v>0</v>
      </c>
      <c r="O412" t="str">
        <f t="shared" si="38"/>
        <v>Valid</v>
      </c>
      <c r="P412" t="str">
        <f t="shared" si="39"/>
        <v>Match</v>
      </c>
      <c r="Q412" s="8">
        <v>46650</v>
      </c>
      <c r="R412" s="8">
        <v>0</v>
      </c>
      <c r="S412" s="8">
        <v>46650</v>
      </c>
      <c r="T412" s="8">
        <v>28993.84</v>
      </c>
      <c r="U412" s="8">
        <v>17656.16</v>
      </c>
      <c r="V412" s="8" t="b">
        <f t="shared" si="40"/>
        <v>0</v>
      </c>
      <c r="W412" s="8">
        <f t="shared" si="41"/>
        <v>0</v>
      </c>
      <c r="X412" t="s">
        <v>28</v>
      </c>
      <c r="Y412" t="s">
        <v>70</v>
      </c>
      <c r="Z412" t="s">
        <v>38</v>
      </c>
      <c r="AA412">
        <v>4</v>
      </c>
      <c r="AB412" t="s">
        <v>127</v>
      </c>
      <c r="AC412" t="s">
        <v>30</v>
      </c>
    </row>
    <row r="413" spans="1:29" x14ac:dyDescent="0.3">
      <c r="A413" t="s">
        <v>534</v>
      </c>
      <c r="B413" s="6">
        <v>45786</v>
      </c>
      <c r="C413" s="6" t="str">
        <f t="shared" si="36"/>
        <v>12 PM - 4 PM</v>
      </c>
      <c r="D413" s="4">
        <v>0.53125</v>
      </c>
      <c r="E413" t="s">
        <v>157</v>
      </c>
      <c r="F413" t="s">
        <v>24</v>
      </c>
      <c r="G413" t="s">
        <v>120</v>
      </c>
      <c r="H413" t="s">
        <v>34</v>
      </c>
      <c r="I413" t="s">
        <v>27</v>
      </c>
      <c r="J413" t="s">
        <v>35</v>
      </c>
      <c r="K413">
        <v>3</v>
      </c>
      <c r="L413" s="8">
        <v>2800</v>
      </c>
      <c r="M413" s="8" t="str">
        <f t="shared" si="37"/>
        <v>1-10%</v>
      </c>
      <c r="N413">
        <v>10</v>
      </c>
      <c r="O413" t="str">
        <f t="shared" si="38"/>
        <v>Valid</v>
      </c>
      <c r="P413" t="str">
        <f t="shared" si="39"/>
        <v>Match</v>
      </c>
      <c r="Q413" s="8">
        <v>8400</v>
      </c>
      <c r="R413" s="8">
        <v>840</v>
      </c>
      <c r="S413" s="8">
        <v>7560</v>
      </c>
      <c r="T413" s="8">
        <v>6072.36</v>
      </c>
      <c r="U413" s="8">
        <v>1487.64</v>
      </c>
      <c r="V413" s="8" t="b">
        <f t="shared" si="40"/>
        <v>0</v>
      </c>
      <c r="W413" s="8">
        <f t="shared" si="41"/>
        <v>0</v>
      </c>
      <c r="X413" t="s">
        <v>55</v>
      </c>
      <c r="Y413" t="s">
        <v>47</v>
      </c>
      <c r="Z413" t="s">
        <v>80</v>
      </c>
      <c r="AA413">
        <v>3</v>
      </c>
      <c r="AB413" t="s">
        <v>111</v>
      </c>
      <c r="AC413" t="s">
        <v>58</v>
      </c>
    </row>
    <row r="414" spans="1:29" x14ac:dyDescent="0.3">
      <c r="A414" t="s">
        <v>535</v>
      </c>
      <c r="B414" s="6">
        <v>45710</v>
      </c>
      <c r="C414" s="6" t="str">
        <f t="shared" si="36"/>
        <v>12 PM - 4 PM</v>
      </c>
      <c r="D414" s="4">
        <v>0.53055555555555556</v>
      </c>
      <c r="E414" t="s">
        <v>60</v>
      </c>
      <c r="F414" t="s">
        <v>51</v>
      </c>
      <c r="G414" t="s">
        <v>153</v>
      </c>
      <c r="H414" t="s">
        <v>34</v>
      </c>
      <c r="I414" t="s">
        <v>63</v>
      </c>
      <c r="J414" t="s">
        <v>35</v>
      </c>
      <c r="K414">
        <v>2</v>
      </c>
      <c r="L414" s="8">
        <v>3400</v>
      </c>
      <c r="M414" s="8" t="str">
        <f t="shared" si="37"/>
        <v>21-30%</v>
      </c>
      <c r="N414">
        <v>25</v>
      </c>
      <c r="O414" t="str">
        <f t="shared" si="38"/>
        <v>Valid</v>
      </c>
      <c r="P414" t="str">
        <f t="shared" si="39"/>
        <v>Match</v>
      </c>
      <c r="Q414" s="8">
        <v>6800</v>
      </c>
      <c r="R414" s="8">
        <v>1700</v>
      </c>
      <c r="S414" s="8">
        <v>5100</v>
      </c>
      <c r="T414" s="8">
        <v>4523.42</v>
      </c>
      <c r="U414" s="8">
        <v>576.58000000000004</v>
      </c>
      <c r="V414" s="8" t="b">
        <f t="shared" si="40"/>
        <v>0</v>
      </c>
      <c r="W414" s="8">
        <f t="shared" si="41"/>
        <v>0</v>
      </c>
      <c r="X414" t="s">
        <v>79</v>
      </c>
      <c r="Y414" t="s">
        <v>70</v>
      </c>
      <c r="Z414" t="s">
        <v>85</v>
      </c>
      <c r="AA414">
        <v>4</v>
      </c>
      <c r="AB414" t="s">
        <v>66</v>
      </c>
      <c r="AC414" t="s">
        <v>71</v>
      </c>
    </row>
    <row r="415" spans="1:29" x14ac:dyDescent="0.3">
      <c r="A415" t="s">
        <v>536</v>
      </c>
      <c r="B415" s="6">
        <v>45996</v>
      </c>
      <c r="C415" s="6" t="str">
        <f t="shared" si="36"/>
        <v>8 PM - 12 AM</v>
      </c>
      <c r="D415" s="4">
        <v>0.93611111111111112</v>
      </c>
      <c r="E415" t="s">
        <v>32</v>
      </c>
      <c r="F415" t="s">
        <v>24</v>
      </c>
      <c r="G415" t="s">
        <v>61</v>
      </c>
      <c r="H415" t="s">
        <v>102</v>
      </c>
      <c r="I415" t="s">
        <v>54</v>
      </c>
      <c r="J415" t="s">
        <v>64</v>
      </c>
      <c r="K415">
        <v>1</v>
      </c>
      <c r="L415" s="8">
        <v>44950</v>
      </c>
      <c r="M415" s="8" t="str">
        <f t="shared" si="37"/>
        <v>21-30%</v>
      </c>
      <c r="N415">
        <v>30</v>
      </c>
      <c r="O415" t="str">
        <f t="shared" si="38"/>
        <v>Valid</v>
      </c>
      <c r="P415" t="str">
        <f t="shared" si="39"/>
        <v>Match</v>
      </c>
      <c r="Q415" s="8">
        <v>44950</v>
      </c>
      <c r="R415" s="8">
        <v>13485</v>
      </c>
      <c r="S415" s="8">
        <v>31465</v>
      </c>
      <c r="T415" s="8">
        <v>27111.3</v>
      </c>
      <c r="U415" s="8">
        <v>4353.7</v>
      </c>
      <c r="V415" s="8" t="b">
        <f t="shared" si="40"/>
        <v>0</v>
      </c>
      <c r="W415" s="8">
        <f t="shared" si="41"/>
        <v>0</v>
      </c>
      <c r="X415" t="s">
        <v>28</v>
      </c>
      <c r="Y415" t="s">
        <v>70</v>
      </c>
      <c r="Z415" t="s">
        <v>45</v>
      </c>
      <c r="AA415">
        <v>4</v>
      </c>
      <c r="AB415" t="s">
        <v>39</v>
      </c>
      <c r="AC415" t="s">
        <v>58</v>
      </c>
    </row>
    <row r="416" spans="1:29" x14ac:dyDescent="0.3">
      <c r="A416" t="s">
        <v>537</v>
      </c>
      <c r="B416" s="6">
        <v>45905</v>
      </c>
      <c r="C416" s="6" t="str">
        <f t="shared" si="36"/>
        <v>4 AM - 8 AM</v>
      </c>
      <c r="D416" s="4">
        <v>0.2951388888888889</v>
      </c>
      <c r="E416" t="s">
        <v>161</v>
      </c>
      <c r="F416" t="s">
        <v>24</v>
      </c>
      <c r="G416" t="s">
        <v>110</v>
      </c>
      <c r="H416" t="s">
        <v>34</v>
      </c>
      <c r="I416" t="s">
        <v>27</v>
      </c>
      <c r="J416" t="s">
        <v>64</v>
      </c>
      <c r="K416">
        <v>4</v>
      </c>
      <c r="L416" s="8">
        <v>4950</v>
      </c>
      <c r="M416" s="8" t="str">
        <f t="shared" si="37"/>
        <v>30%+</v>
      </c>
      <c r="N416" t="s">
        <v>538</v>
      </c>
      <c r="O416" t="str">
        <f t="shared" si="38"/>
        <v>Invalid Discount</v>
      </c>
      <c r="P416" t="str">
        <f t="shared" si="39"/>
        <v>Match</v>
      </c>
      <c r="Q416" s="8">
        <v>19800</v>
      </c>
      <c r="R416" s="8">
        <v>1980</v>
      </c>
      <c r="S416" s="8">
        <v>17820</v>
      </c>
      <c r="T416" s="8">
        <v>13661.64</v>
      </c>
      <c r="U416" s="8">
        <v>4158.3599999999997</v>
      </c>
      <c r="V416" s="8" t="b">
        <f t="shared" si="40"/>
        <v>0</v>
      </c>
      <c r="W416" s="8">
        <f t="shared" si="41"/>
        <v>0</v>
      </c>
      <c r="X416" t="s">
        <v>36</v>
      </c>
      <c r="Y416" t="s">
        <v>65</v>
      </c>
      <c r="Z416" t="s">
        <v>1138</v>
      </c>
      <c r="AA416">
        <v>4.5</v>
      </c>
      <c r="AB416" t="s">
        <v>155</v>
      </c>
      <c r="AC416" t="s">
        <v>58</v>
      </c>
    </row>
    <row r="417" spans="1:29" x14ac:dyDescent="0.3">
      <c r="A417" t="s">
        <v>539</v>
      </c>
      <c r="B417" s="6">
        <v>45963</v>
      </c>
      <c r="C417" s="6" t="str">
        <f t="shared" si="36"/>
        <v>4 PM - 8 PM</v>
      </c>
      <c r="D417" s="4">
        <v>0.75277777777777777</v>
      </c>
      <c r="E417" t="s">
        <v>23</v>
      </c>
      <c r="F417" t="s">
        <v>51</v>
      </c>
      <c r="G417" t="s">
        <v>122</v>
      </c>
      <c r="H417" t="s">
        <v>53</v>
      </c>
      <c r="I417" t="s">
        <v>63</v>
      </c>
      <c r="J417" t="s">
        <v>35</v>
      </c>
      <c r="K417">
        <v>2</v>
      </c>
      <c r="L417" s="8">
        <v>3200</v>
      </c>
      <c r="M417" s="8" t="str">
        <f t="shared" si="37"/>
        <v>1-10%</v>
      </c>
      <c r="N417">
        <v>10</v>
      </c>
      <c r="O417" t="str">
        <f t="shared" si="38"/>
        <v>Valid</v>
      </c>
      <c r="P417" t="str">
        <f t="shared" si="39"/>
        <v>Match</v>
      </c>
      <c r="Q417" s="8">
        <v>6400</v>
      </c>
      <c r="R417" s="8">
        <v>640</v>
      </c>
      <c r="S417" s="8">
        <v>5760</v>
      </c>
      <c r="T417" s="8">
        <v>4626.67</v>
      </c>
      <c r="U417" s="8">
        <v>1133.33</v>
      </c>
      <c r="V417" s="8" t="b">
        <f t="shared" si="40"/>
        <v>0</v>
      </c>
      <c r="W417" s="8">
        <f t="shared" si="41"/>
        <v>0</v>
      </c>
      <c r="X417" t="s">
        <v>36</v>
      </c>
      <c r="Y417" t="s">
        <v>47</v>
      </c>
      <c r="Z417" t="s">
        <v>45</v>
      </c>
      <c r="AA417" t="s">
        <v>1139</v>
      </c>
      <c r="AB417" t="s">
        <v>75</v>
      </c>
      <c r="AC417" t="s">
        <v>30</v>
      </c>
    </row>
    <row r="418" spans="1:29" x14ac:dyDescent="0.3">
      <c r="A418" t="s">
        <v>540</v>
      </c>
      <c r="B418" s="6">
        <v>45824</v>
      </c>
      <c r="C418" s="6" t="str">
        <f t="shared" si="36"/>
        <v>8 PM - 12 AM</v>
      </c>
      <c r="D418" s="4">
        <v>0.89444444444444449</v>
      </c>
      <c r="E418" t="s">
        <v>23</v>
      </c>
      <c r="F418" t="s">
        <v>24</v>
      </c>
      <c r="G418" t="s">
        <v>120</v>
      </c>
      <c r="H418" t="s">
        <v>113</v>
      </c>
      <c r="I418" t="s">
        <v>82</v>
      </c>
      <c r="J418" t="s">
        <v>45</v>
      </c>
      <c r="K418">
        <v>1</v>
      </c>
      <c r="L418" s="8">
        <v>2700</v>
      </c>
      <c r="M418" s="8" t="str">
        <f t="shared" si="37"/>
        <v>0%</v>
      </c>
      <c r="N418">
        <v>0</v>
      </c>
      <c r="O418" t="str">
        <f t="shared" si="38"/>
        <v>Valid</v>
      </c>
      <c r="P418" t="str">
        <f t="shared" si="39"/>
        <v>Match</v>
      </c>
      <c r="Q418" s="8">
        <v>2700</v>
      </c>
      <c r="R418" s="8">
        <v>0</v>
      </c>
      <c r="S418" s="8">
        <v>2700</v>
      </c>
      <c r="T418" s="8">
        <v>1979.94</v>
      </c>
      <c r="U418" s="8">
        <v>720.06</v>
      </c>
      <c r="V418" s="8" t="b">
        <f t="shared" si="40"/>
        <v>0</v>
      </c>
      <c r="W418" s="8">
        <f t="shared" si="41"/>
        <v>0</v>
      </c>
      <c r="X418" t="s">
        <v>28</v>
      </c>
      <c r="Y418" t="s">
        <v>104</v>
      </c>
      <c r="Z418" t="s">
        <v>64</v>
      </c>
      <c r="AA418">
        <v>3</v>
      </c>
      <c r="AB418" t="s">
        <v>48</v>
      </c>
      <c r="AC418" t="s">
        <v>49</v>
      </c>
    </row>
    <row r="419" spans="1:29" x14ac:dyDescent="0.3">
      <c r="A419" t="s">
        <v>541</v>
      </c>
      <c r="B419" s="6">
        <v>45665</v>
      </c>
      <c r="C419" s="6" t="str">
        <f t="shared" si="36"/>
        <v>4 AM - 8 AM</v>
      </c>
      <c r="D419" s="4">
        <v>0.26180555555555557</v>
      </c>
      <c r="E419" t="s">
        <v>60</v>
      </c>
      <c r="F419" t="s">
        <v>24</v>
      </c>
      <c r="G419" t="s">
        <v>61</v>
      </c>
      <c r="H419" t="s">
        <v>53</v>
      </c>
      <c r="I419" t="s">
        <v>125</v>
      </c>
      <c r="J419" t="s">
        <v>93</v>
      </c>
      <c r="K419">
        <v>2</v>
      </c>
      <c r="L419" s="8">
        <v>20300</v>
      </c>
      <c r="M419" s="8" t="str">
        <f t="shared" si="37"/>
        <v>1-10%</v>
      </c>
      <c r="N419">
        <v>5</v>
      </c>
      <c r="O419" t="str">
        <f t="shared" si="38"/>
        <v>Valid</v>
      </c>
      <c r="P419" t="str">
        <f t="shared" si="39"/>
        <v>Match</v>
      </c>
      <c r="Q419" s="8">
        <v>40600</v>
      </c>
      <c r="R419" s="8">
        <v>2030</v>
      </c>
      <c r="S419" s="8">
        <v>38570</v>
      </c>
      <c r="T419" s="8">
        <v>24193.16</v>
      </c>
      <c r="U419" s="8">
        <v>14376.84</v>
      </c>
      <c r="V419" s="8" t="b">
        <f t="shared" si="40"/>
        <v>0</v>
      </c>
      <c r="W419" s="8">
        <f t="shared" si="41"/>
        <v>0</v>
      </c>
      <c r="X419" t="s">
        <v>79</v>
      </c>
      <c r="Y419" t="s">
        <v>47</v>
      </c>
      <c r="Z419" t="s">
        <v>80</v>
      </c>
      <c r="AA419">
        <v>4</v>
      </c>
      <c r="AB419" t="s">
        <v>151</v>
      </c>
      <c r="AC419" t="s">
        <v>40</v>
      </c>
    </row>
    <row r="420" spans="1:29" x14ac:dyDescent="0.3">
      <c r="A420" t="s">
        <v>542</v>
      </c>
      <c r="B420" s="6">
        <v>45953</v>
      </c>
      <c r="C420" s="6" t="str">
        <f t="shared" si="36"/>
        <v>4 AM - 8 AM</v>
      </c>
      <c r="D420" s="4">
        <v>0.24444444444444444</v>
      </c>
      <c r="E420" t="s">
        <v>32</v>
      </c>
      <c r="F420" t="s">
        <v>24</v>
      </c>
      <c r="G420" t="s">
        <v>61</v>
      </c>
      <c r="H420" t="s">
        <v>62</v>
      </c>
      <c r="I420" t="s">
        <v>54</v>
      </c>
      <c r="J420" t="s">
        <v>45</v>
      </c>
      <c r="K420">
        <v>1</v>
      </c>
      <c r="L420" s="8">
        <v>22400</v>
      </c>
      <c r="M420" s="8" t="str">
        <f t="shared" si="37"/>
        <v>1-10%</v>
      </c>
      <c r="N420">
        <v>10</v>
      </c>
      <c r="O420" t="str">
        <f t="shared" si="38"/>
        <v>Valid</v>
      </c>
      <c r="P420" t="str">
        <f t="shared" si="39"/>
        <v>Match</v>
      </c>
      <c r="Q420" s="8">
        <v>22400</v>
      </c>
      <c r="R420" s="8">
        <v>2240</v>
      </c>
      <c r="S420" s="8">
        <v>20160</v>
      </c>
      <c r="T420" s="8">
        <v>15054.73</v>
      </c>
      <c r="U420" s="8">
        <v>5105.2700000000004</v>
      </c>
      <c r="V420" s="8" t="b">
        <f t="shared" si="40"/>
        <v>0</v>
      </c>
      <c r="W420" s="8">
        <f t="shared" si="41"/>
        <v>0</v>
      </c>
      <c r="X420" t="s">
        <v>36</v>
      </c>
      <c r="Y420" t="s">
        <v>70</v>
      </c>
      <c r="Z420" t="s">
        <v>64</v>
      </c>
      <c r="AA420">
        <v>3.5</v>
      </c>
      <c r="AB420" t="s">
        <v>57</v>
      </c>
      <c r="AC420" t="s">
        <v>67</v>
      </c>
    </row>
    <row r="421" spans="1:29" x14ac:dyDescent="0.3">
      <c r="A421" t="s">
        <v>543</v>
      </c>
      <c r="B421" s="6">
        <v>45998</v>
      </c>
      <c r="C421" s="6" t="str">
        <f t="shared" si="36"/>
        <v>4 AM - 8 AM</v>
      </c>
      <c r="D421" s="4">
        <v>0.19722222222222222</v>
      </c>
      <c r="E421" t="s">
        <v>60</v>
      </c>
      <c r="F421" t="s">
        <v>24</v>
      </c>
      <c r="G421" t="s">
        <v>88</v>
      </c>
      <c r="H421" t="s">
        <v>53</v>
      </c>
      <c r="I421" t="s">
        <v>27</v>
      </c>
      <c r="J421" t="s">
        <v>93</v>
      </c>
      <c r="K421">
        <v>3</v>
      </c>
      <c r="L421" s="8">
        <v>1800</v>
      </c>
      <c r="M421" s="8" t="str">
        <f t="shared" si="37"/>
        <v>0%</v>
      </c>
      <c r="N421">
        <v>0</v>
      </c>
      <c r="O421" t="str">
        <f t="shared" si="38"/>
        <v>Valid</v>
      </c>
      <c r="P421" t="str">
        <f t="shared" si="39"/>
        <v>Match</v>
      </c>
      <c r="Q421" s="8">
        <v>5400</v>
      </c>
      <c r="R421" s="8">
        <v>0</v>
      </c>
      <c r="S421" s="8">
        <v>5400</v>
      </c>
      <c r="T421" s="8">
        <v>3923.59</v>
      </c>
      <c r="U421" s="8">
        <v>1476.41</v>
      </c>
      <c r="V421" s="8" t="b">
        <f t="shared" si="40"/>
        <v>0</v>
      </c>
      <c r="W421" s="8">
        <f t="shared" si="41"/>
        <v>0</v>
      </c>
      <c r="X421" t="s">
        <v>46</v>
      </c>
      <c r="Y421" t="s">
        <v>47</v>
      </c>
      <c r="Z421" t="s">
        <v>56</v>
      </c>
      <c r="AA421">
        <v>4</v>
      </c>
      <c r="AB421" t="s">
        <v>39</v>
      </c>
      <c r="AC421" t="s">
        <v>30</v>
      </c>
    </row>
    <row r="422" spans="1:29" x14ac:dyDescent="0.3">
      <c r="A422" t="s">
        <v>544</v>
      </c>
      <c r="B422" s="6">
        <v>45912</v>
      </c>
      <c r="C422" s="6" t="str">
        <f t="shared" si="36"/>
        <v>12 PM - 4 PM</v>
      </c>
      <c r="D422" s="4">
        <v>0.57847222222222228</v>
      </c>
      <c r="E422" t="s">
        <v>77</v>
      </c>
      <c r="F422" t="s">
        <v>51</v>
      </c>
      <c r="G422" t="s">
        <v>73</v>
      </c>
      <c r="H422" t="s">
        <v>74</v>
      </c>
      <c r="I422" t="s">
        <v>63</v>
      </c>
      <c r="J422" t="s">
        <v>35</v>
      </c>
      <c r="K422">
        <v>1</v>
      </c>
      <c r="L422" s="8">
        <v>2900</v>
      </c>
      <c r="M422" s="8" t="str">
        <f t="shared" si="37"/>
        <v>11-20%</v>
      </c>
      <c r="N422">
        <v>15</v>
      </c>
      <c r="O422" t="str">
        <f t="shared" si="38"/>
        <v>Valid</v>
      </c>
      <c r="P422" t="str">
        <f t="shared" si="39"/>
        <v>Match</v>
      </c>
      <c r="Q422" s="8">
        <v>2900</v>
      </c>
      <c r="R422" s="8">
        <v>435</v>
      </c>
      <c r="S422" s="8">
        <v>2465</v>
      </c>
      <c r="T422" s="8">
        <v>1527.07</v>
      </c>
      <c r="U422" s="8">
        <v>937.93</v>
      </c>
      <c r="V422" s="8" t="b">
        <f t="shared" si="40"/>
        <v>0</v>
      </c>
      <c r="W422" s="8">
        <f t="shared" si="41"/>
        <v>0</v>
      </c>
      <c r="X422" t="s">
        <v>79</v>
      </c>
      <c r="Y422" t="s">
        <v>65</v>
      </c>
      <c r="Z422" t="s">
        <v>56</v>
      </c>
      <c r="AA422">
        <v>5</v>
      </c>
      <c r="AB422" t="s">
        <v>155</v>
      </c>
      <c r="AC422" t="s">
        <v>58</v>
      </c>
    </row>
    <row r="423" spans="1:29" x14ac:dyDescent="0.3">
      <c r="A423" t="s">
        <v>545</v>
      </c>
      <c r="B423" s="6">
        <v>45716</v>
      </c>
      <c r="C423" s="6" t="str">
        <f t="shared" si="36"/>
        <v>8 PM - 12 AM</v>
      </c>
      <c r="D423" s="4">
        <v>0.89513888888888893</v>
      </c>
      <c r="E423" t="s">
        <v>23</v>
      </c>
      <c r="F423" t="s">
        <v>51</v>
      </c>
      <c r="G423" t="s">
        <v>140</v>
      </c>
      <c r="H423" t="s">
        <v>102</v>
      </c>
      <c r="I423" t="s">
        <v>63</v>
      </c>
      <c r="J423" t="s">
        <v>64</v>
      </c>
      <c r="K423">
        <v>2</v>
      </c>
      <c r="L423" s="8">
        <v>3850</v>
      </c>
      <c r="M423" s="8" t="str">
        <f t="shared" si="37"/>
        <v>21-30%</v>
      </c>
      <c r="N423">
        <v>30</v>
      </c>
      <c r="O423" t="str">
        <f t="shared" si="38"/>
        <v>Valid</v>
      </c>
      <c r="P423" t="str">
        <f t="shared" si="39"/>
        <v>Match</v>
      </c>
      <c r="Q423" s="8">
        <v>7700</v>
      </c>
      <c r="R423" s="8">
        <v>2310</v>
      </c>
      <c r="S423" s="8">
        <v>5390</v>
      </c>
      <c r="T423" s="8">
        <v>4856.84</v>
      </c>
      <c r="U423" s="8">
        <v>533.16</v>
      </c>
      <c r="V423" s="8" t="b">
        <f t="shared" si="40"/>
        <v>0</v>
      </c>
      <c r="W423" s="8">
        <f t="shared" si="41"/>
        <v>0</v>
      </c>
      <c r="X423" t="s">
        <v>79</v>
      </c>
      <c r="Y423" t="s">
        <v>47</v>
      </c>
      <c r="Z423" t="s">
        <v>64</v>
      </c>
      <c r="AA423">
        <v>3</v>
      </c>
      <c r="AB423" t="s">
        <v>66</v>
      </c>
      <c r="AC423" t="s">
        <v>58</v>
      </c>
    </row>
    <row r="424" spans="1:29" x14ac:dyDescent="0.3">
      <c r="A424" t="s">
        <v>546</v>
      </c>
      <c r="B424" s="6">
        <v>45797</v>
      </c>
      <c r="C424" s="6" t="str">
        <f t="shared" si="36"/>
        <v>8 AM - 12 PM</v>
      </c>
      <c r="D424" s="4">
        <v>0.40138888888888891</v>
      </c>
      <c r="E424" t="s">
        <v>23</v>
      </c>
      <c r="F424" t="s">
        <v>24</v>
      </c>
      <c r="G424" t="s">
        <v>84</v>
      </c>
      <c r="H424" t="s">
        <v>102</v>
      </c>
      <c r="I424" t="s">
        <v>54</v>
      </c>
      <c r="J424" t="s">
        <v>64</v>
      </c>
      <c r="K424">
        <v>3</v>
      </c>
      <c r="L424" s="8">
        <v>10600</v>
      </c>
      <c r="M424" s="8" t="str">
        <f t="shared" si="37"/>
        <v>21-30%</v>
      </c>
      <c r="N424">
        <v>25</v>
      </c>
      <c r="O424" t="str">
        <f t="shared" si="38"/>
        <v>Valid</v>
      </c>
      <c r="P424" t="str">
        <f t="shared" si="39"/>
        <v>Match</v>
      </c>
      <c r="Q424" s="8">
        <v>31800</v>
      </c>
      <c r="R424" s="8">
        <v>7950</v>
      </c>
      <c r="S424" s="8">
        <v>23850</v>
      </c>
      <c r="T424" s="8">
        <v>20406.349999999999</v>
      </c>
      <c r="U424" s="8">
        <v>3443.65</v>
      </c>
      <c r="V424" s="8" t="b">
        <f t="shared" si="40"/>
        <v>0</v>
      </c>
      <c r="W424" s="8">
        <f t="shared" si="41"/>
        <v>0</v>
      </c>
      <c r="X424" t="s">
        <v>46</v>
      </c>
      <c r="Y424" t="s">
        <v>37</v>
      </c>
      <c r="Z424" t="s">
        <v>64</v>
      </c>
      <c r="AA424">
        <v>4</v>
      </c>
      <c r="AB424" t="s">
        <v>111</v>
      </c>
      <c r="AC424" t="s">
        <v>86</v>
      </c>
    </row>
    <row r="425" spans="1:29" x14ac:dyDescent="0.3">
      <c r="A425" t="s">
        <v>547</v>
      </c>
      <c r="B425" s="6">
        <v>45758</v>
      </c>
      <c r="C425" s="6" t="str">
        <f t="shared" si="36"/>
        <v>12 PM - 4 PM</v>
      </c>
      <c r="D425" s="4">
        <v>0.59930555555555554</v>
      </c>
      <c r="E425" t="s">
        <v>69</v>
      </c>
      <c r="F425" t="s">
        <v>24</v>
      </c>
      <c r="G425" t="s">
        <v>33</v>
      </c>
      <c r="H425" t="s">
        <v>102</v>
      </c>
      <c r="I425" t="s">
        <v>27</v>
      </c>
      <c r="J425" t="s">
        <v>35</v>
      </c>
      <c r="K425">
        <v>1</v>
      </c>
      <c r="L425" s="8">
        <v>2150</v>
      </c>
      <c r="M425" s="8" t="str">
        <f t="shared" si="37"/>
        <v>21-30%</v>
      </c>
      <c r="N425">
        <v>25</v>
      </c>
      <c r="O425" t="str">
        <f t="shared" si="38"/>
        <v>Valid</v>
      </c>
      <c r="P425" t="str">
        <f t="shared" si="39"/>
        <v>Match</v>
      </c>
      <c r="Q425" s="8">
        <v>2150</v>
      </c>
      <c r="R425" s="8">
        <v>537.5</v>
      </c>
      <c r="S425" s="8">
        <v>1612.5</v>
      </c>
      <c r="T425" s="8">
        <v>1588.84</v>
      </c>
      <c r="U425" s="8">
        <v>23.66</v>
      </c>
      <c r="V425" s="8" t="b">
        <f t="shared" si="40"/>
        <v>0</v>
      </c>
      <c r="W425" s="8">
        <f t="shared" si="41"/>
        <v>0</v>
      </c>
      <c r="X425" t="s">
        <v>55</v>
      </c>
      <c r="Y425" t="s">
        <v>37</v>
      </c>
      <c r="Z425" t="s">
        <v>80</v>
      </c>
      <c r="AA425">
        <v>3</v>
      </c>
      <c r="AB425" t="s">
        <v>99</v>
      </c>
      <c r="AC425" t="s">
        <v>58</v>
      </c>
    </row>
    <row r="426" spans="1:29" x14ac:dyDescent="0.3">
      <c r="A426" t="s">
        <v>548</v>
      </c>
      <c r="B426" s="6">
        <v>45910</v>
      </c>
      <c r="C426" s="6" t="str">
        <f t="shared" si="36"/>
        <v>8 PM - 12 AM</v>
      </c>
      <c r="D426" s="4">
        <v>0.94791666666666663</v>
      </c>
      <c r="E426" t="s">
        <v>69</v>
      </c>
      <c r="F426" t="s">
        <v>51</v>
      </c>
      <c r="G426" t="s">
        <v>153</v>
      </c>
      <c r="H426" t="s">
        <v>102</v>
      </c>
      <c r="I426" t="s">
        <v>103</v>
      </c>
      <c r="J426" t="s">
        <v>35</v>
      </c>
      <c r="K426">
        <v>5</v>
      </c>
      <c r="L426" s="8">
        <v>1500</v>
      </c>
      <c r="M426" s="8" t="str">
        <f t="shared" si="37"/>
        <v>1-10%</v>
      </c>
      <c r="N426">
        <v>10</v>
      </c>
      <c r="O426" t="str">
        <f t="shared" si="38"/>
        <v>Valid</v>
      </c>
      <c r="P426" t="str">
        <f t="shared" si="39"/>
        <v>Match</v>
      </c>
      <c r="Q426" s="8">
        <v>7500</v>
      </c>
      <c r="R426" s="8">
        <v>750</v>
      </c>
      <c r="S426" s="8">
        <v>6750</v>
      </c>
      <c r="T426" s="8">
        <v>3960.71</v>
      </c>
      <c r="U426" s="8">
        <v>2789.29</v>
      </c>
      <c r="V426" s="8" t="b">
        <f t="shared" si="40"/>
        <v>0</v>
      </c>
      <c r="W426" s="8">
        <f t="shared" si="41"/>
        <v>0</v>
      </c>
      <c r="X426" t="s">
        <v>55</v>
      </c>
      <c r="Y426" t="s">
        <v>47</v>
      </c>
      <c r="Z426" t="s">
        <v>38</v>
      </c>
      <c r="AA426">
        <v>3</v>
      </c>
      <c r="AB426" t="s">
        <v>155</v>
      </c>
      <c r="AC426" t="s">
        <v>40</v>
      </c>
    </row>
    <row r="427" spans="1:29" x14ac:dyDescent="0.3">
      <c r="A427" t="s">
        <v>549</v>
      </c>
      <c r="B427" s="6">
        <v>45794</v>
      </c>
      <c r="C427" s="6" t="str">
        <f t="shared" si="36"/>
        <v>12 AM - 4 AM</v>
      </c>
      <c r="D427" s="4">
        <v>0.14305555555555555</v>
      </c>
      <c r="E427" t="s">
        <v>77</v>
      </c>
      <c r="F427" t="s">
        <v>51</v>
      </c>
      <c r="G427" t="s">
        <v>52</v>
      </c>
      <c r="H427" t="s">
        <v>53</v>
      </c>
      <c r="I427" t="s">
        <v>54</v>
      </c>
      <c r="J427" t="s">
        <v>45</v>
      </c>
      <c r="K427">
        <v>1</v>
      </c>
      <c r="L427" s="8">
        <v>13100</v>
      </c>
      <c r="M427" s="8" t="str">
        <f t="shared" si="37"/>
        <v>11-20%</v>
      </c>
      <c r="N427">
        <v>15</v>
      </c>
      <c r="O427" t="str">
        <f t="shared" si="38"/>
        <v>Valid</v>
      </c>
      <c r="P427" t="str">
        <f t="shared" si="39"/>
        <v>Match</v>
      </c>
      <c r="Q427" s="8">
        <v>13100</v>
      </c>
      <c r="R427" s="8">
        <v>1965</v>
      </c>
      <c r="S427" s="8">
        <v>11135</v>
      </c>
      <c r="T427" s="8">
        <v>9577.85</v>
      </c>
      <c r="U427" s="8">
        <v>1557.15</v>
      </c>
      <c r="V427" s="8" t="b">
        <f t="shared" si="40"/>
        <v>0</v>
      </c>
      <c r="W427" s="8">
        <f t="shared" si="41"/>
        <v>0</v>
      </c>
      <c r="X427" t="s">
        <v>55</v>
      </c>
      <c r="Y427" t="s">
        <v>65</v>
      </c>
      <c r="Z427" t="s">
        <v>64</v>
      </c>
      <c r="AA427">
        <v>4</v>
      </c>
      <c r="AB427" t="s">
        <v>111</v>
      </c>
      <c r="AC427" t="s">
        <v>71</v>
      </c>
    </row>
    <row r="428" spans="1:29" x14ac:dyDescent="0.3">
      <c r="A428" t="s">
        <v>550</v>
      </c>
      <c r="B428" s="6">
        <v>45727</v>
      </c>
      <c r="C428" s="6" t="str">
        <f t="shared" si="36"/>
        <v>12 PM - 4 PM</v>
      </c>
      <c r="D428" s="4">
        <v>0.52013888888888893</v>
      </c>
      <c r="E428" t="s">
        <v>60</v>
      </c>
      <c r="F428" t="s">
        <v>24</v>
      </c>
      <c r="G428" t="s">
        <v>42</v>
      </c>
      <c r="H428" t="s">
        <v>26</v>
      </c>
      <c r="I428" t="s">
        <v>63</v>
      </c>
      <c r="J428" t="s">
        <v>200</v>
      </c>
      <c r="K428">
        <v>1</v>
      </c>
      <c r="L428" s="8">
        <v>119250</v>
      </c>
      <c r="M428" s="8" t="str">
        <f t="shared" si="37"/>
        <v>1-10%</v>
      </c>
      <c r="N428">
        <v>10</v>
      </c>
      <c r="O428" t="str">
        <f t="shared" si="38"/>
        <v>Valid</v>
      </c>
      <c r="P428" t="str">
        <f t="shared" si="39"/>
        <v>Match</v>
      </c>
      <c r="Q428" s="8">
        <v>119250</v>
      </c>
      <c r="R428" s="8">
        <v>11925</v>
      </c>
      <c r="S428" s="8">
        <v>107325</v>
      </c>
      <c r="T428" s="8">
        <v>85287.25</v>
      </c>
      <c r="U428" s="8">
        <v>22037.75</v>
      </c>
      <c r="V428" s="8" t="b">
        <f t="shared" si="40"/>
        <v>0</v>
      </c>
      <c r="W428" s="8">
        <f t="shared" si="41"/>
        <v>0</v>
      </c>
      <c r="X428" t="s">
        <v>28</v>
      </c>
      <c r="Y428" t="s">
        <v>65</v>
      </c>
      <c r="Z428" t="s">
        <v>45</v>
      </c>
      <c r="AA428">
        <v>4.5</v>
      </c>
      <c r="AB428" t="s">
        <v>127</v>
      </c>
      <c r="AC428" t="s">
        <v>86</v>
      </c>
    </row>
    <row r="429" spans="1:29" x14ac:dyDescent="0.3">
      <c r="A429" t="s">
        <v>551</v>
      </c>
      <c r="B429" s="6">
        <v>45813</v>
      </c>
      <c r="C429" s="6" t="str">
        <f t="shared" si="36"/>
        <v>12 PM - 4 PM</v>
      </c>
      <c r="D429" s="4">
        <v>0.50208333333333333</v>
      </c>
      <c r="E429" t="s">
        <v>32</v>
      </c>
      <c r="F429" t="s">
        <v>51</v>
      </c>
      <c r="G429" t="s">
        <v>101</v>
      </c>
      <c r="H429" t="s">
        <v>113</v>
      </c>
      <c r="I429" t="s">
        <v>44</v>
      </c>
      <c r="J429" t="s">
        <v>78</v>
      </c>
      <c r="K429">
        <v>1</v>
      </c>
      <c r="L429" s="8">
        <v>5700</v>
      </c>
      <c r="M429" s="8" t="str">
        <f t="shared" si="37"/>
        <v>1-10%</v>
      </c>
      <c r="N429">
        <v>10</v>
      </c>
      <c r="O429" t="str">
        <f t="shared" si="38"/>
        <v>Valid</v>
      </c>
      <c r="P429" t="str">
        <f t="shared" si="39"/>
        <v>Match</v>
      </c>
      <c r="Q429" s="8">
        <v>5700</v>
      </c>
      <c r="R429" s="8">
        <v>570</v>
      </c>
      <c r="S429" s="8">
        <v>5130</v>
      </c>
      <c r="T429" s="8">
        <v>3382.13</v>
      </c>
      <c r="U429" s="8">
        <v>1747.87</v>
      </c>
      <c r="V429" s="8" t="b">
        <f t="shared" si="40"/>
        <v>0</v>
      </c>
      <c r="W429" s="8">
        <f t="shared" si="41"/>
        <v>0</v>
      </c>
      <c r="X429" t="s">
        <v>46</v>
      </c>
      <c r="Y429" t="s">
        <v>94</v>
      </c>
      <c r="Z429" t="s">
        <v>38</v>
      </c>
      <c r="AA429">
        <v>4.5</v>
      </c>
      <c r="AB429" t="s">
        <v>48</v>
      </c>
      <c r="AC429" t="s">
        <v>67</v>
      </c>
    </row>
    <row r="430" spans="1:29" x14ac:dyDescent="0.3">
      <c r="A430" t="s">
        <v>552</v>
      </c>
      <c r="B430" s="6">
        <v>45988</v>
      </c>
      <c r="C430" s="6" t="str">
        <f t="shared" si="36"/>
        <v>4 AM - 8 AM</v>
      </c>
      <c r="D430" s="4">
        <v>0.20972222222222223</v>
      </c>
      <c r="E430" t="s">
        <v>23</v>
      </c>
      <c r="F430" t="s">
        <v>24</v>
      </c>
      <c r="G430" t="s">
        <v>42</v>
      </c>
      <c r="H430" t="s">
        <v>102</v>
      </c>
      <c r="I430" t="s">
        <v>54</v>
      </c>
      <c r="J430" t="s">
        <v>64</v>
      </c>
      <c r="K430">
        <v>1</v>
      </c>
      <c r="L430" s="8">
        <v>66200</v>
      </c>
      <c r="M430" s="8" t="str">
        <f t="shared" si="37"/>
        <v>21-30%</v>
      </c>
      <c r="N430">
        <v>25</v>
      </c>
      <c r="O430" t="str">
        <f t="shared" si="38"/>
        <v>Valid</v>
      </c>
      <c r="P430" t="str">
        <f t="shared" si="39"/>
        <v>Match</v>
      </c>
      <c r="Q430" s="8">
        <v>66200</v>
      </c>
      <c r="R430" s="8">
        <v>16550</v>
      </c>
      <c r="S430" s="8">
        <v>49650</v>
      </c>
      <c r="T430" s="8">
        <v>35652.17</v>
      </c>
      <c r="U430" s="8">
        <v>13997.83</v>
      </c>
      <c r="V430" s="8" t="b">
        <f t="shared" si="40"/>
        <v>0</v>
      </c>
      <c r="W430" s="8">
        <f t="shared" si="41"/>
        <v>0</v>
      </c>
      <c r="X430" t="s">
        <v>28</v>
      </c>
      <c r="Y430" t="s">
        <v>104</v>
      </c>
      <c r="Z430" t="s">
        <v>56</v>
      </c>
      <c r="AA430">
        <v>4</v>
      </c>
      <c r="AB430" t="s">
        <v>75</v>
      </c>
      <c r="AC430" t="s">
        <v>67</v>
      </c>
    </row>
    <row r="431" spans="1:29" x14ac:dyDescent="0.3">
      <c r="A431" t="s">
        <v>553</v>
      </c>
      <c r="B431" s="6">
        <v>45809</v>
      </c>
      <c r="C431" s="6" t="str">
        <f t="shared" si="36"/>
        <v>8 AM - 12 PM</v>
      </c>
      <c r="D431" s="4">
        <v>0.44930555555555557</v>
      </c>
      <c r="E431" t="s">
        <v>77</v>
      </c>
      <c r="F431" t="s">
        <v>24</v>
      </c>
      <c r="G431" t="s">
        <v>110</v>
      </c>
      <c r="H431" t="s">
        <v>102</v>
      </c>
      <c r="I431" t="s">
        <v>82</v>
      </c>
      <c r="J431" t="s">
        <v>35</v>
      </c>
      <c r="K431">
        <v>1</v>
      </c>
      <c r="L431" s="8">
        <v>1100</v>
      </c>
      <c r="M431" s="8" t="str">
        <f t="shared" si="37"/>
        <v>30%+</v>
      </c>
      <c r="N431">
        <v>55</v>
      </c>
      <c r="O431" t="str">
        <f t="shared" si="38"/>
        <v>Valid</v>
      </c>
      <c r="P431" t="str">
        <f t="shared" si="39"/>
        <v>Mismatch</v>
      </c>
      <c r="Q431" s="8">
        <v>1100</v>
      </c>
      <c r="R431" s="8">
        <v>55</v>
      </c>
      <c r="S431" s="8">
        <v>1045</v>
      </c>
      <c r="T431" s="8">
        <v>593.80999999999995</v>
      </c>
      <c r="U431" s="8">
        <v>451.19</v>
      </c>
      <c r="V431" s="8" t="b">
        <f t="shared" si="40"/>
        <v>0</v>
      </c>
      <c r="W431" s="8">
        <f t="shared" si="41"/>
        <v>0</v>
      </c>
      <c r="X431" t="s">
        <v>36</v>
      </c>
      <c r="Y431" t="s">
        <v>89</v>
      </c>
      <c r="Z431" t="s">
        <v>38</v>
      </c>
      <c r="AA431">
        <v>4</v>
      </c>
      <c r="AB431" t="s">
        <v>48</v>
      </c>
      <c r="AC431" t="s">
        <v>30</v>
      </c>
    </row>
    <row r="432" spans="1:29" x14ac:dyDescent="0.3">
      <c r="A432" t="s">
        <v>554</v>
      </c>
      <c r="B432" s="6">
        <v>45879</v>
      </c>
      <c r="C432" s="6" t="str">
        <f t="shared" si="36"/>
        <v>4 AM - 8 AM</v>
      </c>
      <c r="D432" s="4">
        <v>0.17777777777777778</v>
      </c>
      <c r="E432" t="s">
        <v>622</v>
      </c>
      <c r="F432" t="s">
        <v>24</v>
      </c>
      <c r="G432" t="s">
        <v>120</v>
      </c>
      <c r="H432" t="s">
        <v>113</v>
      </c>
      <c r="I432" t="s">
        <v>98</v>
      </c>
      <c r="J432" t="s">
        <v>35</v>
      </c>
      <c r="K432">
        <v>1</v>
      </c>
      <c r="L432" s="8">
        <v>13450</v>
      </c>
      <c r="M432" s="8" t="str">
        <f t="shared" si="37"/>
        <v>1-10%</v>
      </c>
      <c r="N432">
        <v>10</v>
      </c>
      <c r="O432" t="str">
        <f t="shared" si="38"/>
        <v>Valid</v>
      </c>
      <c r="P432" t="str">
        <f t="shared" si="39"/>
        <v>Match</v>
      </c>
      <c r="Q432" s="8">
        <v>13450</v>
      </c>
      <c r="R432" s="8">
        <v>1345</v>
      </c>
      <c r="S432" s="8">
        <v>12105</v>
      </c>
      <c r="T432" s="8">
        <v>9095.65</v>
      </c>
      <c r="U432" s="8">
        <v>3009.35</v>
      </c>
      <c r="V432" s="8" t="b">
        <f t="shared" si="40"/>
        <v>0</v>
      </c>
      <c r="W432" s="8">
        <f t="shared" si="41"/>
        <v>0</v>
      </c>
      <c r="X432" t="s">
        <v>28</v>
      </c>
      <c r="Y432" t="s">
        <v>89</v>
      </c>
      <c r="Z432" t="s">
        <v>56</v>
      </c>
      <c r="AA432">
        <v>4</v>
      </c>
      <c r="AB432" t="s">
        <v>90</v>
      </c>
      <c r="AC432" t="s">
        <v>30</v>
      </c>
    </row>
    <row r="433" spans="1:29" x14ac:dyDescent="0.3">
      <c r="A433" t="s">
        <v>555</v>
      </c>
      <c r="B433" s="6">
        <v>46018</v>
      </c>
      <c r="C433" s="6" t="str">
        <f t="shared" si="36"/>
        <v>12 AM - 4 AM</v>
      </c>
      <c r="D433" s="4">
        <v>0.12361111111111112</v>
      </c>
      <c r="E433" t="s">
        <v>622</v>
      </c>
      <c r="F433" t="s">
        <v>51</v>
      </c>
      <c r="G433" t="s">
        <v>140</v>
      </c>
      <c r="H433" t="s">
        <v>102</v>
      </c>
      <c r="I433" t="s">
        <v>44</v>
      </c>
      <c r="J433" t="s">
        <v>35</v>
      </c>
      <c r="K433">
        <v>1</v>
      </c>
      <c r="L433" s="8">
        <v>5600</v>
      </c>
      <c r="M433" s="8" t="str">
        <f t="shared" si="37"/>
        <v>1-10%</v>
      </c>
      <c r="N433">
        <v>5</v>
      </c>
      <c r="O433" t="str">
        <f t="shared" si="38"/>
        <v>Valid</v>
      </c>
      <c r="P433" t="str">
        <f t="shared" si="39"/>
        <v>Match</v>
      </c>
      <c r="Q433" s="8">
        <v>5600</v>
      </c>
      <c r="R433" s="8">
        <v>280</v>
      </c>
      <c r="S433" s="8">
        <v>5320</v>
      </c>
      <c r="T433" s="8">
        <v>3549.86</v>
      </c>
      <c r="U433" s="8">
        <v>1770.14</v>
      </c>
      <c r="V433" s="8" t="b">
        <f t="shared" si="40"/>
        <v>0</v>
      </c>
      <c r="W433" s="8">
        <f t="shared" si="41"/>
        <v>0</v>
      </c>
      <c r="X433" t="s">
        <v>36</v>
      </c>
      <c r="Y433" t="s">
        <v>47</v>
      </c>
      <c r="Z433" t="s">
        <v>85</v>
      </c>
      <c r="AA433">
        <v>4</v>
      </c>
      <c r="AB433" t="s">
        <v>39</v>
      </c>
      <c r="AC433" t="s">
        <v>71</v>
      </c>
    </row>
    <row r="434" spans="1:29" x14ac:dyDescent="0.3">
      <c r="A434" t="s">
        <v>556</v>
      </c>
      <c r="B434" s="6">
        <v>45900</v>
      </c>
      <c r="C434" s="6" t="str">
        <f t="shared" si="36"/>
        <v>4 PM - 8 PM</v>
      </c>
      <c r="D434" s="4">
        <v>0.7104166666666667</v>
      </c>
      <c r="E434" t="s">
        <v>622</v>
      </c>
      <c r="F434" t="s">
        <v>51</v>
      </c>
      <c r="G434" t="s">
        <v>73</v>
      </c>
      <c r="H434" t="s">
        <v>102</v>
      </c>
      <c r="I434" t="s">
        <v>63</v>
      </c>
      <c r="J434" t="s">
        <v>64</v>
      </c>
      <c r="K434">
        <v>1</v>
      </c>
      <c r="M434" s="8" t="str">
        <f t="shared" si="37"/>
        <v>0%</v>
      </c>
      <c r="N434">
        <v>0</v>
      </c>
      <c r="O434" t="str">
        <f t="shared" si="38"/>
        <v>Valid</v>
      </c>
      <c r="P434" t="str">
        <f t="shared" si="39"/>
        <v>Match</v>
      </c>
      <c r="Q434" s="8">
        <v>2600</v>
      </c>
      <c r="R434" s="8">
        <v>0</v>
      </c>
      <c r="S434" s="8">
        <v>2600</v>
      </c>
      <c r="T434" s="8">
        <v>1887.85</v>
      </c>
      <c r="U434" s="8">
        <v>712.15</v>
      </c>
      <c r="V434" s="8" t="b">
        <f t="shared" si="40"/>
        <v>0</v>
      </c>
      <c r="W434" s="8">
        <f t="shared" si="41"/>
        <v>0</v>
      </c>
      <c r="X434" t="s">
        <v>55</v>
      </c>
      <c r="Y434" t="s">
        <v>70</v>
      </c>
      <c r="Z434" t="s">
        <v>45</v>
      </c>
      <c r="AA434">
        <v>3</v>
      </c>
      <c r="AB434" t="s">
        <v>90</v>
      </c>
      <c r="AC434" t="s">
        <v>30</v>
      </c>
    </row>
    <row r="435" spans="1:29" x14ac:dyDescent="0.3">
      <c r="A435" t="s">
        <v>557</v>
      </c>
      <c r="B435" s="6">
        <v>45819</v>
      </c>
      <c r="C435" s="6" t="str">
        <f t="shared" si="36"/>
        <v>4 PM - 8 PM</v>
      </c>
      <c r="D435" s="4">
        <v>0.69652777777777775</v>
      </c>
      <c r="E435" t="s">
        <v>622</v>
      </c>
      <c r="F435" t="s">
        <v>24</v>
      </c>
      <c r="G435" t="s">
        <v>88</v>
      </c>
      <c r="H435" t="s">
        <v>102</v>
      </c>
      <c r="I435" t="s">
        <v>27</v>
      </c>
      <c r="J435" t="s">
        <v>35</v>
      </c>
      <c r="K435">
        <v>3</v>
      </c>
      <c r="L435" s="8">
        <v>550</v>
      </c>
      <c r="M435" s="8" t="str">
        <f t="shared" si="37"/>
        <v>11-20%</v>
      </c>
      <c r="N435">
        <v>15</v>
      </c>
      <c r="O435" t="str">
        <f t="shared" si="38"/>
        <v>Valid</v>
      </c>
      <c r="P435" t="str">
        <f t="shared" si="39"/>
        <v>Match</v>
      </c>
      <c r="Q435" s="8">
        <v>1650</v>
      </c>
      <c r="R435" s="8">
        <v>247.5</v>
      </c>
      <c r="S435" s="8">
        <v>1402.5</v>
      </c>
      <c r="T435" s="8">
        <v>996.67</v>
      </c>
      <c r="U435" s="8">
        <v>405.83</v>
      </c>
      <c r="V435" s="8" t="b">
        <f t="shared" si="40"/>
        <v>0</v>
      </c>
      <c r="W435" s="8">
        <f t="shared" si="41"/>
        <v>0</v>
      </c>
      <c r="X435" t="s">
        <v>79</v>
      </c>
      <c r="Y435" t="s">
        <v>89</v>
      </c>
      <c r="Z435" t="s">
        <v>56</v>
      </c>
      <c r="AA435">
        <v>4</v>
      </c>
      <c r="AB435" t="s">
        <v>48</v>
      </c>
      <c r="AC435" t="s">
        <v>40</v>
      </c>
    </row>
    <row r="436" spans="1:29" x14ac:dyDescent="0.3">
      <c r="A436" t="s">
        <v>558</v>
      </c>
      <c r="B436" s="6">
        <v>45927</v>
      </c>
      <c r="C436" s="6" t="str">
        <f t="shared" si="36"/>
        <v>8 AM - 12 PM</v>
      </c>
      <c r="D436" s="4">
        <v>0.35347222222222224</v>
      </c>
      <c r="E436" t="s">
        <v>69</v>
      </c>
      <c r="F436" t="s">
        <v>24</v>
      </c>
      <c r="G436" t="s">
        <v>120</v>
      </c>
      <c r="H436" t="s">
        <v>74</v>
      </c>
      <c r="I436" t="s">
        <v>92</v>
      </c>
      <c r="J436" t="s">
        <v>85</v>
      </c>
      <c r="K436">
        <v>1</v>
      </c>
      <c r="L436" s="8">
        <v>3900</v>
      </c>
      <c r="M436" s="8" t="str">
        <f t="shared" si="37"/>
        <v>21-30%</v>
      </c>
      <c r="N436">
        <v>25</v>
      </c>
      <c r="O436" t="str">
        <f t="shared" si="38"/>
        <v>Valid</v>
      </c>
      <c r="P436" t="str">
        <f t="shared" si="39"/>
        <v>Match</v>
      </c>
      <c r="Q436" s="8">
        <v>3900</v>
      </c>
      <c r="R436" s="8">
        <v>975</v>
      </c>
      <c r="S436" s="8">
        <v>2925</v>
      </c>
      <c r="T436" s="8">
        <v>2096.69</v>
      </c>
      <c r="U436" s="8">
        <v>828.31</v>
      </c>
      <c r="V436" s="8" t="b">
        <f t="shared" si="40"/>
        <v>0</v>
      </c>
      <c r="W436" s="8">
        <f t="shared" si="41"/>
        <v>0</v>
      </c>
      <c r="X436" t="s">
        <v>55</v>
      </c>
      <c r="Y436" t="s">
        <v>94</v>
      </c>
      <c r="Z436" t="s">
        <v>80</v>
      </c>
      <c r="AA436">
        <v>3.5</v>
      </c>
      <c r="AB436" t="s">
        <v>155</v>
      </c>
      <c r="AC436" t="s">
        <v>71</v>
      </c>
    </row>
    <row r="437" spans="1:29" x14ac:dyDescent="0.3">
      <c r="A437" t="s">
        <v>559</v>
      </c>
      <c r="B437" s="6">
        <v>45803</v>
      </c>
      <c r="C437" s="6" t="str">
        <f t="shared" si="36"/>
        <v>4 PM - 8 PM</v>
      </c>
      <c r="D437" s="4">
        <v>0.79652777777777772</v>
      </c>
      <c r="E437" t="s">
        <v>32</v>
      </c>
      <c r="F437" t="s">
        <v>24</v>
      </c>
      <c r="G437" t="s">
        <v>42</v>
      </c>
      <c r="H437" t="s">
        <v>113</v>
      </c>
      <c r="I437" t="s">
        <v>54</v>
      </c>
      <c r="J437" t="s">
        <v>93</v>
      </c>
      <c r="K437">
        <v>1</v>
      </c>
      <c r="L437" s="8">
        <v>44150</v>
      </c>
      <c r="M437" s="8" t="str">
        <f t="shared" si="37"/>
        <v>11-20%</v>
      </c>
      <c r="N437">
        <v>15</v>
      </c>
      <c r="O437" t="str">
        <f t="shared" si="38"/>
        <v>Valid</v>
      </c>
      <c r="P437" t="str">
        <f t="shared" si="39"/>
        <v>Match</v>
      </c>
      <c r="Q437" s="8">
        <v>44150</v>
      </c>
      <c r="R437" s="8">
        <v>6622.5</v>
      </c>
      <c r="S437" s="8">
        <v>37527.5</v>
      </c>
      <c r="T437" s="8">
        <v>25521.14</v>
      </c>
      <c r="U437" s="8">
        <v>12006.36</v>
      </c>
      <c r="V437" s="8" t="b">
        <f t="shared" si="40"/>
        <v>0</v>
      </c>
      <c r="W437" s="8">
        <f t="shared" si="41"/>
        <v>0</v>
      </c>
      <c r="X437" t="s">
        <v>55</v>
      </c>
      <c r="Y437" t="s">
        <v>94</v>
      </c>
      <c r="Z437" t="s">
        <v>56</v>
      </c>
      <c r="AA437">
        <v>4</v>
      </c>
      <c r="AB437" t="s">
        <v>111</v>
      </c>
      <c r="AC437" t="s">
        <v>49</v>
      </c>
    </row>
    <row r="438" spans="1:29" x14ac:dyDescent="0.3">
      <c r="A438" t="s">
        <v>560</v>
      </c>
      <c r="B438" s="6">
        <v>46015</v>
      </c>
      <c r="C438" s="6" t="str">
        <f t="shared" si="36"/>
        <v>4 PM - 8 PM</v>
      </c>
      <c r="D438" s="4">
        <v>0.68680555555555556</v>
      </c>
      <c r="E438" t="s">
        <v>60</v>
      </c>
      <c r="F438" t="s">
        <v>24</v>
      </c>
      <c r="G438" t="s">
        <v>88</v>
      </c>
      <c r="H438" t="s">
        <v>74</v>
      </c>
      <c r="I438" t="s">
        <v>63</v>
      </c>
      <c r="J438" t="s">
        <v>45</v>
      </c>
      <c r="K438">
        <v>2</v>
      </c>
      <c r="L438" s="8">
        <v>4350</v>
      </c>
      <c r="M438" s="8" t="str">
        <f t="shared" si="37"/>
        <v>11-20%</v>
      </c>
      <c r="N438">
        <v>15</v>
      </c>
      <c r="O438" t="str">
        <f t="shared" si="38"/>
        <v>Valid</v>
      </c>
      <c r="P438" t="str">
        <f t="shared" si="39"/>
        <v>Match</v>
      </c>
      <c r="Q438" s="8">
        <v>8700</v>
      </c>
      <c r="R438" s="8">
        <v>1305</v>
      </c>
      <c r="S438" s="8">
        <v>7395</v>
      </c>
      <c r="T438" s="8">
        <v>6393.03</v>
      </c>
      <c r="U438" s="8">
        <v>1001.97</v>
      </c>
      <c r="V438" s="8" t="b">
        <f t="shared" si="40"/>
        <v>0</v>
      </c>
      <c r="W438" s="8">
        <f t="shared" si="41"/>
        <v>0</v>
      </c>
      <c r="X438" t="s">
        <v>79</v>
      </c>
      <c r="Y438" t="s">
        <v>89</v>
      </c>
      <c r="Z438" t="s">
        <v>80</v>
      </c>
      <c r="AA438">
        <v>4</v>
      </c>
      <c r="AB438" t="s">
        <v>39</v>
      </c>
      <c r="AC438" t="s">
        <v>40</v>
      </c>
    </row>
    <row r="439" spans="1:29" x14ac:dyDescent="0.3">
      <c r="A439" t="s">
        <v>561</v>
      </c>
      <c r="B439" s="6">
        <v>45988</v>
      </c>
      <c r="C439" s="6" t="str">
        <f t="shared" si="36"/>
        <v>12 AM - 4 AM</v>
      </c>
      <c r="D439" s="4">
        <v>0.12708333333333333</v>
      </c>
      <c r="E439" t="s">
        <v>77</v>
      </c>
      <c r="F439" t="s">
        <v>24</v>
      </c>
      <c r="G439" t="s">
        <v>88</v>
      </c>
      <c r="H439" t="s">
        <v>26</v>
      </c>
      <c r="I439" t="s">
        <v>92</v>
      </c>
      <c r="J439" t="s">
        <v>64</v>
      </c>
      <c r="K439">
        <v>2</v>
      </c>
      <c r="L439" s="8">
        <v>2600</v>
      </c>
      <c r="M439" s="8" t="str">
        <f t="shared" si="37"/>
        <v>21-30%</v>
      </c>
      <c r="N439">
        <v>25</v>
      </c>
      <c r="O439" t="str">
        <f t="shared" si="38"/>
        <v>Valid</v>
      </c>
      <c r="P439" t="str">
        <f t="shared" si="39"/>
        <v>Match</v>
      </c>
      <c r="Q439" s="8">
        <v>5200</v>
      </c>
      <c r="R439" s="8">
        <v>1300</v>
      </c>
      <c r="S439" s="8">
        <v>3900</v>
      </c>
      <c r="T439" s="8">
        <v>3451.55</v>
      </c>
      <c r="U439" s="8">
        <v>448.45</v>
      </c>
      <c r="V439" s="8" t="b">
        <f t="shared" si="40"/>
        <v>0</v>
      </c>
      <c r="W439" s="8">
        <f t="shared" si="41"/>
        <v>0</v>
      </c>
      <c r="X439" t="s">
        <v>28</v>
      </c>
      <c r="Y439" t="s">
        <v>70</v>
      </c>
      <c r="Z439" t="s">
        <v>56</v>
      </c>
      <c r="AA439">
        <v>4</v>
      </c>
      <c r="AB439" t="s">
        <v>75</v>
      </c>
      <c r="AC439" t="s">
        <v>67</v>
      </c>
    </row>
    <row r="440" spans="1:29" x14ac:dyDescent="0.3">
      <c r="A440" t="s">
        <v>562</v>
      </c>
      <c r="B440" s="6">
        <v>45813</v>
      </c>
      <c r="C440" s="6" t="str">
        <f t="shared" si="36"/>
        <v>12 AM - 4 AM</v>
      </c>
      <c r="E440" t="s">
        <v>77</v>
      </c>
      <c r="F440" t="s">
        <v>24</v>
      </c>
      <c r="G440" t="s">
        <v>110</v>
      </c>
      <c r="H440" t="s">
        <v>113</v>
      </c>
      <c r="I440" t="s">
        <v>54</v>
      </c>
      <c r="J440" t="s">
        <v>35</v>
      </c>
      <c r="K440">
        <v>2</v>
      </c>
      <c r="L440" s="8">
        <v>7000</v>
      </c>
      <c r="M440" s="8" t="str">
        <f t="shared" si="37"/>
        <v>21-30%</v>
      </c>
      <c r="N440">
        <v>25</v>
      </c>
      <c r="O440" t="str">
        <f t="shared" si="38"/>
        <v>Valid</v>
      </c>
      <c r="P440" t="str">
        <f t="shared" si="39"/>
        <v>Match</v>
      </c>
      <c r="Q440" s="8">
        <v>14000</v>
      </c>
      <c r="R440" s="8">
        <v>3500</v>
      </c>
      <c r="S440" s="8">
        <v>10500</v>
      </c>
      <c r="T440" s="8">
        <v>10053.370000000001</v>
      </c>
      <c r="U440" s="8">
        <v>446.63</v>
      </c>
      <c r="V440" s="8" t="b">
        <f t="shared" si="40"/>
        <v>0</v>
      </c>
      <c r="W440" s="8">
        <f t="shared" si="41"/>
        <v>0</v>
      </c>
      <c r="X440" t="s">
        <v>46</v>
      </c>
      <c r="Y440" t="s">
        <v>94</v>
      </c>
      <c r="Z440" t="s">
        <v>64</v>
      </c>
      <c r="AA440">
        <v>5</v>
      </c>
      <c r="AB440" t="s">
        <v>111</v>
      </c>
      <c r="AC440" t="s">
        <v>86</v>
      </c>
    </row>
    <row r="441" spans="1:29" x14ac:dyDescent="0.3">
      <c r="A441" t="s">
        <v>563</v>
      </c>
      <c r="B441" s="6">
        <v>45996</v>
      </c>
      <c r="C441" s="6" t="str">
        <f t="shared" si="36"/>
        <v>4 AM - 8 AM</v>
      </c>
      <c r="D441" s="4">
        <v>0.26319444444444445</v>
      </c>
      <c r="E441" t="s">
        <v>32</v>
      </c>
      <c r="F441" t="s">
        <v>51</v>
      </c>
      <c r="G441" t="s">
        <v>140</v>
      </c>
      <c r="H441" t="s">
        <v>74</v>
      </c>
      <c r="I441" t="s">
        <v>44</v>
      </c>
      <c r="J441" t="s">
        <v>35</v>
      </c>
      <c r="K441">
        <v>1</v>
      </c>
      <c r="L441" s="8">
        <v>5500</v>
      </c>
      <c r="M441" s="8" t="str">
        <f t="shared" si="37"/>
        <v>0%</v>
      </c>
      <c r="N441">
        <v>0</v>
      </c>
      <c r="O441" t="str">
        <f t="shared" si="38"/>
        <v>Valid</v>
      </c>
      <c r="P441" t="str">
        <f t="shared" si="39"/>
        <v>Match</v>
      </c>
      <c r="Q441" s="8">
        <v>5500</v>
      </c>
      <c r="R441" s="8">
        <v>0</v>
      </c>
      <c r="S441" s="8">
        <v>5500</v>
      </c>
      <c r="T441" s="8">
        <v>4030.69</v>
      </c>
      <c r="U441" s="8">
        <v>1469.31</v>
      </c>
      <c r="V441" s="8" t="b">
        <f t="shared" si="40"/>
        <v>0</v>
      </c>
      <c r="W441" s="8">
        <f t="shared" si="41"/>
        <v>0</v>
      </c>
      <c r="X441" t="s">
        <v>28</v>
      </c>
      <c r="Y441" t="s">
        <v>65</v>
      </c>
      <c r="Z441" t="s">
        <v>85</v>
      </c>
      <c r="AA441">
        <v>4</v>
      </c>
      <c r="AB441" t="s">
        <v>39</v>
      </c>
      <c r="AC441" t="s">
        <v>58</v>
      </c>
    </row>
    <row r="442" spans="1:29" x14ac:dyDescent="0.3">
      <c r="A442" t="s">
        <v>564</v>
      </c>
      <c r="B442" s="6">
        <v>45898</v>
      </c>
      <c r="C442" s="6" t="str">
        <f t="shared" si="36"/>
        <v>8 AM - 12 PM</v>
      </c>
      <c r="D442" s="4">
        <v>0.40138888888888891</v>
      </c>
      <c r="E442" t="s">
        <v>161</v>
      </c>
      <c r="F442" t="s">
        <v>24</v>
      </c>
      <c r="G442" t="s">
        <v>120</v>
      </c>
      <c r="H442" t="s">
        <v>26</v>
      </c>
      <c r="I442" t="s">
        <v>82</v>
      </c>
      <c r="J442" t="s">
        <v>85</v>
      </c>
      <c r="K442">
        <v>3</v>
      </c>
      <c r="L442" s="8">
        <v>6400</v>
      </c>
      <c r="M442" s="8" t="str">
        <f t="shared" si="37"/>
        <v>21-30%</v>
      </c>
      <c r="N442">
        <v>30</v>
      </c>
      <c r="O442" t="str">
        <f t="shared" si="38"/>
        <v>Valid</v>
      </c>
      <c r="P442" t="str">
        <f t="shared" si="39"/>
        <v>Match</v>
      </c>
      <c r="Q442" s="8">
        <v>19200</v>
      </c>
      <c r="R442" s="8">
        <v>5760</v>
      </c>
      <c r="S442" s="8">
        <v>13440</v>
      </c>
      <c r="T442" s="8">
        <v>10599.12</v>
      </c>
      <c r="U442" s="8">
        <v>2840.88</v>
      </c>
      <c r="V442" s="8" t="b">
        <f t="shared" si="40"/>
        <v>0</v>
      </c>
      <c r="W442" s="8">
        <f t="shared" si="41"/>
        <v>0</v>
      </c>
      <c r="X442" t="s">
        <v>46</v>
      </c>
      <c r="Y442" t="s">
        <v>70</v>
      </c>
      <c r="Z442" t="s">
        <v>80</v>
      </c>
      <c r="AA442">
        <v>4.5</v>
      </c>
      <c r="AB442" t="s">
        <v>90</v>
      </c>
      <c r="AC442" t="s">
        <v>58</v>
      </c>
    </row>
    <row r="443" spans="1:29" x14ac:dyDescent="0.3">
      <c r="A443" t="s">
        <v>565</v>
      </c>
      <c r="B443" s="6">
        <v>45781</v>
      </c>
      <c r="C443" s="6" t="str">
        <f t="shared" si="36"/>
        <v>8 PM - 12 AM</v>
      </c>
      <c r="D443" s="4">
        <v>0.89652777777777781</v>
      </c>
      <c r="E443" t="s">
        <v>108</v>
      </c>
      <c r="F443" t="s">
        <v>24</v>
      </c>
      <c r="G443" t="s">
        <v>61</v>
      </c>
      <c r="H443" t="s">
        <v>74</v>
      </c>
      <c r="I443" t="s">
        <v>44</v>
      </c>
      <c r="J443" t="s">
        <v>64</v>
      </c>
      <c r="K443">
        <v>2</v>
      </c>
      <c r="L443" s="8">
        <v>10350</v>
      </c>
      <c r="M443" s="8" t="str">
        <f t="shared" si="37"/>
        <v>11-20%</v>
      </c>
      <c r="N443">
        <v>20</v>
      </c>
      <c r="O443" t="str">
        <f t="shared" si="38"/>
        <v>Valid</v>
      </c>
      <c r="P443" t="str">
        <f t="shared" si="39"/>
        <v>Match</v>
      </c>
      <c r="Q443" s="8">
        <v>20700</v>
      </c>
      <c r="R443" s="8">
        <v>4140</v>
      </c>
      <c r="S443" s="8">
        <v>16560</v>
      </c>
      <c r="T443" s="8">
        <v>14703.6</v>
      </c>
      <c r="U443" s="8">
        <v>1856.4</v>
      </c>
      <c r="V443" s="8" t="b">
        <f t="shared" si="40"/>
        <v>0</v>
      </c>
      <c r="W443" s="8">
        <f t="shared" si="41"/>
        <v>0</v>
      </c>
      <c r="X443" t="s">
        <v>79</v>
      </c>
      <c r="Y443" t="s">
        <v>94</v>
      </c>
      <c r="Z443" t="s">
        <v>64</v>
      </c>
      <c r="AA443">
        <v>5</v>
      </c>
      <c r="AB443" t="s">
        <v>111</v>
      </c>
      <c r="AC443" t="s">
        <v>30</v>
      </c>
    </row>
    <row r="444" spans="1:29" x14ac:dyDescent="0.3">
      <c r="A444" t="s">
        <v>566</v>
      </c>
      <c r="B444" s="6">
        <v>45682</v>
      </c>
      <c r="C444" s="6" t="str">
        <f t="shared" si="36"/>
        <v>8 PM - 12 AM</v>
      </c>
      <c r="D444" s="4">
        <v>0.92152777777777772</v>
      </c>
      <c r="E444" t="s">
        <v>77</v>
      </c>
      <c r="F444" t="s">
        <v>51</v>
      </c>
      <c r="G444" t="s">
        <v>122</v>
      </c>
      <c r="H444" t="s">
        <v>34</v>
      </c>
      <c r="I444" t="s">
        <v>44</v>
      </c>
      <c r="J444" t="s">
        <v>35</v>
      </c>
      <c r="K444">
        <v>2</v>
      </c>
      <c r="L444" s="8">
        <v>6950</v>
      </c>
      <c r="M444" s="8" t="str">
        <f t="shared" si="37"/>
        <v>21-30%</v>
      </c>
      <c r="N444">
        <v>25</v>
      </c>
      <c r="O444" t="str">
        <f t="shared" si="38"/>
        <v>Valid</v>
      </c>
      <c r="P444" t="str">
        <f t="shared" si="39"/>
        <v>Match</v>
      </c>
      <c r="Q444" s="8">
        <v>13900</v>
      </c>
      <c r="R444" s="8">
        <v>3475</v>
      </c>
      <c r="S444" s="8">
        <v>10425</v>
      </c>
      <c r="T444" s="8">
        <v>9784.85</v>
      </c>
      <c r="U444" s="8">
        <v>640.15</v>
      </c>
      <c r="V444" s="8" t="b">
        <f t="shared" si="40"/>
        <v>0</v>
      </c>
      <c r="W444" s="8">
        <f t="shared" si="41"/>
        <v>0</v>
      </c>
      <c r="X444" t="s">
        <v>46</v>
      </c>
      <c r="Y444" t="s">
        <v>89</v>
      </c>
      <c r="Z444" t="s">
        <v>38</v>
      </c>
      <c r="AA444">
        <v>4</v>
      </c>
      <c r="AB444" t="s">
        <v>151</v>
      </c>
      <c r="AC444" t="s">
        <v>71</v>
      </c>
    </row>
    <row r="445" spans="1:29" x14ac:dyDescent="0.3">
      <c r="A445" t="s">
        <v>567</v>
      </c>
      <c r="B445" s="6">
        <v>45658</v>
      </c>
      <c r="C445" s="6" t="str">
        <f t="shared" si="36"/>
        <v>12 AM - 4 AM</v>
      </c>
      <c r="D445" s="4">
        <v>7.0833333333333331E-2</v>
      </c>
      <c r="E445" t="s">
        <v>32</v>
      </c>
      <c r="F445" t="s">
        <v>24</v>
      </c>
      <c r="G445" t="s">
        <v>120</v>
      </c>
      <c r="H445" t="s">
        <v>74</v>
      </c>
      <c r="I445" t="s">
        <v>27</v>
      </c>
      <c r="J445" t="s">
        <v>35</v>
      </c>
      <c r="K445">
        <v>1</v>
      </c>
      <c r="L445" s="8">
        <v>11400</v>
      </c>
      <c r="M445" s="8" t="str">
        <f t="shared" si="37"/>
        <v>0%</v>
      </c>
      <c r="N445">
        <v>0</v>
      </c>
      <c r="O445" t="str">
        <f t="shared" si="38"/>
        <v>Valid</v>
      </c>
      <c r="P445" t="str">
        <f t="shared" si="39"/>
        <v>Match</v>
      </c>
      <c r="Q445" s="8">
        <v>11400</v>
      </c>
      <c r="R445" s="8">
        <v>0</v>
      </c>
      <c r="S445" s="8">
        <v>11400</v>
      </c>
      <c r="T445" s="8">
        <v>6383.83</v>
      </c>
      <c r="U445" s="8">
        <v>5016.17</v>
      </c>
      <c r="V445" s="8" t="b">
        <f t="shared" si="40"/>
        <v>0</v>
      </c>
      <c r="W445" s="8">
        <f t="shared" si="41"/>
        <v>0</v>
      </c>
      <c r="X445" t="s">
        <v>28</v>
      </c>
      <c r="Y445" t="s">
        <v>70</v>
      </c>
      <c r="Z445" t="s">
        <v>56</v>
      </c>
      <c r="AA445">
        <v>4.5</v>
      </c>
      <c r="AB445" t="s">
        <v>151</v>
      </c>
      <c r="AC445" t="s">
        <v>40</v>
      </c>
    </row>
    <row r="446" spans="1:29" x14ac:dyDescent="0.3">
      <c r="A446" t="s">
        <v>568</v>
      </c>
      <c r="B446" s="6">
        <f ca="1">DATE(VALUE(RIGHT(Table1[[#This Row],[Order_Date]],4)),VALUE(LEFT(Table1[[#This Row],[Order_Date]],2)),VALUE(MID(Table1[[#This Row],[Order_Date]],4,2)))</f>
        <v>45838</v>
      </c>
      <c r="C446" s="6" t="str">
        <f t="shared" si="36"/>
        <v>12 AM - 4 AM</v>
      </c>
      <c r="E446" t="s">
        <v>32</v>
      </c>
      <c r="F446" t="s">
        <v>96</v>
      </c>
      <c r="G446" t="s">
        <v>115</v>
      </c>
      <c r="H446" t="s">
        <v>53</v>
      </c>
      <c r="I446" t="s">
        <v>98</v>
      </c>
      <c r="J446" t="s">
        <v>35</v>
      </c>
      <c r="K446">
        <v>1</v>
      </c>
      <c r="L446" s="8">
        <v>10100</v>
      </c>
      <c r="M446" s="8" t="str">
        <f t="shared" si="37"/>
        <v>21-30%</v>
      </c>
      <c r="N446">
        <v>25</v>
      </c>
      <c r="O446" t="str">
        <f t="shared" si="38"/>
        <v>Valid</v>
      </c>
      <c r="P446" t="str">
        <f t="shared" si="39"/>
        <v>Match</v>
      </c>
      <c r="Q446" s="8">
        <v>10100</v>
      </c>
      <c r="R446" s="8">
        <v>2525</v>
      </c>
      <c r="S446" s="8">
        <v>7575</v>
      </c>
      <c r="T446" s="8">
        <v>5992.57</v>
      </c>
      <c r="U446" s="8">
        <v>1582.43</v>
      </c>
      <c r="V446" s="8" t="b">
        <f t="shared" si="40"/>
        <v>0</v>
      </c>
      <c r="W446" s="8">
        <f t="shared" si="41"/>
        <v>0</v>
      </c>
      <c r="X446" t="s">
        <v>36</v>
      </c>
      <c r="Y446" t="s">
        <v>89</v>
      </c>
      <c r="Z446" t="s">
        <v>85</v>
      </c>
      <c r="AA446">
        <v>3.5</v>
      </c>
      <c r="AB446" t="s">
        <v>48</v>
      </c>
      <c r="AC446" t="s">
        <v>49</v>
      </c>
    </row>
    <row r="447" spans="1:29" x14ac:dyDescent="0.3">
      <c r="A447" t="s">
        <v>569</v>
      </c>
      <c r="B447" s="6">
        <v>45686</v>
      </c>
      <c r="C447" s="6" t="str">
        <f t="shared" si="36"/>
        <v>4 PM - 8 PM</v>
      </c>
      <c r="D447" s="4">
        <v>0.73888888888888893</v>
      </c>
      <c r="E447" t="s">
        <v>60</v>
      </c>
      <c r="F447" t="s">
        <v>24</v>
      </c>
      <c r="G447" t="s">
        <v>110</v>
      </c>
      <c r="H447" t="s">
        <v>102</v>
      </c>
      <c r="I447" t="s">
        <v>92</v>
      </c>
      <c r="J447" t="s">
        <v>45</v>
      </c>
      <c r="K447">
        <v>1</v>
      </c>
      <c r="L447" s="8">
        <v>5850</v>
      </c>
      <c r="M447" s="8" t="str">
        <f t="shared" si="37"/>
        <v>11-20%</v>
      </c>
      <c r="N447">
        <v>15</v>
      </c>
      <c r="O447" t="str">
        <f t="shared" si="38"/>
        <v>Valid</v>
      </c>
      <c r="P447" t="str">
        <f t="shared" si="39"/>
        <v>Match</v>
      </c>
      <c r="Q447" s="8">
        <v>5850</v>
      </c>
      <c r="R447" s="8">
        <v>877.5</v>
      </c>
      <c r="S447" s="8">
        <v>4972.5</v>
      </c>
      <c r="T447" s="8">
        <v>3240.86</v>
      </c>
      <c r="U447" s="8">
        <v>1731.64</v>
      </c>
      <c r="V447" s="8" t="b">
        <f t="shared" si="40"/>
        <v>0</v>
      </c>
      <c r="W447" s="8">
        <f t="shared" si="41"/>
        <v>0</v>
      </c>
      <c r="X447" t="s">
        <v>46</v>
      </c>
      <c r="Y447" t="s">
        <v>47</v>
      </c>
      <c r="Z447" t="s">
        <v>38</v>
      </c>
      <c r="AA447">
        <v>3</v>
      </c>
      <c r="AB447" t="s">
        <v>151</v>
      </c>
      <c r="AC447" t="s">
        <v>40</v>
      </c>
    </row>
    <row r="448" spans="1:29" x14ac:dyDescent="0.3">
      <c r="A448" t="s">
        <v>570</v>
      </c>
      <c r="B448" s="6">
        <v>45995</v>
      </c>
      <c r="C448" s="6" t="str">
        <f t="shared" si="36"/>
        <v>4 AM - 8 AM</v>
      </c>
      <c r="D448" s="4">
        <v>0.20902777777777778</v>
      </c>
      <c r="E448" t="s">
        <v>69</v>
      </c>
      <c r="F448" t="s">
        <v>24</v>
      </c>
      <c r="G448" t="s">
        <v>84</v>
      </c>
      <c r="H448" t="s">
        <v>53</v>
      </c>
      <c r="I448" t="s">
        <v>98</v>
      </c>
      <c r="J448" t="s">
        <v>85</v>
      </c>
      <c r="K448">
        <v>2</v>
      </c>
      <c r="M448" s="8" t="str">
        <f t="shared" si="37"/>
        <v>1-10%</v>
      </c>
      <c r="N448">
        <v>10</v>
      </c>
      <c r="O448" t="str">
        <f t="shared" si="38"/>
        <v>Valid</v>
      </c>
      <c r="P448" t="str">
        <f t="shared" si="39"/>
        <v>Match</v>
      </c>
      <c r="Q448" s="8">
        <v>60500</v>
      </c>
      <c r="R448" s="8">
        <v>6050</v>
      </c>
      <c r="S448" s="8">
        <v>54450</v>
      </c>
      <c r="T448" s="8">
        <v>44562.22</v>
      </c>
      <c r="U448" s="8">
        <v>9887.7800000000007</v>
      </c>
      <c r="V448" s="8" t="b">
        <f t="shared" si="40"/>
        <v>0</v>
      </c>
      <c r="W448" s="8">
        <f t="shared" si="41"/>
        <v>0</v>
      </c>
      <c r="X448" t="s">
        <v>493</v>
      </c>
      <c r="Y448" t="s">
        <v>37</v>
      </c>
      <c r="Z448" t="s">
        <v>80</v>
      </c>
      <c r="AA448">
        <v>4</v>
      </c>
      <c r="AB448" t="s">
        <v>39</v>
      </c>
      <c r="AC448" t="s">
        <v>67</v>
      </c>
    </row>
    <row r="449" spans="1:29" x14ac:dyDescent="0.3">
      <c r="A449" t="s">
        <v>571</v>
      </c>
      <c r="B449" s="6">
        <v>45730</v>
      </c>
      <c r="C449" s="6" t="str">
        <f t="shared" si="36"/>
        <v>12 AM - 4 AM</v>
      </c>
      <c r="D449" s="4">
        <v>5.2083333333333336E-2</v>
      </c>
      <c r="E449" t="s">
        <v>32</v>
      </c>
      <c r="F449" t="s">
        <v>96</v>
      </c>
      <c r="G449" t="s">
        <v>134</v>
      </c>
      <c r="H449" t="s">
        <v>43</v>
      </c>
      <c r="I449" t="s">
        <v>44</v>
      </c>
      <c r="J449" t="s">
        <v>35</v>
      </c>
      <c r="K449">
        <v>2</v>
      </c>
      <c r="L449" s="8">
        <v>2750</v>
      </c>
      <c r="M449" s="8" t="str">
        <f t="shared" si="37"/>
        <v>1-10%</v>
      </c>
      <c r="N449">
        <v>5</v>
      </c>
      <c r="O449" t="str">
        <f t="shared" si="38"/>
        <v>Valid</v>
      </c>
      <c r="P449" t="str">
        <f t="shared" si="39"/>
        <v>Match</v>
      </c>
      <c r="Q449" s="8">
        <v>5500</v>
      </c>
      <c r="R449" s="8">
        <v>275</v>
      </c>
      <c r="S449" s="8">
        <v>5225</v>
      </c>
      <c r="T449" s="8">
        <v>3008.53</v>
      </c>
      <c r="U449" s="8">
        <v>2216.4699999999998</v>
      </c>
      <c r="V449" s="8" t="b">
        <f t="shared" si="40"/>
        <v>0</v>
      </c>
      <c r="W449" s="8">
        <f t="shared" si="41"/>
        <v>0</v>
      </c>
      <c r="X449" t="s">
        <v>46</v>
      </c>
      <c r="Y449" t="s">
        <v>89</v>
      </c>
      <c r="Z449" t="s">
        <v>56</v>
      </c>
      <c r="AA449">
        <v>3</v>
      </c>
      <c r="AB449" t="s">
        <v>127</v>
      </c>
      <c r="AC449" t="s">
        <v>58</v>
      </c>
    </row>
    <row r="450" spans="1:29" x14ac:dyDescent="0.3">
      <c r="A450" t="s">
        <v>572</v>
      </c>
      <c r="B450" s="6">
        <v>45678</v>
      </c>
      <c r="C450" s="6" t="str">
        <f t="shared" ref="C450:C513" si="42">IF(D450&lt;TIME(4,0,0),"12 AM - 4 AM",IF(D450&lt;TIME(8,0,0),"4 AM - 8 AM",IF(D450&lt;TIME(12,0,0),"8 AM - 12 PM",IF(D450&lt;TIME(16,0,0),"12 PM - 4 PM",IF(D450&lt;TIME(20,0,0),"4 PM - 8 PM","8 PM - 12 AM")))))</f>
        <v>8 AM - 12 PM</v>
      </c>
      <c r="D450" s="4">
        <v>0.47569444444444442</v>
      </c>
      <c r="E450" t="s">
        <v>32</v>
      </c>
      <c r="F450" t="s">
        <v>24</v>
      </c>
      <c r="G450" t="s">
        <v>42</v>
      </c>
      <c r="H450" t="s">
        <v>74</v>
      </c>
      <c r="I450" t="s">
        <v>63</v>
      </c>
      <c r="J450" t="s">
        <v>78</v>
      </c>
      <c r="K450">
        <v>1</v>
      </c>
      <c r="L450" s="8">
        <v>64900</v>
      </c>
      <c r="M450" s="8" t="str">
        <f t="shared" ref="M450:M513" si="43">IF(N450&lt;0,"Invalid",IF(N450=0,"0%",IF(N450&lt;=10,"1-10%",IF(N450&lt;=20,"11-20%",IF(N450&lt;=30,"21-30%","30%+")))))</f>
        <v>11-20%</v>
      </c>
      <c r="N450">
        <v>15</v>
      </c>
      <c r="O450" t="str">
        <f t="shared" ref="O450:O513" si="44">IF(OR(N450&lt;0,N450&gt;100),"Invalid Discount","Valid")</f>
        <v>Valid</v>
      </c>
      <c r="P450" t="str">
        <f t="shared" ref="P450:P513" si="45">IF(ROUND(R450,2)=ROUND(Q450*N450/100,2),"Match","Mismatch")</f>
        <v>Match</v>
      </c>
      <c r="Q450" s="8">
        <v>64900</v>
      </c>
      <c r="R450" s="8">
        <v>9735</v>
      </c>
      <c r="S450" s="8">
        <v>55165</v>
      </c>
      <c r="T450" s="8">
        <v>45574.58</v>
      </c>
      <c r="U450" s="8">
        <v>9590.42</v>
      </c>
      <c r="V450" s="8" t="b">
        <f t="shared" ref="V450:V513" si="46">IF(AND(S450-T450&lt;0,U450=S450-T450),TRUE,FALSE)</f>
        <v>0</v>
      </c>
      <c r="W450" s="8">
        <f t="shared" ref="W450:W513" si="47">IF(V450=TRUE,ABS(U450),0)</f>
        <v>0</v>
      </c>
      <c r="X450" t="s">
        <v>46</v>
      </c>
      <c r="Y450" t="s">
        <v>70</v>
      </c>
      <c r="Z450" t="s">
        <v>56</v>
      </c>
      <c r="AA450">
        <v>4</v>
      </c>
      <c r="AB450" t="s">
        <v>151</v>
      </c>
      <c r="AC450" t="s">
        <v>86</v>
      </c>
    </row>
    <row r="451" spans="1:29" x14ac:dyDescent="0.3">
      <c r="A451" t="s">
        <v>573</v>
      </c>
      <c r="B451" s="6">
        <v>45982</v>
      </c>
      <c r="C451" s="6" t="str">
        <f t="shared" si="42"/>
        <v>8 PM - 12 AM</v>
      </c>
      <c r="D451" s="4">
        <v>0.86319444444444449</v>
      </c>
      <c r="E451" t="s">
        <v>32</v>
      </c>
      <c r="F451" t="s">
        <v>24</v>
      </c>
      <c r="G451" t="s">
        <v>33</v>
      </c>
      <c r="H451" t="s">
        <v>62</v>
      </c>
      <c r="I451" t="s">
        <v>54</v>
      </c>
      <c r="J451" t="s">
        <v>35</v>
      </c>
      <c r="K451">
        <v>1</v>
      </c>
      <c r="L451" s="8">
        <v>4400</v>
      </c>
      <c r="M451" s="8" t="str">
        <f t="shared" si="43"/>
        <v>1-10%</v>
      </c>
      <c r="N451">
        <v>10</v>
      </c>
      <c r="O451" t="str">
        <f t="shared" si="44"/>
        <v>Valid</v>
      </c>
      <c r="P451" t="str">
        <f t="shared" si="45"/>
        <v>Match</v>
      </c>
      <c r="Q451" s="8">
        <v>4400</v>
      </c>
      <c r="R451" s="8">
        <v>440</v>
      </c>
      <c r="S451" s="8">
        <v>3960</v>
      </c>
      <c r="T451" s="8">
        <v>2666.23</v>
      </c>
      <c r="U451" s="8">
        <v>1293.77</v>
      </c>
      <c r="V451" s="8" t="b">
        <f t="shared" si="46"/>
        <v>0</v>
      </c>
      <c r="W451" s="8">
        <f t="shared" si="47"/>
        <v>0</v>
      </c>
      <c r="X451" t="s">
        <v>36</v>
      </c>
      <c r="Y451" t="s">
        <v>37</v>
      </c>
      <c r="Z451" t="s">
        <v>38</v>
      </c>
      <c r="AA451">
        <v>3.5</v>
      </c>
      <c r="AB451" t="s">
        <v>75</v>
      </c>
      <c r="AC451" t="s">
        <v>58</v>
      </c>
    </row>
    <row r="452" spans="1:29" x14ac:dyDescent="0.3">
      <c r="A452" t="s">
        <v>574</v>
      </c>
      <c r="B452" s="6">
        <v>45676</v>
      </c>
      <c r="C452" s="6" t="str">
        <f t="shared" si="42"/>
        <v>8 AM - 12 PM</v>
      </c>
      <c r="D452" s="4">
        <v>0.46111111111111114</v>
      </c>
      <c r="E452" t="s">
        <v>77</v>
      </c>
      <c r="F452" t="s">
        <v>24</v>
      </c>
      <c r="G452" t="s">
        <v>42</v>
      </c>
      <c r="H452" t="s">
        <v>26</v>
      </c>
      <c r="I452" t="s">
        <v>44</v>
      </c>
      <c r="J452" t="s">
        <v>163</v>
      </c>
      <c r="K452">
        <v>2</v>
      </c>
      <c r="L452" s="8">
        <v>43200</v>
      </c>
      <c r="M452" s="8" t="str">
        <f t="shared" si="43"/>
        <v>21-30%</v>
      </c>
      <c r="N452">
        <v>25</v>
      </c>
      <c r="O452" t="str">
        <f t="shared" si="44"/>
        <v>Valid</v>
      </c>
      <c r="P452" t="str">
        <f t="shared" si="45"/>
        <v>Match</v>
      </c>
      <c r="Q452" s="8">
        <v>86400</v>
      </c>
      <c r="R452" s="8">
        <v>21600</v>
      </c>
      <c r="S452" s="8">
        <v>64800</v>
      </c>
      <c r="T452" s="8">
        <v>60799.75</v>
      </c>
      <c r="U452" s="8">
        <v>4000.25</v>
      </c>
      <c r="V452" s="8" t="b">
        <f t="shared" si="46"/>
        <v>0</v>
      </c>
      <c r="W452" s="8">
        <f t="shared" si="47"/>
        <v>0</v>
      </c>
      <c r="X452" t="s">
        <v>79</v>
      </c>
      <c r="Y452" t="s">
        <v>65</v>
      </c>
      <c r="Z452" t="s">
        <v>45</v>
      </c>
      <c r="AA452">
        <v>4.5</v>
      </c>
      <c r="AB452" t="s">
        <v>151</v>
      </c>
      <c r="AC452" t="s">
        <v>30</v>
      </c>
    </row>
    <row r="453" spans="1:29" x14ac:dyDescent="0.3">
      <c r="A453" t="s">
        <v>575</v>
      </c>
      <c r="B453" s="6">
        <v>45960</v>
      </c>
      <c r="C453" s="6" t="str">
        <f t="shared" si="42"/>
        <v>12 PM - 4 PM</v>
      </c>
      <c r="D453" s="4">
        <v>0.51041666666666663</v>
      </c>
      <c r="E453" t="s">
        <v>69</v>
      </c>
      <c r="F453" t="s">
        <v>24</v>
      </c>
      <c r="G453" t="s">
        <v>25</v>
      </c>
      <c r="H453" t="s">
        <v>43</v>
      </c>
      <c r="I453" t="s">
        <v>82</v>
      </c>
      <c r="J453" t="s">
        <v>35</v>
      </c>
      <c r="K453">
        <v>1</v>
      </c>
      <c r="L453" s="8">
        <v>4850</v>
      </c>
      <c r="M453" s="8" t="str">
        <f t="shared" si="43"/>
        <v>1-10%</v>
      </c>
      <c r="N453">
        <v>5</v>
      </c>
      <c r="O453" t="str">
        <f t="shared" si="44"/>
        <v>Valid</v>
      </c>
      <c r="P453" t="str">
        <f t="shared" si="45"/>
        <v>Match</v>
      </c>
      <c r="Q453" s="8">
        <v>4850</v>
      </c>
      <c r="R453" s="8">
        <v>242.5</v>
      </c>
      <c r="S453" s="8">
        <v>4607.5</v>
      </c>
      <c r="T453" s="8">
        <v>3163.73</v>
      </c>
      <c r="U453" s="8">
        <v>1443.77</v>
      </c>
      <c r="V453" s="8" t="b">
        <f t="shared" si="46"/>
        <v>0</v>
      </c>
      <c r="W453" s="8">
        <f t="shared" si="47"/>
        <v>0</v>
      </c>
      <c r="X453" t="s">
        <v>79</v>
      </c>
      <c r="Y453" t="s">
        <v>70</v>
      </c>
      <c r="Z453" t="s">
        <v>38</v>
      </c>
      <c r="AA453">
        <v>3</v>
      </c>
      <c r="AB453" t="s">
        <v>57</v>
      </c>
      <c r="AC453" t="s">
        <v>67</v>
      </c>
    </row>
    <row r="454" spans="1:29" x14ac:dyDescent="0.3">
      <c r="A454" t="s">
        <v>576</v>
      </c>
      <c r="B454" s="6">
        <v>45701</v>
      </c>
      <c r="C454" s="6" t="str">
        <f t="shared" si="42"/>
        <v>12 AM - 4 AM</v>
      </c>
      <c r="D454" s="4">
        <v>6.805555555555555E-2</v>
      </c>
      <c r="E454" t="s">
        <v>23</v>
      </c>
      <c r="F454" t="s">
        <v>96</v>
      </c>
      <c r="G454" t="s">
        <v>129</v>
      </c>
      <c r="H454" t="s">
        <v>53</v>
      </c>
      <c r="I454" t="s">
        <v>98</v>
      </c>
      <c r="J454" t="s">
        <v>35</v>
      </c>
      <c r="K454">
        <v>2</v>
      </c>
      <c r="L454" s="8">
        <v>1850</v>
      </c>
      <c r="M454" s="8" t="str">
        <f t="shared" si="43"/>
        <v>0%</v>
      </c>
      <c r="N454">
        <v>0</v>
      </c>
      <c r="O454" t="str">
        <f t="shared" si="44"/>
        <v>Valid</v>
      </c>
      <c r="P454" t="str">
        <f t="shared" si="45"/>
        <v>Match</v>
      </c>
      <c r="Q454" s="8">
        <v>3700</v>
      </c>
      <c r="R454" s="8">
        <v>0</v>
      </c>
      <c r="S454" s="8">
        <v>3700</v>
      </c>
      <c r="T454" s="8">
        <v>2217.44</v>
      </c>
      <c r="U454" s="8">
        <v>1482.56</v>
      </c>
      <c r="V454" s="8" t="b">
        <f t="shared" si="46"/>
        <v>0</v>
      </c>
      <c r="W454" s="8">
        <f t="shared" si="47"/>
        <v>0</v>
      </c>
      <c r="X454" t="s">
        <v>36</v>
      </c>
      <c r="Y454" t="s">
        <v>65</v>
      </c>
      <c r="Z454" t="s">
        <v>64</v>
      </c>
      <c r="AA454">
        <v>5</v>
      </c>
      <c r="AB454" t="s">
        <v>66</v>
      </c>
      <c r="AC454" t="s">
        <v>67</v>
      </c>
    </row>
    <row r="455" spans="1:29" x14ac:dyDescent="0.3">
      <c r="A455" t="s">
        <v>577</v>
      </c>
      <c r="B455" s="6">
        <v>45747</v>
      </c>
      <c r="C455" s="6" t="str">
        <f t="shared" si="42"/>
        <v>8 PM - 12 AM</v>
      </c>
      <c r="D455" s="4">
        <v>0.8666666666666667</v>
      </c>
      <c r="E455" t="s">
        <v>32</v>
      </c>
      <c r="F455" t="s">
        <v>24</v>
      </c>
      <c r="G455" t="s">
        <v>88</v>
      </c>
      <c r="H455" t="s">
        <v>53</v>
      </c>
      <c r="I455" t="s">
        <v>98</v>
      </c>
      <c r="J455" t="s">
        <v>35</v>
      </c>
      <c r="K455">
        <v>0</v>
      </c>
      <c r="L455" s="8">
        <v>3550</v>
      </c>
      <c r="M455" s="8" t="str">
        <f t="shared" si="43"/>
        <v>21-30%</v>
      </c>
      <c r="N455">
        <v>25</v>
      </c>
      <c r="O455" t="str">
        <f t="shared" si="44"/>
        <v>Valid</v>
      </c>
      <c r="P455" t="str">
        <f t="shared" si="45"/>
        <v>Match</v>
      </c>
      <c r="Q455" s="8">
        <v>14200</v>
      </c>
      <c r="R455" s="8">
        <v>3550</v>
      </c>
      <c r="S455" s="8">
        <v>10650</v>
      </c>
      <c r="T455" s="8">
        <v>7799.28</v>
      </c>
      <c r="U455" s="8">
        <v>2850.72</v>
      </c>
      <c r="V455" s="8" t="b">
        <f t="shared" si="46"/>
        <v>0</v>
      </c>
      <c r="W455" s="8">
        <f t="shared" si="47"/>
        <v>0</v>
      </c>
      <c r="X455" t="s">
        <v>55</v>
      </c>
      <c r="Y455" t="s">
        <v>65</v>
      </c>
      <c r="Z455" t="s">
        <v>64</v>
      </c>
      <c r="AA455">
        <v>4</v>
      </c>
      <c r="AB455" t="s">
        <v>127</v>
      </c>
      <c r="AC455" t="s">
        <v>49</v>
      </c>
    </row>
    <row r="456" spans="1:29" x14ac:dyDescent="0.3">
      <c r="A456" t="s">
        <v>578</v>
      </c>
      <c r="B456" s="6">
        <v>45951</v>
      </c>
      <c r="C456" s="6" t="str">
        <f t="shared" si="42"/>
        <v>8 PM - 12 AM</v>
      </c>
      <c r="D456" s="4">
        <v>0.88124999999999998</v>
      </c>
      <c r="E456" t="s">
        <v>108</v>
      </c>
      <c r="F456" t="s">
        <v>51</v>
      </c>
      <c r="G456" t="s">
        <v>140</v>
      </c>
      <c r="H456" t="s">
        <v>43</v>
      </c>
      <c r="I456" t="s">
        <v>103</v>
      </c>
      <c r="J456" t="s">
        <v>45</v>
      </c>
      <c r="K456">
        <v>1</v>
      </c>
      <c r="L456" s="8">
        <v>4500</v>
      </c>
      <c r="M456" s="8" t="str">
        <f t="shared" si="43"/>
        <v>21-30%</v>
      </c>
      <c r="N456">
        <v>30</v>
      </c>
      <c r="O456" t="str">
        <f t="shared" si="44"/>
        <v>Valid</v>
      </c>
      <c r="P456" t="str">
        <f t="shared" si="45"/>
        <v>Match</v>
      </c>
      <c r="Q456" s="8">
        <v>4500</v>
      </c>
      <c r="R456" s="8">
        <v>1350</v>
      </c>
      <c r="S456" s="8">
        <v>3150</v>
      </c>
      <c r="T456" s="8">
        <v>3310.88</v>
      </c>
      <c r="U456" s="8">
        <v>-160.88</v>
      </c>
      <c r="V456" s="8" t="b">
        <f t="shared" si="46"/>
        <v>1</v>
      </c>
      <c r="W456" s="8">
        <f t="shared" si="47"/>
        <v>160.88</v>
      </c>
      <c r="X456" t="s">
        <v>46</v>
      </c>
      <c r="Y456" t="s">
        <v>70</v>
      </c>
      <c r="Z456" t="s">
        <v>64</v>
      </c>
      <c r="AA456" t="s">
        <v>1139</v>
      </c>
      <c r="AB456" t="s">
        <v>57</v>
      </c>
      <c r="AC456" t="s">
        <v>86</v>
      </c>
    </row>
    <row r="457" spans="1:29" x14ac:dyDescent="0.3">
      <c r="A457" t="s">
        <v>579</v>
      </c>
      <c r="B457" s="6">
        <v>45937</v>
      </c>
      <c r="C457" s="6" t="str">
        <f t="shared" si="42"/>
        <v>4 AM - 8 AM</v>
      </c>
      <c r="D457" s="4">
        <v>0.26874999999999999</v>
      </c>
      <c r="E457" t="s">
        <v>622</v>
      </c>
      <c r="F457" t="s">
        <v>51</v>
      </c>
      <c r="G457" t="s">
        <v>140</v>
      </c>
      <c r="H457" t="s">
        <v>62</v>
      </c>
      <c r="I457" t="s">
        <v>98</v>
      </c>
      <c r="J457" t="s">
        <v>64</v>
      </c>
      <c r="K457">
        <v>2</v>
      </c>
      <c r="L457" s="8">
        <v>4900</v>
      </c>
      <c r="M457" s="8" t="str">
        <f t="shared" si="43"/>
        <v>21-30%</v>
      </c>
      <c r="N457">
        <v>30</v>
      </c>
      <c r="O457" t="str">
        <f t="shared" si="44"/>
        <v>Valid</v>
      </c>
      <c r="P457" t="str">
        <f t="shared" si="45"/>
        <v>Match</v>
      </c>
      <c r="Q457" s="8">
        <v>9800</v>
      </c>
      <c r="R457" s="8">
        <v>2940</v>
      </c>
      <c r="S457" s="8">
        <v>6860</v>
      </c>
      <c r="T457" s="8">
        <v>6646.12</v>
      </c>
      <c r="U457" s="8">
        <v>213.88</v>
      </c>
      <c r="V457" s="8" t="b">
        <f t="shared" si="46"/>
        <v>0</v>
      </c>
      <c r="W457" s="8">
        <f t="shared" si="47"/>
        <v>0</v>
      </c>
      <c r="X457" t="s">
        <v>493</v>
      </c>
      <c r="Y457" t="s">
        <v>89</v>
      </c>
      <c r="Z457" t="s">
        <v>56</v>
      </c>
      <c r="AA457">
        <v>4</v>
      </c>
      <c r="AB457" t="s">
        <v>57</v>
      </c>
      <c r="AC457" t="s">
        <v>86</v>
      </c>
    </row>
    <row r="458" spans="1:29" x14ac:dyDescent="0.3">
      <c r="A458" t="s">
        <v>580</v>
      </c>
      <c r="B458" s="6">
        <v>45736</v>
      </c>
      <c r="C458" s="6" t="str">
        <f t="shared" si="42"/>
        <v>12 AM - 4 AM</v>
      </c>
      <c r="D458" s="4">
        <v>2.013888888888889E-2</v>
      </c>
      <c r="E458" t="s">
        <v>32</v>
      </c>
      <c r="F458" t="s">
        <v>51</v>
      </c>
      <c r="G458" t="s">
        <v>153</v>
      </c>
      <c r="H458" t="s">
        <v>102</v>
      </c>
      <c r="I458" t="s">
        <v>63</v>
      </c>
      <c r="J458" t="s">
        <v>35</v>
      </c>
      <c r="K458">
        <v>2</v>
      </c>
      <c r="L458" s="8">
        <v>3300</v>
      </c>
      <c r="M458" s="8" t="str">
        <f t="shared" si="43"/>
        <v>0%</v>
      </c>
      <c r="N458">
        <v>0</v>
      </c>
      <c r="O458" t="str">
        <f t="shared" si="44"/>
        <v>Valid</v>
      </c>
      <c r="P458" t="str">
        <f t="shared" si="45"/>
        <v>Match</v>
      </c>
      <c r="Q458" s="8">
        <v>6600</v>
      </c>
      <c r="R458" s="8">
        <v>0</v>
      </c>
      <c r="S458" s="8">
        <v>6600</v>
      </c>
      <c r="T458" s="8">
        <v>4516.49</v>
      </c>
      <c r="U458" s="8">
        <v>2083.5100000000002</v>
      </c>
      <c r="V458" s="8" t="b">
        <f t="shared" si="46"/>
        <v>0</v>
      </c>
      <c r="W458" s="8">
        <f t="shared" si="47"/>
        <v>0</v>
      </c>
      <c r="X458" t="s">
        <v>55</v>
      </c>
      <c r="Y458" t="s">
        <v>37</v>
      </c>
      <c r="Z458" t="s">
        <v>80</v>
      </c>
      <c r="AA458">
        <v>3.5</v>
      </c>
      <c r="AB458" t="s">
        <v>127</v>
      </c>
      <c r="AC458" t="s">
        <v>67</v>
      </c>
    </row>
    <row r="459" spans="1:29" x14ac:dyDescent="0.3">
      <c r="A459" t="s">
        <v>581</v>
      </c>
      <c r="B459" s="6">
        <v>45889</v>
      </c>
      <c r="C459" s="6" t="str">
        <f t="shared" si="42"/>
        <v>4 PM - 8 PM</v>
      </c>
      <c r="D459" s="4">
        <v>0.81388888888888888</v>
      </c>
      <c r="E459" t="s">
        <v>23</v>
      </c>
      <c r="F459" t="s">
        <v>51</v>
      </c>
      <c r="G459" t="s">
        <v>122</v>
      </c>
      <c r="H459" t="s">
        <v>26</v>
      </c>
      <c r="I459" t="s">
        <v>44</v>
      </c>
      <c r="J459" t="s">
        <v>64</v>
      </c>
      <c r="K459">
        <v>1</v>
      </c>
      <c r="L459" s="8">
        <v>2350</v>
      </c>
      <c r="M459" s="8" t="str">
        <f t="shared" si="43"/>
        <v>1-10%</v>
      </c>
      <c r="N459">
        <v>10</v>
      </c>
      <c r="O459" t="str">
        <f t="shared" si="44"/>
        <v>Valid</v>
      </c>
      <c r="P459" t="str">
        <f t="shared" si="45"/>
        <v>Match</v>
      </c>
      <c r="Q459" s="8">
        <v>2350</v>
      </c>
      <c r="R459" s="8">
        <v>235</v>
      </c>
      <c r="S459" s="8">
        <v>2115</v>
      </c>
      <c r="T459" s="8">
        <v>1421.34</v>
      </c>
      <c r="U459" s="8">
        <v>693.66</v>
      </c>
      <c r="V459" s="8" t="b">
        <f t="shared" si="46"/>
        <v>0</v>
      </c>
      <c r="W459" s="8">
        <f t="shared" si="47"/>
        <v>0</v>
      </c>
      <c r="X459" t="s">
        <v>79</v>
      </c>
      <c r="Y459" t="s">
        <v>94</v>
      </c>
      <c r="Z459" t="s">
        <v>80</v>
      </c>
      <c r="AA459">
        <v>4</v>
      </c>
      <c r="AB459" t="s">
        <v>90</v>
      </c>
      <c r="AC459" t="s">
        <v>40</v>
      </c>
    </row>
    <row r="460" spans="1:29" x14ac:dyDescent="0.3">
      <c r="A460" t="s">
        <v>582</v>
      </c>
      <c r="B460" s="6">
        <v>45856</v>
      </c>
      <c r="C460" s="6" t="str">
        <f t="shared" si="42"/>
        <v>4 PM - 8 PM</v>
      </c>
      <c r="D460" s="4">
        <v>0.7368055555555556</v>
      </c>
      <c r="E460" t="s">
        <v>32</v>
      </c>
      <c r="F460" t="s">
        <v>24</v>
      </c>
      <c r="G460" t="s">
        <v>42</v>
      </c>
      <c r="H460" t="s">
        <v>43</v>
      </c>
      <c r="I460" t="s">
        <v>63</v>
      </c>
      <c r="J460" t="s">
        <v>35</v>
      </c>
      <c r="K460">
        <v>1</v>
      </c>
      <c r="L460" s="8">
        <v>118100</v>
      </c>
      <c r="M460" s="8" t="str">
        <f t="shared" si="43"/>
        <v>1-10%</v>
      </c>
      <c r="N460">
        <v>10</v>
      </c>
      <c r="O460" t="str">
        <f t="shared" si="44"/>
        <v>Valid</v>
      </c>
      <c r="P460" t="str">
        <f t="shared" si="45"/>
        <v>Match</v>
      </c>
      <c r="Q460" s="8">
        <v>118100</v>
      </c>
      <c r="R460" s="8">
        <v>11810</v>
      </c>
      <c r="S460" s="8">
        <v>106290</v>
      </c>
      <c r="T460" s="8">
        <v>79524.86</v>
      </c>
      <c r="U460" s="8">
        <v>26765.14</v>
      </c>
      <c r="V460" s="8" t="b">
        <f t="shared" si="46"/>
        <v>0</v>
      </c>
      <c r="W460" s="8">
        <f t="shared" si="47"/>
        <v>0</v>
      </c>
      <c r="X460" t="s">
        <v>79</v>
      </c>
      <c r="Y460" t="s">
        <v>94</v>
      </c>
      <c r="Z460" t="s">
        <v>85</v>
      </c>
      <c r="AA460">
        <v>3.5</v>
      </c>
      <c r="AB460" t="s">
        <v>29</v>
      </c>
      <c r="AC460" t="s">
        <v>58</v>
      </c>
    </row>
    <row r="461" spans="1:29" x14ac:dyDescent="0.3">
      <c r="A461" t="s">
        <v>583</v>
      </c>
      <c r="B461" s="6">
        <v>45720</v>
      </c>
      <c r="C461" s="6" t="str">
        <f t="shared" si="42"/>
        <v>8 PM - 12 AM</v>
      </c>
      <c r="D461" s="4">
        <v>0.87777777777777777</v>
      </c>
      <c r="E461" t="s">
        <v>622</v>
      </c>
      <c r="F461" t="s">
        <v>51</v>
      </c>
      <c r="G461" t="s">
        <v>73</v>
      </c>
      <c r="H461" t="s">
        <v>113</v>
      </c>
      <c r="I461" t="s">
        <v>103</v>
      </c>
      <c r="J461" t="s">
        <v>35</v>
      </c>
      <c r="K461">
        <v>1</v>
      </c>
      <c r="L461" s="8">
        <v>8000</v>
      </c>
      <c r="M461" s="8" t="str">
        <f t="shared" si="43"/>
        <v>11-20%</v>
      </c>
      <c r="N461">
        <v>15</v>
      </c>
      <c r="O461" t="str">
        <f t="shared" si="44"/>
        <v>Valid</v>
      </c>
      <c r="P461" t="str">
        <f t="shared" si="45"/>
        <v>Match</v>
      </c>
      <c r="Q461" s="8">
        <v>8000</v>
      </c>
      <c r="R461" s="8">
        <v>1200</v>
      </c>
      <c r="S461" s="8">
        <v>6800</v>
      </c>
      <c r="T461" s="8">
        <v>5002.51</v>
      </c>
      <c r="U461" s="8">
        <v>1797.49</v>
      </c>
      <c r="V461" s="8" t="b">
        <f t="shared" si="46"/>
        <v>0</v>
      </c>
      <c r="W461" s="8">
        <f t="shared" si="47"/>
        <v>0</v>
      </c>
      <c r="X461" t="s">
        <v>36</v>
      </c>
      <c r="Y461" t="s">
        <v>104</v>
      </c>
      <c r="Z461" t="s">
        <v>64</v>
      </c>
      <c r="AA461">
        <v>5</v>
      </c>
      <c r="AB461" t="s">
        <v>127</v>
      </c>
      <c r="AC461" t="s">
        <v>86</v>
      </c>
    </row>
    <row r="462" spans="1:29" x14ac:dyDescent="0.3">
      <c r="A462" t="s">
        <v>584</v>
      </c>
      <c r="B462" s="6">
        <v>45812</v>
      </c>
      <c r="C462" s="6" t="str">
        <f t="shared" si="42"/>
        <v>8 AM - 12 PM</v>
      </c>
      <c r="D462" s="4">
        <v>0.47638888888888886</v>
      </c>
      <c r="E462" t="s">
        <v>622</v>
      </c>
      <c r="F462" t="s">
        <v>24</v>
      </c>
      <c r="G462" t="s">
        <v>84</v>
      </c>
      <c r="H462" t="s">
        <v>113</v>
      </c>
      <c r="I462" t="s">
        <v>82</v>
      </c>
      <c r="J462" t="s">
        <v>45</v>
      </c>
      <c r="K462">
        <v>2</v>
      </c>
      <c r="L462" s="8">
        <v>25600</v>
      </c>
      <c r="M462" s="8" t="str">
        <f t="shared" si="43"/>
        <v>0%</v>
      </c>
      <c r="N462">
        <v>0</v>
      </c>
      <c r="O462" t="str">
        <f t="shared" si="44"/>
        <v>Valid</v>
      </c>
      <c r="P462" t="str">
        <f t="shared" si="45"/>
        <v>Match</v>
      </c>
      <c r="Q462" s="8">
        <v>51200</v>
      </c>
      <c r="R462" s="8">
        <v>0</v>
      </c>
      <c r="S462" s="8">
        <v>51200</v>
      </c>
      <c r="T462" s="8">
        <v>33688.69</v>
      </c>
      <c r="U462" s="8">
        <v>17511.310000000001</v>
      </c>
      <c r="V462" s="8" t="b">
        <f t="shared" si="46"/>
        <v>0</v>
      </c>
      <c r="W462" s="8">
        <f t="shared" si="47"/>
        <v>0</v>
      </c>
      <c r="X462" t="s">
        <v>55</v>
      </c>
      <c r="Y462" t="s">
        <v>47</v>
      </c>
      <c r="Z462" t="s">
        <v>85</v>
      </c>
      <c r="AA462">
        <v>3</v>
      </c>
      <c r="AB462" t="s">
        <v>48</v>
      </c>
      <c r="AC462" t="s">
        <v>40</v>
      </c>
    </row>
    <row r="463" spans="1:29" x14ac:dyDescent="0.3">
      <c r="A463" t="s">
        <v>585</v>
      </c>
      <c r="B463" s="6">
        <v>45713</v>
      </c>
      <c r="C463" s="6" t="str">
        <f t="shared" si="42"/>
        <v>12 AM - 4 AM</v>
      </c>
      <c r="D463" s="4">
        <v>0.1361111111111111</v>
      </c>
      <c r="E463" t="s">
        <v>77</v>
      </c>
      <c r="F463" t="s">
        <v>24</v>
      </c>
      <c r="G463" t="s">
        <v>88</v>
      </c>
      <c r="H463" t="s">
        <v>74</v>
      </c>
      <c r="I463" t="s">
        <v>63</v>
      </c>
      <c r="J463" t="s">
        <v>35</v>
      </c>
      <c r="K463">
        <v>1</v>
      </c>
      <c r="L463" s="8">
        <v>4950</v>
      </c>
      <c r="M463" s="8" t="str">
        <f t="shared" si="43"/>
        <v>1-10%</v>
      </c>
      <c r="N463">
        <v>5</v>
      </c>
      <c r="O463" t="str">
        <f t="shared" si="44"/>
        <v>Valid</v>
      </c>
      <c r="P463" t="str">
        <f t="shared" si="45"/>
        <v>Match</v>
      </c>
      <c r="Q463" s="8">
        <v>4950</v>
      </c>
      <c r="R463" s="8">
        <v>247.5</v>
      </c>
      <c r="S463" s="8">
        <v>4702.5</v>
      </c>
      <c r="T463" s="8">
        <v>3410.35</v>
      </c>
      <c r="U463" s="8">
        <v>1292.1500000000001</v>
      </c>
      <c r="V463" s="8" t="b">
        <f t="shared" si="46"/>
        <v>0</v>
      </c>
      <c r="W463" s="8">
        <f t="shared" si="47"/>
        <v>0</v>
      </c>
      <c r="X463" t="s">
        <v>46</v>
      </c>
      <c r="Y463" t="s">
        <v>94</v>
      </c>
      <c r="Z463" t="s">
        <v>45</v>
      </c>
      <c r="AA463">
        <v>3</v>
      </c>
      <c r="AB463" t="s">
        <v>66</v>
      </c>
      <c r="AC463" t="s">
        <v>86</v>
      </c>
    </row>
    <row r="464" spans="1:29" x14ac:dyDescent="0.3">
      <c r="A464" t="s">
        <v>586</v>
      </c>
      <c r="B464" s="6">
        <v>45750</v>
      </c>
      <c r="C464" s="6" t="str">
        <f t="shared" si="42"/>
        <v>4 AM - 8 AM</v>
      </c>
      <c r="D464" s="4">
        <v>0.19166666666666668</v>
      </c>
      <c r="E464" t="s">
        <v>32</v>
      </c>
      <c r="F464" t="s">
        <v>24</v>
      </c>
      <c r="G464" t="s">
        <v>84</v>
      </c>
      <c r="H464" t="s">
        <v>74</v>
      </c>
      <c r="I464" t="s">
        <v>54</v>
      </c>
      <c r="J464" t="s">
        <v>35</v>
      </c>
      <c r="K464">
        <v>2</v>
      </c>
      <c r="L464" s="8">
        <v>10850</v>
      </c>
      <c r="M464" s="8" t="str">
        <f t="shared" si="43"/>
        <v>1-10%</v>
      </c>
      <c r="N464">
        <v>10</v>
      </c>
      <c r="O464" t="str">
        <f t="shared" si="44"/>
        <v>Valid</v>
      </c>
      <c r="P464" t="str">
        <f t="shared" si="45"/>
        <v>Match</v>
      </c>
      <c r="Q464" s="8">
        <v>21700</v>
      </c>
      <c r="R464" s="8">
        <v>2170</v>
      </c>
      <c r="S464" s="8">
        <v>19530</v>
      </c>
      <c r="T464" s="8">
        <v>12959.79</v>
      </c>
      <c r="U464" s="8">
        <v>6570.21</v>
      </c>
      <c r="V464" s="8" t="b">
        <f t="shared" si="46"/>
        <v>0</v>
      </c>
      <c r="W464" s="8">
        <f t="shared" si="47"/>
        <v>0</v>
      </c>
      <c r="X464" t="s">
        <v>55</v>
      </c>
      <c r="Y464" t="s">
        <v>70</v>
      </c>
      <c r="Z464" t="s">
        <v>38</v>
      </c>
      <c r="AA464">
        <v>3</v>
      </c>
      <c r="AB464" t="s">
        <v>99</v>
      </c>
      <c r="AC464" t="s">
        <v>67</v>
      </c>
    </row>
    <row r="465" spans="1:29" x14ac:dyDescent="0.3">
      <c r="A465" t="s">
        <v>587</v>
      </c>
      <c r="B465" s="6">
        <v>45821</v>
      </c>
      <c r="C465" s="6" t="str">
        <f t="shared" si="42"/>
        <v>4 AM - 8 AM</v>
      </c>
      <c r="D465" s="4">
        <v>0.22569444444444445</v>
      </c>
      <c r="E465" t="s">
        <v>69</v>
      </c>
      <c r="F465" t="s">
        <v>24</v>
      </c>
      <c r="G465" t="s">
        <v>84</v>
      </c>
      <c r="H465" t="s">
        <v>43</v>
      </c>
      <c r="I465" t="s">
        <v>27</v>
      </c>
      <c r="J465" t="s">
        <v>64</v>
      </c>
      <c r="K465">
        <v>1</v>
      </c>
      <c r="L465" s="8">
        <v>21950</v>
      </c>
      <c r="M465" s="8" t="str">
        <f t="shared" si="43"/>
        <v>1-10%</v>
      </c>
      <c r="N465">
        <v>10</v>
      </c>
      <c r="O465" t="str">
        <f t="shared" si="44"/>
        <v>Valid</v>
      </c>
      <c r="P465" t="str">
        <f t="shared" si="45"/>
        <v>Match</v>
      </c>
      <c r="Q465" s="8">
        <v>21950</v>
      </c>
      <c r="R465" s="8">
        <v>2195</v>
      </c>
      <c r="S465" s="8">
        <v>19755</v>
      </c>
      <c r="T465" s="8">
        <v>15911.58</v>
      </c>
      <c r="U465" s="8">
        <v>3843.42</v>
      </c>
      <c r="V465" s="8" t="b">
        <f t="shared" si="46"/>
        <v>0</v>
      </c>
      <c r="W465" s="8">
        <f t="shared" si="47"/>
        <v>0</v>
      </c>
      <c r="X465" t="s">
        <v>55</v>
      </c>
      <c r="Y465" t="s">
        <v>89</v>
      </c>
      <c r="Z465" t="s">
        <v>38</v>
      </c>
      <c r="AA465">
        <v>4.5</v>
      </c>
      <c r="AB465" t="s">
        <v>48</v>
      </c>
      <c r="AC465" t="s">
        <v>58</v>
      </c>
    </row>
    <row r="466" spans="1:29" x14ac:dyDescent="0.3">
      <c r="A466" t="s">
        <v>588</v>
      </c>
      <c r="B466" s="6">
        <v>45753</v>
      </c>
      <c r="C466" s="6" t="str">
        <f t="shared" si="42"/>
        <v>4 AM - 8 AM</v>
      </c>
      <c r="D466" s="4">
        <v>0.3034722222222222</v>
      </c>
      <c r="E466" t="s">
        <v>108</v>
      </c>
      <c r="F466" t="s">
        <v>24</v>
      </c>
      <c r="G466" t="s">
        <v>61</v>
      </c>
      <c r="H466" t="s">
        <v>53</v>
      </c>
      <c r="I466" t="s">
        <v>54</v>
      </c>
      <c r="J466" t="s">
        <v>35</v>
      </c>
      <c r="K466">
        <v>1</v>
      </c>
      <c r="L466" s="8">
        <v>35900</v>
      </c>
      <c r="M466" s="8" t="str">
        <f t="shared" si="43"/>
        <v>1-10%</v>
      </c>
      <c r="N466">
        <v>5</v>
      </c>
      <c r="O466" t="str">
        <f t="shared" si="44"/>
        <v>Valid</v>
      </c>
      <c r="P466" t="str">
        <f t="shared" si="45"/>
        <v>Match</v>
      </c>
      <c r="Q466" s="8">
        <v>35900</v>
      </c>
      <c r="R466" s="8">
        <v>1795</v>
      </c>
      <c r="S466" s="8">
        <v>34105</v>
      </c>
      <c r="T466" s="8">
        <v>24427.61</v>
      </c>
      <c r="U466" s="8">
        <v>9677.39</v>
      </c>
      <c r="V466" s="8" t="b">
        <f t="shared" si="46"/>
        <v>0</v>
      </c>
      <c r="W466" s="8">
        <f t="shared" si="47"/>
        <v>0</v>
      </c>
      <c r="X466" t="s">
        <v>36</v>
      </c>
      <c r="Y466" t="s">
        <v>104</v>
      </c>
      <c r="Z466" t="s">
        <v>64</v>
      </c>
      <c r="AA466">
        <v>5</v>
      </c>
      <c r="AB466" t="s">
        <v>99</v>
      </c>
      <c r="AC466" t="s">
        <v>30</v>
      </c>
    </row>
    <row r="467" spans="1:29" x14ac:dyDescent="0.3">
      <c r="A467" t="s">
        <v>589</v>
      </c>
      <c r="B467" s="6">
        <v>45819</v>
      </c>
      <c r="C467" s="6" t="str">
        <f t="shared" si="42"/>
        <v>8 PM - 12 AM</v>
      </c>
      <c r="D467" s="4">
        <v>0.87777777777777777</v>
      </c>
      <c r="E467" t="s">
        <v>23</v>
      </c>
      <c r="F467" t="s">
        <v>96</v>
      </c>
      <c r="G467" t="s">
        <v>134</v>
      </c>
      <c r="H467" t="s">
        <v>53</v>
      </c>
      <c r="I467" t="s">
        <v>54</v>
      </c>
      <c r="J467" t="s">
        <v>85</v>
      </c>
      <c r="K467">
        <v>1</v>
      </c>
      <c r="L467" s="8">
        <v>3800</v>
      </c>
      <c r="M467" s="8" t="str">
        <f t="shared" si="43"/>
        <v>21-30%</v>
      </c>
      <c r="N467">
        <v>25</v>
      </c>
      <c r="O467" t="str">
        <f t="shared" si="44"/>
        <v>Valid</v>
      </c>
      <c r="P467" t="str">
        <f t="shared" si="45"/>
        <v>Match</v>
      </c>
      <c r="Q467" s="8">
        <v>3800</v>
      </c>
      <c r="R467" s="8">
        <v>950</v>
      </c>
      <c r="S467" s="8">
        <v>2850</v>
      </c>
      <c r="T467" s="8">
        <v>2175.4899999999998</v>
      </c>
      <c r="U467" s="8">
        <v>674.51</v>
      </c>
      <c r="V467" s="8" t="b">
        <f t="shared" si="46"/>
        <v>0</v>
      </c>
      <c r="W467" s="8">
        <f t="shared" si="47"/>
        <v>0</v>
      </c>
      <c r="X467" t="s">
        <v>230</v>
      </c>
      <c r="Y467" t="s">
        <v>37</v>
      </c>
      <c r="Z467" t="s">
        <v>85</v>
      </c>
      <c r="AA467">
        <v>3</v>
      </c>
      <c r="AB467" t="s">
        <v>48</v>
      </c>
      <c r="AC467" t="s">
        <v>40</v>
      </c>
    </row>
    <row r="468" spans="1:29" x14ac:dyDescent="0.3">
      <c r="A468" t="s">
        <v>590</v>
      </c>
      <c r="B468" s="6">
        <v>45791</v>
      </c>
      <c r="C468" s="6" t="str">
        <f t="shared" si="42"/>
        <v>4 AM - 8 AM</v>
      </c>
      <c r="D468" s="4">
        <v>0.3125</v>
      </c>
      <c r="E468" t="s">
        <v>60</v>
      </c>
      <c r="F468" t="s">
        <v>24</v>
      </c>
      <c r="G468" t="s">
        <v>110</v>
      </c>
      <c r="H468" t="s">
        <v>43</v>
      </c>
      <c r="I468" t="s">
        <v>92</v>
      </c>
      <c r="J468" t="s">
        <v>78</v>
      </c>
      <c r="K468">
        <v>2</v>
      </c>
      <c r="L468" s="8">
        <v>3700</v>
      </c>
      <c r="M468" s="8" t="str">
        <f t="shared" si="43"/>
        <v>21-30%</v>
      </c>
      <c r="N468">
        <v>30</v>
      </c>
      <c r="O468" t="str">
        <f t="shared" si="44"/>
        <v>Valid</v>
      </c>
      <c r="P468" t="str">
        <f t="shared" si="45"/>
        <v>Match</v>
      </c>
      <c r="Q468" s="8">
        <v>7400</v>
      </c>
      <c r="R468" s="8">
        <v>2220</v>
      </c>
      <c r="S468" s="8">
        <v>5180</v>
      </c>
      <c r="T468" s="8">
        <v>4346.97</v>
      </c>
      <c r="U468" s="8">
        <v>833.03</v>
      </c>
      <c r="V468" s="8" t="b">
        <f t="shared" si="46"/>
        <v>0</v>
      </c>
      <c r="W468" s="8">
        <f t="shared" si="47"/>
        <v>0</v>
      </c>
      <c r="X468" t="s">
        <v>36</v>
      </c>
      <c r="Y468" t="s">
        <v>47</v>
      </c>
      <c r="Z468" t="s">
        <v>85</v>
      </c>
      <c r="AA468">
        <v>3.5</v>
      </c>
      <c r="AB468" t="s">
        <v>111</v>
      </c>
      <c r="AC468" t="s">
        <v>40</v>
      </c>
    </row>
    <row r="469" spans="1:29" x14ac:dyDescent="0.3">
      <c r="A469" t="s">
        <v>591</v>
      </c>
      <c r="B469" s="6">
        <v>46006</v>
      </c>
      <c r="C469" s="6" t="str">
        <f t="shared" si="42"/>
        <v>4 PM - 8 PM</v>
      </c>
      <c r="D469" s="4">
        <v>0.68194444444444446</v>
      </c>
      <c r="E469" t="s">
        <v>23</v>
      </c>
      <c r="F469" t="s">
        <v>51</v>
      </c>
      <c r="G469" t="s">
        <v>52</v>
      </c>
      <c r="H469" t="s">
        <v>53</v>
      </c>
      <c r="I469" t="s">
        <v>54</v>
      </c>
      <c r="J469" t="s">
        <v>93</v>
      </c>
      <c r="K469">
        <v>1</v>
      </c>
      <c r="L469" s="8">
        <v>11750</v>
      </c>
      <c r="M469" s="8" t="str">
        <f t="shared" si="43"/>
        <v>0%</v>
      </c>
      <c r="N469">
        <v>0</v>
      </c>
      <c r="O469" t="str">
        <f t="shared" si="44"/>
        <v>Valid</v>
      </c>
      <c r="P469" t="str">
        <f t="shared" si="45"/>
        <v>Match</v>
      </c>
      <c r="Q469" s="8">
        <v>11750</v>
      </c>
      <c r="R469" s="8">
        <v>0</v>
      </c>
      <c r="S469" s="8">
        <v>11750</v>
      </c>
      <c r="T469" s="8">
        <v>7273.18</v>
      </c>
      <c r="U469" s="8">
        <v>4476.82</v>
      </c>
      <c r="V469" s="8" t="b">
        <f t="shared" si="46"/>
        <v>0</v>
      </c>
      <c r="W469" s="8">
        <f t="shared" si="47"/>
        <v>0</v>
      </c>
      <c r="X469" t="s">
        <v>55</v>
      </c>
      <c r="Y469" t="s">
        <v>94</v>
      </c>
      <c r="Z469" t="s">
        <v>45</v>
      </c>
      <c r="AA469">
        <v>3.5</v>
      </c>
      <c r="AB469" t="s">
        <v>39</v>
      </c>
      <c r="AC469" t="s">
        <v>49</v>
      </c>
    </row>
    <row r="470" spans="1:29" x14ac:dyDescent="0.3">
      <c r="A470" t="s">
        <v>592</v>
      </c>
      <c r="B470" s="6">
        <v>46010</v>
      </c>
      <c r="C470" s="6" t="str">
        <f t="shared" si="42"/>
        <v>8 PM - 12 AM</v>
      </c>
      <c r="D470" s="4">
        <v>0.83402777777777781</v>
      </c>
      <c r="E470" t="s">
        <v>69</v>
      </c>
      <c r="F470" t="s">
        <v>51</v>
      </c>
      <c r="G470" t="s">
        <v>140</v>
      </c>
      <c r="H470" t="s">
        <v>62</v>
      </c>
      <c r="I470" t="s">
        <v>98</v>
      </c>
      <c r="J470" t="s">
        <v>35</v>
      </c>
      <c r="K470">
        <v>1</v>
      </c>
      <c r="L470" s="8">
        <v>3700</v>
      </c>
      <c r="M470" s="8" t="str">
        <f t="shared" si="43"/>
        <v>11-20%</v>
      </c>
      <c r="N470">
        <v>15</v>
      </c>
      <c r="O470" t="str">
        <f t="shared" si="44"/>
        <v>Valid</v>
      </c>
      <c r="P470" t="str">
        <f t="shared" si="45"/>
        <v>Match</v>
      </c>
      <c r="Q470" s="8">
        <v>3700</v>
      </c>
      <c r="R470" s="8">
        <v>555</v>
      </c>
      <c r="S470" s="8">
        <v>3145</v>
      </c>
      <c r="T470" s="8">
        <v>2399.13</v>
      </c>
      <c r="U470" s="8">
        <v>745.87</v>
      </c>
      <c r="V470" s="8" t="b">
        <f t="shared" si="46"/>
        <v>0</v>
      </c>
      <c r="W470" s="8">
        <f t="shared" si="47"/>
        <v>0</v>
      </c>
      <c r="X470" t="s">
        <v>55</v>
      </c>
      <c r="Y470" t="s">
        <v>104</v>
      </c>
      <c r="Z470" t="s">
        <v>85</v>
      </c>
      <c r="AA470">
        <v>5</v>
      </c>
      <c r="AB470" t="s">
        <v>39</v>
      </c>
      <c r="AC470" t="s">
        <v>58</v>
      </c>
    </row>
    <row r="471" spans="1:29" x14ac:dyDescent="0.3">
      <c r="A471" t="s">
        <v>593</v>
      </c>
      <c r="B471" s="6">
        <v>45989</v>
      </c>
      <c r="C471" s="6" t="str">
        <f t="shared" si="42"/>
        <v>8 AM - 12 PM</v>
      </c>
      <c r="D471" s="4">
        <v>0.40069444444444446</v>
      </c>
      <c r="E471" t="s">
        <v>622</v>
      </c>
      <c r="F471" t="s">
        <v>24</v>
      </c>
      <c r="G471" t="s">
        <v>120</v>
      </c>
      <c r="H471" t="s">
        <v>113</v>
      </c>
      <c r="I471" t="s">
        <v>27</v>
      </c>
      <c r="J471" t="s">
        <v>93</v>
      </c>
      <c r="K471">
        <v>1</v>
      </c>
      <c r="L471" s="8">
        <v>7650</v>
      </c>
      <c r="M471" s="8" t="str">
        <f t="shared" si="43"/>
        <v>1-10%</v>
      </c>
      <c r="N471">
        <v>5</v>
      </c>
      <c r="O471" t="str">
        <f t="shared" si="44"/>
        <v>Valid</v>
      </c>
      <c r="P471" t="str">
        <f t="shared" si="45"/>
        <v>Match</v>
      </c>
      <c r="Q471" s="8">
        <v>7650</v>
      </c>
      <c r="R471" s="8">
        <v>382.5</v>
      </c>
      <c r="S471" s="8">
        <v>7267.5</v>
      </c>
      <c r="T471" s="8">
        <v>4394.7299999999996</v>
      </c>
      <c r="U471" s="8">
        <v>2872.77</v>
      </c>
      <c r="V471" s="8" t="b">
        <f t="shared" si="46"/>
        <v>0</v>
      </c>
      <c r="W471" s="8">
        <f t="shared" si="47"/>
        <v>0</v>
      </c>
      <c r="X471" t="s">
        <v>36</v>
      </c>
      <c r="Y471" t="s">
        <v>37</v>
      </c>
      <c r="Z471" t="s">
        <v>80</v>
      </c>
      <c r="AA471">
        <v>3</v>
      </c>
      <c r="AB471" t="s">
        <v>75</v>
      </c>
      <c r="AC471" t="s">
        <v>58</v>
      </c>
    </row>
    <row r="472" spans="1:29" x14ac:dyDescent="0.3">
      <c r="A472" t="s">
        <v>594</v>
      </c>
      <c r="B472" s="6">
        <v>45848</v>
      </c>
      <c r="C472" s="6" t="str">
        <f t="shared" si="42"/>
        <v>4 PM - 8 PM</v>
      </c>
      <c r="D472" s="4">
        <v>0.69305555555555554</v>
      </c>
      <c r="E472" t="s">
        <v>60</v>
      </c>
      <c r="F472" t="s">
        <v>51</v>
      </c>
      <c r="G472" t="s">
        <v>73</v>
      </c>
      <c r="H472" t="s">
        <v>26</v>
      </c>
      <c r="I472" t="s">
        <v>44</v>
      </c>
      <c r="J472" t="s">
        <v>35</v>
      </c>
      <c r="K472">
        <v>2</v>
      </c>
      <c r="L472" s="8">
        <v>3400</v>
      </c>
      <c r="M472" s="8" t="str">
        <f t="shared" si="43"/>
        <v>21-30%</v>
      </c>
      <c r="N472">
        <v>30</v>
      </c>
      <c r="O472" t="str">
        <f t="shared" si="44"/>
        <v>Valid</v>
      </c>
      <c r="P472" t="str">
        <f t="shared" si="45"/>
        <v>Match</v>
      </c>
      <c r="Q472" s="8">
        <v>6800</v>
      </c>
      <c r="R472" s="8">
        <v>2040</v>
      </c>
      <c r="S472" s="8">
        <v>4760</v>
      </c>
      <c r="T472" s="8">
        <v>4454.54</v>
      </c>
      <c r="U472" s="8">
        <v>305.45999999999998</v>
      </c>
      <c r="V472" s="8" t="b">
        <f t="shared" si="46"/>
        <v>0</v>
      </c>
      <c r="W472" s="8">
        <f t="shared" si="47"/>
        <v>0</v>
      </c>
      <c r="X472" t="s">
        <v>36</v>
      </c>
      <c r="Y472" t="s">
        <v>47</v>
      </c>
      <c r="Z472" t="s">
        <v>64</v>
      </c>
      <c r="AA472">
        <v>5</v>
      </c>
      <c r="AB472" t="s">
        <v>29</v>
      </c>
      <c r="AC472" t="s">
        <v>67</v>
      </c>
    </row>
    <row r="473" spans="1:29" x14ac:dyDescent="0.3">
      <c r="A473" t="s">
        <v>595</v>
      </c>
      <c r="B473" s="6">
        <v>45764</v>
      </c>
      <c r="C473" s="6" t="str">
        <f t="shared" si="42"/>
        <v>8 AM - 12 PM</v>
      </c>
      <c r="D473" s="4">
        <v>0.40555555555555556</v>
      </c>
      <c r="E473" t="s">
        <v>32</v>
      </c>
      <c r="F473" t="s">
        <v>51</v>
      </c>
      <c r="G473" t="s">
        <v>140</v>
      </c>
      <c r="H473" t="s">
        <v>74</v>
      </c>
      <c r="I473" t="s">
        <v>98</v>
      </c>
      <c r="J473" t="s">
        <v>35</v>
      </c>
      <c r="K473">
        <v>2</v>
      </c>
      <c r="L473" s="8">
        <v>6350</v>
      </c>
      <c r="M473" s="8" t="str">
        <f t="shared" si="43"/>
        <v>21-30%</v>
      </c>
      <c r="N473">
        <v>30</v>
      </c>
      <c r="O473" t="str">
        <f t="shared" si="44"/>
        <v>Valid</v>
      </c>
      <c r="P473" t="str">
        <f t="shared" si="45"/>
        <v>Match</v>
      </c>
      <c r="Q473" s="8">
        <v>12700</v>
      </c>
      <c r="R473" s="8">
        <v>3810</v>
      </c>
      <c r="S473" s="8">
        <v>8890</v>
      </c>
      <c r="T473" s="8">
        <v>7056.7</v>
      </c>
      <c r="U473" s="8">
        <v>1833.3</v>
      </c>
      <c r="V473" s="8" t="b">
        <f t="shared" si="46"/>
        <v>0</v>
      </c>
      <c r="W473" s="8">
        <f t="shared" si="47"/>
        <v>0</v>
      </c>
      <c r="X473" t="s">
        <v>28</v>
      </c>
      <c r="Y473" t="s">
        <v>104</v>
      </c>
      <c r="Z473" t="s">
        <v>56</v>
      </c>
      <c r="AA473">
        <v>4</v>
      </c>
      <c r="AB473" t="s">
        <v>99</v>
      </c>
      <c r="AC473" t="s">
        <v>67</v>
      </c>
    </row>
    <row r="474" spans="1:29" x14ac:dyDescent="0.3">
      <c r="A474" t="s">
        <v>596</v>
      </c>
      <c r="B474" s="6">
        <v>45803</v>
      </c>
      <c r="C474" s="6" t="str">
        <f t="shared" si="42"/>
        <v>12 PM - 4 PM</v>
      </c>
      <c r="D474" s="4">
        <v>0.60972222222222228</v>
      </c>
      <c r="E474" t="s">
        <v>32</v>
      </c>
      <c r="F474" t="s">
        <v>51</v>
      </c>
      <c r="G474" t="s">
        <v>122</v>
      </c>
      <c r="H474" t="s">
        <v>53</v>
      </c>
      <c r="I474" t="s">
        <v>103</v>
      </c>
      <c r="J474" t="s">
        <v>35</v>
      </c>
      <c r="K474">
        <v>1</v>
      </c>
      <c r="L474" s="8">
        <v>5550</v>
      </c>
      <c r="M474" s="8" t="str">
        <f t="shared" si="43"/>
        <v>11-20%</v>
      </c>
      <c r="N474">
        <v>15</v>
      </c>
      <c r="O474" t="str">
        <f t="shared" si="44"/>
        <v>Valid</v>
      </c>
      <c r="P474" t="str">
        <f t="shared" si="45"/>
        <v>Match</v>
      </c>
      <c r="Q474" s="8">
        <v>5550</v>
      </c>
      <c r="R474" s="8">
        <v>832.5</v>
      </c>
      <c r="S474" s="8">
        <v>4717.5</v>
      </c>
      <c r="T474" s="8">
        <v>3027.3</v>
      </c>
      <c r="U474" s="8">
        <v>1690.2</v>
      </c>
      <c r="V474" s="8" t="b">
        <f t="shared" si="46"/>
        <v>0</v>
      </c>
      <c r="W474" s="8">
        <f t="shared" si="47"/>
        <v>0</v>
      </c>
      <c r="X474" t="s">
        <v>79</v>
      </c>
      <c r="Y474" t="s">
        <v>94</v>
      </c>
      <c r="Z474" t="s">
        <v>38</v>
      </c>
      <c r="AA474">
        <v>3.5</v>
      </c>
      <c r="AB474" t="s">
        <v>111</v>
      </c>
      <c r="AC474" t="s">
        <v>49</v>
      </c>
    </row>
    <row r="475" spans="1:29" x14ac:dyDescent="0.3">
      <c r="A475" t="s">
        <v>597</v>
      </c>
      <c r="B475" s="6">
        <v>45913</v>
      </c>
      <c r="C475" s="6" t="str">
        <f t="shared" si="42"/>
        <v>4 PM - 8 PM</v>
      </c>
      <c r="D475" s="4">
        <v>0.81527777777777777</v>
      </c>
      <c r="E475" t="s">
        <v>622</v>
      </c>
      <c r="F475" t="s">
        <v>24</v>
      </c>
      <c r="G475" t="s">
        <v>88</v>
      </c>
      <c r="H475" t="s">
        <v>102</v>
      </c>
      <c r="I475" t="s">
        <v>54</v>
      </c>
      <c r="J475" t="s">
        <v>45</v>
      </c>
      <c r="K475">
        <v>2</v>
      </c>
      <c r="L475" s="8">
        <v>3400</v>
      </c>
      <c r="M475" s="8" t="str">
        <f t="shared" si="43"/>
        <v>0%</v>
      </c>
      <c r="N475">
        <v>0</v>
      </c>
      <c r="O475" t="str">
        <f t="shared" si="44"/>
        <v>Valid</v>
      </c>
      <c r="P475" t="str">
        <f t="shared" si="45"/>
        <v>Match</v>
      </c>
      <c r="Q475" s="8">
        <v>6800</v>
      </c>
      <c r="R475" s="8">
        <v>0</v>
      </c>
      <c r="S475" s="8">
        <v>6800</v>
      </c>
      <c r="T475" s="8">
        <v>3701.84</v>
      </c>
      <c r="U475" s="8">
        <v>3098.16</v>
      </c>
      <c r="V475" s="8" t="b">
        <f t="shared" si="46"/>
        <v>0</v>
      </c>
      <c r="W475" s="8">
        <f t="shared" si="47"/>
        <v>0</v>
      </c>
      <c r="X475" t="s">
        <v>28</v>
      </c>
      <c r="Y475" t="s">
        <v>37</v>
      </c>
      <c r="Z475" t="s">
        <v>80</v>
      </c>
      <c r="AA475">
        <v>3.5</v>
      </c>
      <c r="AB475" t="s">
        <v>155</v>
      </c>
      <c r="AC475" t="s">
        <v>71</v>
      </c>
    </row>
    <row r="476" spans="1:29" x14ac:dyDescent="0.3">
      <c r="A476" t="s">
        <v>598</v>
      </c>
      <c r="B476" s="6">
        <v>45770</v>
      </c>
      <c r="C476" s="6" t="str">
        <f t="shared" si="42"/>
        <v>8 PM - 12 AM</v>
      </c>
      <c r="D476" s="4">
        <v>0.94444444444444442</v>
      </c>
      <c r="E476" t="s">
        <v>622</v>
      </c>
      <c r="F476" t="s">
        <v>24</v>
      </c>
      <c r="G476" t="s">
        <v>84</v>
      </c>
      <c r="H476" t="s">
        <v>74</v>
      </c>
      <c r="I476" t="s">
        <v>92</v>
      </c>
      <c r="J476" t="s">
        <v>35</v>
      </c>
      <c r="K476">
        <v>1</v>
      </c>
      <c r="L476" s="8">
        <v>3250</v>
      </c>
      <c r="M476" s="8" t="str">
        <f t="shared" si="43"/>
        <v>21-30%</v>
      </c>
      <c r="N476">
        <v>30</v>
      </c>
      <c r="O476" t="str">
        <f t="shared" si="44"/>
        <v>Valid</v>
      </c>
      <c r="P476" t="str">
        <f t="shared" si="45"/>
        <v>Match</v>
      </c>
      <c r="Q476" s="8">
        <v>3250</v>
      </c>
      <c r="R476" s="8">
        <v>975</v>
      </c>
      <c r="S476" s="8">
        <v>2275</v>
      </c>
      <c r="T476" s="8">
        <v>1836.79</v>
      </c>
      <c r="U476" s="8">
        <v>438.21</v>
      </c>
      <c r="V476" s="8" t="b">
        <f t="shared" si="46"/>
        <v>0</v>
      </c>
      <c r="W476" s="8">
        <f t="shared" si="47"/>
        <v>0</v>
      </c>
      <c r="X476" t="s">
        <v>79</v>
      </c>
      <c r="Y476" t="s">
        <v>104</v>
      </c>
      <c r="Z476" t="s">
        <v>85</v>
      </c>
      <c r="AA476">
        <v>4</v>
      </c>
      <c r="AB476" t="s">
        <v>99</v>
      </c>
      <c r="AC476" t="s">
        <v>40</v>
      </c>
    </row>
    <row r="477" spans="1:29" x14ac:dyDescent="0.3">
      <c r="A477" t="s">
        <v>599</v>
      </c>
      <c r="B477" s="6">
        <v>45721</v>
      </c>
      <c r="C477" s="6" t="str">
        <f t="shared" si="42"/>
        <v>8 AM - 12 PM</v>
      </c>
      <c r="D477" s="4">
        <v>0.37847222222222221</v>
      </c>
      <c r="E477" t="s">
        <v>108</v>
      </c>
      <c r="F477" t="s">
        <v>24</v>
      </c>
      <c r="G477" t="s">
        <v>120</v>
      </c>
      <c r="H477" t="s">
        <v>74</v>
      </c>
      <c r="I477" t="s">
        <v>82</v>
      </c>
      <c r="J477" t="s">
        <v>35</v>
      </c>
      <c r="K477">
        <v>1</v>
      </c>
      <c r="L477" s="8">
        <v>9450</v>
      </c>
      <c r="M477" s="8" t="str">
        <f t="shared" si="43"/>
        <v>21-30%</v>
      </c>
      <c r="N477">
        <v>30</v>
      </c>
      <c r="O477" t="str">
        <f t="shared" si="44"/>
        <v>Valid</v>
      </c>
      <c r="P477" t="str">
        <f t="shared" si="45"/>
        <v>Match</v>
      </c>
      <c r="Q477" s="8">
        <v>9450</v>
      </c>
      <c r="R477" s="8">
        <v>2835</v>
      </c>
      <c r="S477" s="8">
        <v>6615</v>
      </c>
      <c r="T477" s="8">
        <v>5986.58</v>
      </c>
      <c r="U477" s="8">
        <v>628.41999999999996</v>
      </c>
      <c r="V477" s="8" t="b">
        <f t="shared" si="46"/>
        <v>0</v>
      </c>
      <c r="W477" s="8">
        <f t="shared" si="47"/>
        <v>0</v>
      </c>
      <c r="X477" t="s">
        <v>36</v>
      </c>
      <c r="Y477" t="s">
        <v>94</v>
      </c>
      <c r="Z477" t="s">
        <v>38</v>
      </c>
      <c r="AA477">
        <v>3.5</v>
      </c>
      <c r="AB477" t="s">
        <v>127</v>
      </c>
      <c r="AC477" t="s">
        <v>40</v>
      </c>
    </row>
    <row r="478" spans="1:29" x14ac:dyDescent="0.3">
      <c r="A478" t="s">
        <v>600</v>
      </c>
      <c r="B478" s="6">
        <v>45839</v>
      </c>
      <c r="C478" s="6" t="str">
        <f t="shared" si="42"/>
        <v>12 AM - 4 AM</v>
      </c>
      <c r="D478" s="4">
        <v>8.9583333333333334E-2</v>
      </c>
      <c r="E478" t="s">
        <v>60</v>
      </c>
      <c r="F478" t="s">
        <v>24</v>
      </c>
      <c r="G478" t="s">
        <v>120</v>
      </c>
      <c r="H478" t="s">
        <v>26</v>
      </c>
      <c r="I478" t="s">
        <v>98</v>
      </c>
      <c r="J478" t="s">
        <v>93</v>
      </c>
      <c r="K478">
        <v>1</v>
      </c>
      <c r="L478" s="8">
        <v>9450</v>
      </c>
      <c r="M478" s="8" t="str">
        <f t="shared" si="43"/>
        <v>11-20%</v>
      </c>
      <c r="N478">
        <v>20</v>
      </c>
      <c r="O478" t="str">
        <f t="shared" si="44"/>
        <v>Valid</v>
      </c>
      <c r="P478" t="str">
        <f t="shared" si="45"/>
        <v>Match</v>
      </c>
      <c r="Q478" s="8">
        <v>9450</v>
      </c>
      <c r="R478" s="8">
        <v>1890</v>
      </c>
      <c r="S478" s="8">
        <v>7560</v>
      </c>
      <c r="T478" s="8">
        <v>6339.14</v>
      </c>
      <c r="U478" s="8">
        <v>1220.8599999999999</v>
      </c>
      <c r="V478" s="8" t="b">
        <f t="shared" si="46"/>
        <v>0</v>
      </c>
      <c r="W478" s="8">
        <f t="shared" si="47"/>
        <v>0</v>
      </c>
      <c r="X478" t="s">
        <v>55</v>
      </c>
      <c r="Y478" t="s">
        <v>47</v>
      </c>
      <c r="Z478" t="s">
        <v>38</v>
      </c>
      <c r="AA478">
        <v>5</v>
      </c>
      <c r="AB478" t="s">
        <v>29</v>
      </c>
      <c r="AC478" t="s">
        <v>86</v>
      </c>
    </row>
    <row r="479" spans="1:29" x14ac:dyDescent="0.3">
      <c r="A479" t="s">
        <v>601</v>
      </c>
      <c r="B479" s="6">
        <v>45780</v>
      </c>
      <c r="C479" s="6" t="str">
        <f t="shared" si="42"/>
        <v>12 PM - 4 PM</v>
      </c>
      <c r="D479" s="4">
        <v>0.59513888888888888</v>
      </c>
      <c r="E479" t="s">
        <v>60</v>
      </c>
      <c r="F479" t="s">
        <v>24</v>
      </c>
      <c r="G479" t="s">
        <v>84</v>
      </c>
      <c r="H479" t="s">
        <v>102</v>
      </c>
      <c r="I479" t="s">
        <v>27</v>
      </c>
      <c r="J479" t="s">
        <v>35</v>
      </c>
      <c r="K479">
        <v>2</v>
      </c>
      <c r="L479" s="8">
        <v>33050</v>
      </c>
      <c r="M479" s="8" t="str">
        <f t="shared" si="43"/>
        <v>11-20%</v>
      </c>
      <c r="N479">
        <v>20</v>
      </c>
      <c r="O479" t="str">
        <f t="shared" si="44"/>
        <v>Valid</v>
      </c>
      <c r="P479" t="str">
        <f t="shared" si="45"/>
        <v>Match</v>
      </c>
      <c r="Q479" s="8">
        <v>66100</v>
      </c>
      <c r="R479" s="8">
        <v>13220</v>
      </c>
      <c r="S479" s="8">
        <v>52880</v>
      </c>
      <c r="T479" s="8">
        <v>36522.5</v>
      </c>
      <c r="U479" s="8">
        <v>16357.5</v>
      </c>
      <c r="V479" s="8" t="b">
        <f t="shared" si="46"/>
        <v>0</v>
      </c>
      <c r="W479" s="8">
        <f t="shared" si="47"/>
        <v>0</v>
      </c>
      <c r="X479" t="s">
        <v>36</v>
      </c>
      <c r="Y479" t="s">
        <v>47</v>
      </c>
      <c r="Z479" t="s">
        <v>80</v>
      </c>
      <c r="AA479">
        <v>3</v>
      </c>
      <c r="AB479" t="s">
        <v>111</v>
      </c>
      <c r="AC479" t="s">
        <v>71</v>
      </c>
    </row>
    <row r="480" spans="1:29" x14ac:dyDescent="0.3">
      <c r="A480" t="s">
        <v>602</v>
      </c>
      <c r="B480" s="6">
        <v>45948</v>
      </c>
      <c r="C480" s="6" t="str">
        <f t="shared" si="42"/>
        <v>8 AM - 12 PM</v>
      </c>
      <c r="D480" s="4">
        <v>0.37361111111111112</v>
      </c>
      <c r="E480" t="s">
        <v>294</v>
      </c>
      <c r="F480" t="s">
        <v>24</v>
      </c>
      <c r="G480" t="s">
        <v>42</v>
      </c>
      <c r="H480" t="s">
        <v>43</v>
      </c>
      <c r="I480" t="s">
        <v>44</v>
      </c>
      <c r="J480" t="s">
        <v>35</v>
      </c>
      <c r="K480">
        <v>1</v>
      </c>
      <c r="L480" s="8">
        <v>120050</v>
      </c>
      <c r="M480" s="8" t="str">
        <f t="shared" si="43"/>
        <v>1-10%</v>
      </c>
      <c r="N480">
        <v>10</v>
      </c>
      <c r="O480" t="str">
        <f t="shared" si="44"/>
        <v>Valid</v>
      </c>
      <c r="P480" t="str">
        <f t="shared" si="45"/>
        <v>Match</v>
      </c>
      <c r="Q480" s="8">
        <v>120050</v>
      </c>
      <c r="R480" s="8">
        <v>12005</v>
      </c>
      <c r="S480" s="8">
        <v>108045</v>
      </c>
      <c r="T480" s="8">
        <v>73701.16</v>
      </c>
      <c r="U480" s="8">
        <v>34343.839999999997</v>
      </c>
      <c r="V480" s="8" t="b">
        <f t="shared" si="46"/>
        <v>0</v>
      </c>
      <c r="W480" s="8">
        <f t="shared" si="47"/>
        <v>0</v>
      </c>
      <c r="X480" t="s">
        <v>46</v>
      </c>
      <c r="Y480" t="s">
        <v>70</v>
      </c>
      <c r="Z480" t="s">
        <v>38</v>
      </c>
      <c r="AA480">
        <v>4</v>
      </c>
      <c r="AB480" t="s">
        <v>57</v>
      </c>
      <c r="AC480" t="s">
        <v>71</v>
      </c>
    </row>
    <row r="481" spans="1:29" x14ac:dyDescent="0.3">
      <c r="A481" t="s">
        <v>603</v>
      </c>
      <c r="B481" s="6">
        <v>45874</v>
      </c>
      <c r="C481" s="6" t="str">
        <f t="shared" si="42"/>
        <v>8 PM - 12 AM</v>
      </c>
      <c r="D481" s="4">
        <v>0.88888888888888884</v>
      </c>
      <c r="E481" t="s">
        <v>108</v>
      </c>
      <c r="F481" t="s">
        <v>96</v>
      </c>
      <c r="G481" t="s">
        <v>129</v>
      </c>
      <c r="H481" t="s">
        <v>53</v>
      </c>
      <c r="I481" t="s">
        <v>63</v>
      </c>
      <c r="J481" t="s">
        <v>45</v>
      </c>
      <c r="K481">
        <v>2</v>
      </c>
      <c r="L481" s="8">
        <v>2050</v>
      </c>
      <c r="M481" s="8" t="str">
        <f t="shared" si="43"/>
        <v>21-30%</v>
      </c>
      <c r="N481">
        <v>25</v>
      </c>
      <c r="O481" t="str">
        <f t="shared" si="44"/>
        <v>Valid</v>
      </c>
      <c r="P481" t="str">
        <f t="shared" si="45"/>
        <v>Match</v>
      </c>
      <c r="Q481" s="8">
        <v>4100</v>
      </c>
      <c r="R481" s="8">
        <v>1025</v>
      </c>
      <c r="S481" s="8">
        <v>3075</v>
      </c>
      <c r="T481" s="8">
        <v>3003.96</v>
      </c>
      <c r="U481" s="8">
        <v>71.040000000000006</v>
      </c>
      <c r="V481" s="8" t="b">
        <f t="shared" si="46"/>
        <v>0</v>
      </c>
      <c r="W481" s="8">
        <f t="shared" si="47"/>
        <v>0</v>
      </c>
      <c r="X481" t="s">
        <v>46</v>
      </c>
      <c r="Y481" t="s">
        <v>104</v>
      </c>
      <c r="Z481" t="s">
        <v>56</v>
      </c>
      <c r="AA481">
        <v>3.5</v>
      </c>
      <c r="AB481" t="s">
        <v>90</v>
      </c>
      <c r="AC481" t="s">
        <v>86</v>
      </c>
    </row>
    <row r="482" spans="1:29" x14ac:dyDescent="0.3">
      <c r="A482" t="s">
        <v>604</v>
      </c>
      <c r="B482" s="6">
        <v>45662</v>
      </c>
      <c r="C482" s="6" t="str">
        <f t="shared" si="42"/>
        <v>12 AM - 4 AM</v>
      </c>
      <c r="D482" s="4">
        <v>3.2638888888888891E-2</v>
      </c>
      <c r="E482" t="s">
        <v>108</v>
      </c>
      <c r="F482" t="s">
        <v>24</v>
      </c>
      <c r="G482" t="s">
        <v>84</v>
      </c>
      <c r="H482" t="s">
        <v>43</v>
      </c>
      <c r="I482" t="s">
        <v>92</v>
      </c>
      <c r="J482" t="s">
        <v>35</v>
      </c>
      <c r="K482">
        <v>1</v>
      </c>
      <c r="L482" s="8">
        <v>20800</v>
      </c>
      <c r="M482" s="8" t="str">
        <f t="shared" si="43"/>
        <v>0%</v>
      </c>
      <c r="N482">
        <v>0</v>
      </c>
      <c r="O482" t="str">
        <f t="shared" si="44"/>
        <v>Valid</v>
      </c>
      <c r="P482" t="str">
        <f t="shared" si="45"/>
        <v>Match</v>
      </c>
      <c r="Q482" s="8">
        <v>20800</v>
      </c>
      <c r="R482" s="8">
        <v>0</v>
      </c>
      <c r="S482" s="8">
        <v>20800</v>
      </c>
      <c r="T482" s="8">
        <v>14768.25</v>
      </c>
      <c r="U482" s="8">
        <v>6031.75</v>
      </c>
      <c r="V482" s="8" t="b">
        <f t="shared" si="46"/>
        <v>0</v>
      </c>
      <c r="W482" s="8">
        <f t="shared" si="47"/>
        <v>0</v>
      </c>
      <c r="X482" t="s">
        <v>230</v>
      </c>
      <c r="Y482" t="s">
        <v>94</v>
      </c>
      <c r="Z482" t="s">
        <v>64</v>
      </c>
      <c r="AA482">
        <v>3.5</v>
      </c>
      <c r="AB482" t="s">
        <v>151</v>
      </c>
      <c r="AC482" t="s">
        <v>30</v>
      </c>
    </row>
    <row r="483" spans="1:29" x14ac:dyDescent="0.3">
      <c r="A483" t="s">
        <v>605</v>
      </c>
      <c r="B483" s="6">
        <v>45914</v>
      </c>
      <c r="C483" s="6" t="str">
        <f t="shared" si="42"/>
        <v>8 AM - 12 PM</v>
      </c>
      <c r="D483" s="4">
        <v>0.40625</v>
      </c>
      <c r="E483" t="s">
        <v>23</v>
      </c>
      <c r="F483" t="s">
        <v>24</v>
      </c>
      <c r="G483" t="s">
        <v>42</v>
      </c>
      <c r="H483" t="s">
        <v>53</v>
      </c>
      <c r="I483" t="s">
        <v>44</v>
      </c>
      <c r="J483" t="s">
        <v>35</v>
      </c>
      <c r="K483">
        <v>1</v>
      </c>
      <c r="L483" s="8">
        <v>60400</v>
      </c>
      <c r="M483" s="8" t="str">
        <f t="shared" si="43"/>
        <v>1-10%</v>
      </c>
      <c r="N483">
        <v>10</v>
      </c>
      <c r="O483" t="str">
        <f t="shared" si="44"/>
        <v>Valid</v>
      </c>
      <c r="P483" t="str">
        <f t="shared" si="45"/>
        <v>Match</v>
      </c>
      <c r="Q483" s="8">
        <v>60400</v>
      </c>
      <c r="R483" s="8">
        <v>6040</v>
      </c>
      <c r="S483" s="8">
        <v>54360</v>
      </c>
      <c r="T483" s="8">
        <v>43621.67</v>
      </c>
      <c r="U483" s="8">
        <v>10738.33</v>
      </c>
      <c r="V483" s="8" t="b">
        <f t="shared" si="46"/>
        <v>0</v>
      </c>
      <c r="W483" s="8">
        <f t="shared" si="47"/>
        <v>0</v>
      </c>
      <c r="X483" t="s">
        <v>36</v>
      </c>
      <c r="Y483" t="s">
        <v>65</v>
      </c>
      <c r="Z483" t="s">
        <v>85</v>
      </c>
      <c r="AA483">
        <v>4.5</v>
      </c>
      <c r="AB483" t="s">
        <v>155</v>
      </c>
      <c r="AC483" t="s">
        <v>30</v>
      </c>
    </row>
    <row r="484" spans="1:29" x14ac:dyDescent="0.3">
      <c r="A484" t="s">
        <v>606</v>
      </c>
      <c r="B484" s="6">
        <v>46006</v>
      </c>
      <c r="C484" s="6" t="str">
        <f t="shared" si="42"/>
        <v>12 PM - 4 PM</v>
      </c>
      <c r="D484" s="4">
        <v>0.56944444444444442</v>
      </c>
      <c r="E484" t="s">
        <v>60</v>
      </c>
      <c r="F484" t="s">
        <v>24</v>
      </c>
      <c r="G484" t="s">
        <v>84</v>
      </c>
      <c r="H484" t="s">
        <v>74</v>
      </c>
      <c r="I484" t="s">
        <v>92</v>
      </c>
      <c r="J484" t="s">
        <v>64</v>
      </c>
      <c r="K484">
        <v>1</v>
      </c>
      <c r="L484" s="8">
        <v>19800</v>
      </c>
      <c r="M484" s="8" t="str">
        <f t="shared" si="43"/>
        <v>21-30%</v>
      </c>
      <c r="N484">
        <v>30</v>
      </c>
      <c r="O484" t="str">
        <f t="shared" si="44"/>
        <v>Valid</v>
      </c>
      <c r="P484" t="str">
        <f t="shared" si="45"/>
        <v>Match</v>
      </c>
      <c r="Q484" s="8">
        <v>19800</v>
      </c>
      <c r="R484" s="8">
        <v>5940</v>
      </c>
      <c r="S484" s="8">
        <v>13860</v>
      </c>
      <c r="T484" s="8">
        <v>13169.24</v>
      </c>
      <c r="U484" s="8">
        <v>690.76</v>
      </c>
      <c r="V484" s="8" t="b">
        <f t="shared" si="46"/>
        <v>0</v>
      </c>
      <c r="W484" s="8">
        <f t="shared" si="47"/>
        <v>0</v>
      </c>
      <c r="X484" t="s">
        <v>46</v>
      </c>
      <c r="Y484" t="s">
        <v>65</v>
      </c>
      <c r="Z484" t="s">
        <v>45</v>
      </c>
      <c r="AA484">
        <v>3</v>
      </c>
      <c r="AB484" t="s">
        <v>39</v>
      </c>
      <c r="AC484" t="s">
        <v>49</v>
      </c>
    </row>
    <row r="485" spans="1:29" x14ac:dyDescent="0.3">
      <c r="A485" t="s">
        <v>607</v>
      </c>
      <c r="B485" s="6">
        <v>45994</v>
      </c>
      <c r="C485" s="6" t="str">
        <f t="shared" si="42"/>
        <v>8 PM - 12 AM</v>
      </c>
      <c r="D485" s="4">
        <v>0.83750000000000002</v>
      </c>
      <c r="E485" t="s">
        <v>108</v>
      </c>
      <c r="F485" t="s">
        <v>96</v>
      </c>
      <c r="G485" t="s">
        <v>129</v>
      </c>
      <c r="H485" t="s">
        <v>113</v>
      </c>
      <c r="I485" t="s">
        <v>98</v>
      </c>
      <c r="J485" t="s">
        <v>45</v>
      </c>
      <c r="K485">
        <v>1</v>
      </c>
      <c r="L485" s="8">
        <v>2850</v>
      </c>
      <c r="M485" s="8" t="str">
        <f t="shared" si="43"/>
        <v>0%</v>
      </c>
      <c r="N485">
        <v>0</v>
      </c>
      <c r="O485" t="str">
        <f t="shared" si="44"/>
        <v>Valid</v>
      </c>
      <c r="P485" t="str">
        <f t="shared" si="45"/>
        <v>Match</v>
      </c>
      <c r="Q485" s="8">
        <v>2850</v>
      </c>
      <c r="R485" s="8">
        <v>0</v>
      </c>
      <c r="S485" s="8">
        <v>2850</v>
      </c>
      <c r="T485" s="8">
        <v>1698.19</v>
      </c>
      <c r="U485" s="8">
        <v>1151.81</v>
      </c>
      <c r="V485" s="8" t="b">
        <f t="shared" si="46"/>
        <v>0</v>
      </c>
      <c r="W485" s="8">
        <f t="shared" si="47"/>
        <v>0</v>
      </c>
      <c r="X485" t="s">
        <v>55</v>
      </c>
      <c r="Y485" t="s">
        <v>89</v>
      </c>
      <c r="Z485" t="s">
        <v>64</v>
      </c>
      <c r="AA485">
        <v>3</v>
      </c>
      <c r="AB485" t="s">
        <v>39</v>
      </c>
      <c r="AC485" t="s">
        <v>40</v>
      </c>
    </row>
    <row r="486" spans="1:29" x14ac:dyDescent="0.3">
      <c r="A486" t="s">
        <v>608</v>
      </c>
      <c r="B486" s="6">
        <v>45725</v>
      </c>
      <c r="C486" s="6" t="str">
        <f t="shared" si="42"/>
        <v>4 PM - 8 PM</v>
      </c>
      <c r="D486" s="4">
        <v>0.77500000000000002</v>
      </c>
      <c r="E486" t="s">
        <v>77</v>
      </c>
      <c r="F486" t="s">
        <v>96</v>
      </c>
      <c r="G486" t="s">
        <v>115</v>
      </c>
      <c r="H486" t="s">
        <v>74</v>
      </c>
      <c r="I486" t="s">
        <v>103</v>
      </c>
      <c r="J486" t="s">
        <v>35</v>
      </c>
      <c r="K486">
        <v>1</v>
      </c>
      <c r="L486" s="8">
        <v>7400</v>
      </c>
      <c r="M486" s="8" t="str">
        <f t="shared" si="43"/>
        <v>11-20%</v>
      </c>
      <c r="N486">
        <v>15</v>
      </c>
      <c r="O486" t="str">
        <f t="shared" si="44"/>
        <v>Valid</v>
      </c>
      <c r="P486" t="str">
        <f t="shared" si="45"/>
        <v>Match</v>
      </c>
      <c r="Q486" s="8">
        <v>7400</v>
      </c>
      <c r="R486" s="8">
        <v>1110</v>
      </c>
      <c r="S486" s="8">
        <v>6290</v>
      </c>
      <c r="T486" s="8">
        <v>4196.78</v>
      </c>
      <c r="U486" s="8">
        <v>2093.2199999999998</v>
      </c>
      <c r="V486" s="8" t="b">
        <f t="shared" si="46"/>
        <v>0</v>
      </c>
      <c r="W486" s="8">
        <f t="shared" si="47"/>
        <v>0</v>
      </c>
      <c r="X486" t="s">
        <v>46</v>
      </c>
      <c r="Y486" t="s">
        <v>65</v>
      </c>
      <c r="Z486" t="s">
        <v>38</v>
      </c>
      <c r="AA486">
        <v>3.5</v>
      </c>
      <c r="AB486" t="s">
        <v>127</v>
      </c>
      <c r="AC486" t="s">
        <v>30</v>
      </c>
    </row>
    <row r="487" spans="1:29" x14ac:dyDescent="0.3">
      <c r="A487" t="s">
        <v>609</v>
      </c>
      <c r="B487" s="6">
        <v>45702</v>
      </c>
      <c r="C487" s="6" t="str">
        <f t="shared" si="42"/>
        <v>4 AM - 8 AM</v>
      </c>
      <c r="D487" s="4">
        <v>0.28194444444444444</v>
      </c>
      <c r="E487" t="s">
        <v>77</v>
      </c>
      <c r="F487" t="s">
        <v>24</v>
      </c>
      <c r="G487" t="s">
        <v>25</v>
      </c>
      <c r="H487" t="s">
        <v>26</v>
      </c>
      <c r="I487" t="s">
        <v>98</v>
      </c>
      <c r="J487" t="s">
        <v>212</v>
      </c>
      <c r="K487">
        <v>1</v>
      </c>
      <c r="L487" s="8">
        <v>4300</v>
      </c>
      <c r="M487" s="8" t="str">
        <f t="shared" si="43"/>
        <v>11-20%</v>
      </c>
      <c r="N487">
        <v>15</v>
      </c>
      <c r="O487" t="str">
        <f t="shared" si="44"/>
        <v>Valid</v>
      </c>
      <c r="P487" t="str">
        <f t="shared" si="45"/>
        <v>Match</v>
      </c>
      <c r="Q487" s="8">
        <v>4300</v>
      </c>
      <c r="R487" s="8">
        <v>645</v>
      </c>
      <c r="S487" s="8">
        <v>3655</v>
      </c>
      <c r="T487" s="8">
        <v>3063.09</v>
      </c>
      <c r="U487" s="8">
        <v>591.91</v>
      </c>
      <c r="V487" s="8" t="b">
        <f t="shared" si="46"/>
        <v>0</v>
      </c>
      <c r="W487" s="8">
        <f t="shared" si="47"/>
        <v>0</v>
      </c>
      <c r="X487" t="s">
        <v>28</v>
      </c>
      <c r="Y487" t="s">
        <v>65</v>
      </c>
      <c r="Z487" t="s">
        <v>38</v>
      </c>
      <c r="AA487">
        <v>4</v>
      </c>
      <c r="AB487" t="s">
        <v>66</v>
      </c>
      <c r="AC487" t="s">
        <v>58</v>
      </c>
    </row>
    <row r="488" spans="1:29" x14ac:dyDescent="0.3">
      <c r="A488" t="s">
        <v>610</v>
      </c>
      <c r="B488" s="6">
        <v>45977</v>
      </c>
      <c r="C488" s="6" t="str">
        <f t="shared" si="42"/>
        <v>12 AM - 4 AM</v>
      </c>
      <c r="D488" s="4">
        <v>0.16319444444444445</v>
      </c>
      <c r="E488" t="s">
        <v>32</v>
      </c>
      <c r="F488" t="s">
        <v>51</v>
      </c>
      <c r="G488" t="s">
        <v>73</v>
      </c>
      <c r="H488" t="s">
        <v>102</v>
      </c>
      <c r="I488" t="s">
        <v>103</v>
      </c>
      <c r="J488" t="s">
        <v>35</v>
      </c>
      <c r="K488">
        <v>3</v>
      </c>
      <c r="L488" s="8">
        <v>3200</v>
      </c>
      <c r="M488" s="8" t="str">
        <f t="shared" si="43"/>
        <v>11-20%</v>
      </c>
      <c r="N488">
        <v>15</v>
      </c>
      <c r="O488" t="str">
        <f t="shared" si="44"/>
        <v>Valid</v>
      </c>
      <c r="P488" t="str">
        <f t="shared" si="45"/>
        <v>Match</v>
      </c>
      <c r="Q488" s="8">
        <v>9600</v>
      </c>
      <c r="R488" s="8">
        <v>1440</v>
      </c>
      <c r="S488" s="8">
        <v>8160</v>
      </c>
      <c r="T488" s="8">
        <v>5922.82</v>
      </c>
      <c r="U488" s="8">
        <v>2237.1799999999998</v>
      </c>
      <c r="V488" s="8" t="b">
        <f t="shared" si="46"/>
        <v>0</v>
      </c>
      <c r="W488" s="8">
        <f t="shared" si="47"/>
        <v>0</v>
      </c>
      <c r="X488" t="s">
        <v>46</v>
      </c>
      <c r="Y488" t="s">
        <v>89</v>
      </c>
      <c r="Z488" t="s">
        <v>45</v>
      </c>
      <c r="AA488">
        <v>3</v>
      </c>
      <c r="AB488" t="s">
        <v>75</v>
      </c>
      <c r="AC488" t="s">
        <v>30</v>
      </c>
    </row>
    <row r="489" spans="1:29" x14ac:dyDescent="0.3">
      <c r="A489" t="s">
        <v>611</v>
      </c>
      <c r="B489" s="6">
        <v>45773</v>
      </c>
      <c r="C489" s="6" t="str">
        <f t="shared" si="42"/>
        <v>4 PM - 8 PM</v>
      </c>
      <c r="D489" s="4">
        <v>0.68333333333333335</v>
      </c>
      <c r="E489" t="s">
        <v>77</v>
      </c>
      <c r="F489" t="s">
        <v>96</v>
      </c>
      <c r="G489" t="s">
        <v>115</v>
      </c>
      <c r="H489" t="s">
        <v>62</v>
      </c>
      <c r="I489" t="s">
        <v>103</v>
      </c>
      <c r="J489" t="s">
        <v>93</v>
      </c>
      <c r="K489">
        <v>1</v>
      </c>
      <c r="L489" s="8">
        <v>7800</v>
      </c>
      <c r="M489" s="8" t="str">
        <f t="shared" si="43"/>
        <v>11-20%</v>
      </c>
      <c r="N489">
        <v>20</v>
      </c>
      <c r="O489" t="str">
        <f t="shared" si="44"/>
        <v>Valid</v>
      </c>
      <c r="P489" t="str">
        <f t="shared" si="45"/>
        <v>Match</v>
      </c>
      <c r="Q489" s="8">
        <v>7800</v>
      </c>
      <c r="R489" s="8">
        <v>1560</v>
      </c>
      <c r="S489" s="8">
        <v>6240</v>
      </c>
      <c r="T489" s="8">
        <v>5412.91</v>
      </c>
      <c r="U489" s="8">
        <v>827.09</v>
      </c>
      <c r="V489" s="8" t="b">
        <f t="shared" si="46"/>
        <v>0</v>
      </c>
      <c r="W489" s="8">
        <f t="shared" si="47"/>
        <v>0</v>
      </c>
      <c r="X489" t="s">
        <v>55</v>
      </c>
      <c r="Y489" t="s">
        <v>65</v>
      </c>
      <c r="Z489" t="s">
        <v>45</v>
      </c>
      <c r="AA489">
        <v>4</v>
      </c>
      <c r="AB489" t="s">
        <v>99</v>
      </c>
      <c r="AC489" t="s">
        <v>71</v>
      </c>
    </row>
    <row r="490" spans="1:29" x14ac:dyDescent="0.3">
      <c r="A490" t="s">
        <v>612</v>
      </c>
      <c r="B490" s="6">
        <v>45902</v>
      </c>
      <c r="C490" s="6" t="str">
        <f t="shared" si="42"/>
        <v>12 AM - 4 AM</v>
      </c>
      <c r="D490" s="4">
        <v>0.16111111111111112</v>
      </c>
      <c r="E490" t="s">
        <v>622</v>
      </c>
      <c r="F490" t="s">
        <v>24</v>
      </c>
      <c r="G490" t="s">
        <v>42</v>
      </c>
      <c r="H490" t="s">
        <v>26</v>
      </c>
      <c r="I490" t="s">
        <v>44</v>
      </c>
      <c r="J490" t="s">
        <v>85</v>
      </c>
      <c r="K490">
        <v>1</v>
      </c>
      <c r="L490" s="8">
        <v>79400</v>
      </c>
      <c r="M490" s="8" t="str">
        <f t="shared" si="43"/>
        <v>1-10%</v>
      </c>
      <c r="N490">
        <v>5</v>
      </c>
      <c r="O490" t="str">
        <f t="shared" si="44"/>
        <v>Valid</v>
      </c>
      <c r="P490" t="str">
        <f t="shared" si="45"/>
        <v>Match</v>
      </c>
      <c r="Q490" s="8">
        <v>79400</v>
      </c>
      <c r="R490" s="8">
        <v>3970</v>
      </c>
      <c r="S490" s="8">
        <v>75430</v>
      </c>
      <c r="T490" s="8">
        <v>45698.29</v>
      </c>
      <c r="U490" s="8">
        <v>29731.71</v>
      </c>
      <c r="V490" s="8" t="b">
        <f t="shared" si="46"/>
        <v>0</v>
      </c>
      <c r="W490" s="8">
        <f t="shared" si="47"/>
        <v>0</v>
      </c>
      <c r="X490" t="s">
        <v>55</v>
      </c>
      <c r="Y490" t="s">
        <v>89</v>
      </c>
      <c r="Z490" t="s">
        <v>45</v>
      </c>
      <c r="AA490">
        <v>3.5</v>
      </c>
      <c r="AB490" t="s">
        <v>155</v>
      </c>
      <c r="AC490" t="s">
        <v>86</v>
      </c>
    </row>
    <row r="491" spans="1:29" x14ac:dyDescent="0.3">
      <c r="A491" t="s">
        <v>613</v>
      </c>
      <c r="B491" s="6">
        <v>45783</v>
      </c>
      <c r="C491" s="6" t="str">
        <f t="shared" si="42"/>
        <v>4 PM - 8 PM</v>
      </c>
      <c r="D491" s="4">
        <v>0.72013888888888888</v>
      </c>
      <c r="E491" t="s">
        <v>69</v>
      </c>
      <c r="F491" t="s">
        <v>24</v>
      </c>
      <c r="G491" t="s">
        <v>110</v>
      </c>
      <c r="H491" t="s">
        <v>26</v>
      </c>
      <c r="I491" t="s">
        <v>63</v>
      </c>
      <c r="J491" t="s">
        <v>45</v>
      </c>
      <c r="K491">
        <v>1</v>
      </c>
      <c r="L491" s="8">
        <v>3650</v>
      </c>
      <c r="M491" s="8" t="str">
        <f t="shared" si="43"/>
        <v>11-20%</v>
      </c>
      <c r="N491">
        <v>20</v>
      </c>
      <c r="O491" t="str">
        <f t="shared" si="44"/>
        <v>Valid</v>
      </c>
      <c r="P491" t="str">
        <f t="shared" si="45"/>
        <v>Match</v>
      </c>
      <c r="Q491" s="8">
        <v>3650</v>
      </c>
      <c r="R491" s="8">
        <v>730</v>
      </c>
      <c r="S491" s="8">
        <v>2920</v>
      </c>
      <c r="T491" s="8">
        <v>2379.88</v>
      </c>
      <c r="U491" s="8">
        <v>540.12</v>
      </c>
      <c r="V491" s="8" t="b">
        <f t="shared" si="46"/>
        <v>0</v>
      </c>
      <c r="W491" s="8">
        <f t="shared" si="47"/>
        <v>0</v>
      </c>
      <c r="X491" t="s">
        <v>36</v>
      </c>
      <c r="Y491" t="s">
        <v>37</v>
      </c>
      <c r="Z491" t="s">
        <v>64</v>
      </c>
      <c r="AA491">
        <v>3</v>
      </c>
      <c r="AB491" t="s">
        <v>111</v>
      </c>
      <c r="AC491" t="s">
        <v>86</v>
      </c>
    </row>
    <row r="492" spans="1:29" x14ac:dyDescent="0.3">
      <c r="A492" t="s">
        <v>614</v>
      </c>
      <c r="B492" s="6">
        <v>45705</v>
      </c>
      <c r="C492" s="6" t="str">
        <f t="shared" si="42"/>
        <v>12 PM - 4 PM</v>
      </c>
      <c r="D492" s="4">
        <v>0.61111111111111116</v>
      </c>
      <c r="E492" t="s">
        <v>32</v>
      </c>
      <c r="F492" t="s">
        <v>24</v>
      </c>
      <c r="G492" t="s">
        <v>120</v>
      </c>
      <c r="H492" t="s">
        <v>34</v>
      </c>
      <c r="I492" t="s">
        <v>82</v>
      </c>
      <c r="J492" t="s">
        <v>45</v>
      </c>
      <c r="K492">
        <v>1</v>
      </c>
      <c r="L492" s="8">
        <v>8200</v>
      </c>
      <c r="M492" s="8" t="str">
        <f t="shared" si="43"/>
        <v>11-20%</v>
      </c>
      <c r="N492">
        <v>20</v>
      </c>
      <c r="O492" t="str">
        <f t="shared" si="44"/>
        <v>Valid</v>
      </c>
      <c r="P492" t="str">
        <f t="shared" si="45"/>
        <v>Match</v>
      </c>
      <c r="Q492" s="8">
        <v>8200</v>
      </c>
      <c r="R492" s="8">
        <v>1640</v>
      </c>
      <c r="S492" s="8">
        <v>6560</v>
      </c>
      <c r="T492" s="8">
        <v>4268.46</v>
      </c>
      <c r="U492" s="8">
        <v>2291.54</v>
      </c>
      <c r="V492" s="8" t="b">
        <f t="shared" si="46"/>
        <v>0</v>
      </c>
      <c r="W492" s="8">
        <f t="shared" si="47"/>
        <v>0</v>
      </c>
      <c r="X492" t="s">
        <v>28</v>
      </c>
      <c r="Y492" t="s">
        <v>94</v>
      </c>
      <c r="Z492" t="s">
        <v>85</v>
      </c>
      <c r="AA492">
        <v>4</v>
      </c>
      <c r="AB492" t="s">
        <v>66</v>
      </c>
      <c r="AC492" t="s">
        <v>49</v>
      </c>
    </row>
    <row r="493" spans="1:29" x14ac:dyDescent="0.3">
      <c r="A493" t="s">
        <v>615</v>
      </c>
      <c r="B493" s="6">
        <v>45880</v>
      </c>
      <c r="C493" s="6" t="str">
        <f t="shared" si="42"/>
        <v>8 PM - 12 AM</v>
      </c>
      <c r="D493" s="4">
        <v>0.9194444444444444</v>
      </c>
      <c r="E493" t="s">
        <v>622</v>
      </c>
      <c r="F493" t="s">
        <v>24</v>
      </c>
      <c r="G493" t="s">
        <v>120</v>
      </c>
      <c r="H493" t="s">
        <v>113</v>
      </c>
      <c r="I493" t="s">
        <v>63</v>
      </c>
      <c r="J493" t="s">
        <v>35</v>
      </c>
      <c r="K493">
        <v>4</v>
      </c>
      <c r="L493" s="8">
        <v>10750</v>
      </c>
      <c r="M493" s="8" t="str">
        <f t="shared" si="43"/>
        <v>21-30%</v>
      </c>
      <c r="N493">
        <v>30</v>
      </c>
      <c r="O493" t="str">
        <f t="shared" si="44"/>
        <v>Valid</v>
      </c>
      <c r="P493" t="str">
        <f t="shared" si="45"/>
        <v>Match</v>
      </c>
      <c r="Q493" s="8">
        <v>43000</v>
      </c>
      <c r="R493" s="8">
        <v>12900</v>
      </c>
      <c r="S493" s="8">
        <v>30100</v>
      </c>
      <c r="T493" s="8">
        <v>31798.19</v>
      </c>
      <c r="U493" s="8">
        <v>-1698.19</v>
      </c>
      <c r="V493" s="8" t="b">
        <f t="shared" si="46"/>
        <v>1</v>
      </c>
      <c r="W493" s="8">
        <f t="shared" si="47"/>
        <v>1698.19</v>
      </c>
      <c r="X493" t="s">
        <v>79</v>
      </c>
      <c r="Y493" t="s">
        <v>47</v>
      </c>
      <c r="Z493" t="s">
        <v>38</v>
      </c>
      <c r="AA493">
        <v>3.5</v>
      </c>
      <c r="AB493" t="s">
        <v>90</v>
      </c>
      <c r="AC493" t="s">
        <v>49</v>
      </c>
    </row>
    <row r="494" spans="1:29" x14ac:dyDescent="0.3">
      <c r="A494" t="s">
        <v>616</v>
      </c>
      <c r="B494" s="6">
        <v>45733</v>
      </c>
      <c r="C494" s="6" t="str">
        <f t="shared" si="42"/>
        <v>8 PM - 12 AM</v>
      </c>
      <c r="D494" s="4">
        <v>0.90833333333333333</v>
      </c>
      <c r="E494" t="s">
        <v>77</v>
      </c>
      <c r="F494" t="s">
        <v>24</v>
      </c>
      <c r="G494" t="s">
        <v>84</v>
      </c>
      <c r="H494" t="s">
        <v>102</v>
      </c>
      <c r="I494" t="s">
        <v>98</v>
      </c>
      <c r="J494" t="s">
        <v>45</v>
      </c>
      <c r="K494">
        <v>1</v>
      </c>
      <c r="L494" s="8" t="s">
        <v>617</v>
      </c>
      <c r="M494" s="8" t="str">
        <f t="shared" si="43"/>
        <v>1-10%</v>
      </c>
      <c r="N494">
        <v>10</v>
      </c>
      <c r="O494" t="str">
        <f t="shared" si="44"/>
        <v>Valid</v>
      </c>
      <c r="P494" t="str">
        <f t="shared" si="45"/>
        <v>Match</v>
      </c>
      <c r="Q494" s="8">
        <v>21050</v>
      </c>
      <c r="R494" s="8">
        <v>2105</v>
      </c>
      <c r="S494" s="8">
        <v>18945</v>
      </c>
      <c r="T494" s="8">
        <v>14499.43</v>
      </c>
      <c r="U494" s="8">
        <v>4445.57</v>
      </c>
      <c r="V494" s="8" t="b">
        <f t="shared" si="46"/>
        <v>0</v>
      </c>
      <c r="W494" s="8">
        <f t="shared" si="47"/>
        <v>0</v>
      </c>
      <c r="X494" t="s">
        <v>36</v>
      </c>
      <c r="Y494" t="s">
        <v>89</v>
      </c>
      <c r="Z494" t="s">
        <v>56</v>
      </c>
      <c r="AA494">
        <v>3</v>
      </c>
      <c r="AB494" t="s">
        <v>127</v>
      </c>
      <c r="AC494" t="s">
        <v>49</v>
      </c>
    </row>
    <row r="495" spans="1:29" x14ac:dyDescent="0.3">
      <c r="A495" t="s">
        <v>618</v>
      </c>
      <c r="B495" s="6">
        <v>45915</v>
      </c>
      <c r="C495" s="6" t="str">
        <f t="shared" si="42"/>
        <v>12 AM - 4 AM</v>
      </c>
      <c r="D495" s="4">
        <v>0.14722222222222223</v>
      </c>
      <c r="E495" t="s">
        <v>108</v>
      </c>
      <c r="F495" t="s">
        <v>51</v>
      </c>
      <c r="G495" t="s">
        <v>73</v>
      </c>
      <c r="H495" t="s">
        <v>62</v>
      </c>
      <c r="I495" t="s">
        <v>103</v>
      </c>
      <c r="J495" t="s">
        <v>64</v>
      </c>
      <c r="K495">
        <v>1</v>
      </c>
      <c r="L495" s="8">
        <v>6050</v>
      </c>
      <c r="M495" s="8" t="str">
        <f t="shared" si="43"/>
        <v>11-20%</v>
      </c>
      <c r="N495">
        <v>15</v>
      </c>
      <c r="O495" t="str">
        <f t="shared" si="44"/>
        <v>Valid</v>
      </c>
      <c r="P495" t="str">
        <f t="shared" si="45"/>
        <v>Match</v>
      </c>
      <c r="Q495" s="8">
        <v>6050</v>
      </c>
      <c r="R495" s="8">
        <v>907.5</v>
      </c>
      <c r="S495" s="8">
        <v>5142.5</v>
      </c>
      <c r="T495" s="8">
        <v>4339.26</v>
      </c>
      <c r="U495" s="8">
        <v>803.24</v>
      </c>
      <c r="V495" s="8" t="b">
        <f t="shared" si="46"/>
        <v>0</v>
      </c>
      <c r="W495" s="8">
        <f t="shared" si="47"/>
        <v>0</v>
      </c>
      <c r="X495" t="s">
        <v>79</v>
      </c>
      <c r="Y495" t="s">
        <v>70</v>
      </c>
      <c r="Z495" t="s">
        <v>85</v>
      </c>
      <c r="AA495">
        <v>4</v>
      </c>
      <c r="AB495" t="s">
        <v>155</v>
      </c>
      <c r="AC495" t="s">
        <v>49</v>
      </c>
    </row>
    <row r="496" spans="1:29" x14ac:dyDescent="0.3">
      <c r="A496" t="s">
        <v>619</v>
      </c>
      <c r="B496" s="6">
        <v>45906</v>
      </c>
      <c r="C496" s="6" t="str">
        <f t="shared" si="42"/>
        <v>8 PM - 12 AM</v>
      </c>
      <c r="D496" s="4">
        <v>0.84027777777777779</v>
      </c>
      <c r="E496" t="s">
        <v>108</v>
      </c>
      <c r="F496" t="s">
        <v>51</v>
      </c>
      <c r="G496" t="s">
        <v>122</v>
      </c>
      <c r="H496" t="s">
        <v>74</v>
      </c>
      <c r="I496" t="s">
        <v>103</v>
      </c>
      <c r="J496" t="s">
        <v>35</v>
      </c>
      <c r="K496">
        <v>1</v>
      </c>
      <c r="L496" s="8">
        <v>6250</v>
      </c>
      <c r="M496" s="8" t="str">
        <f t="shared" si="43"/>
        <v>1-10%</v>
      </c>
      <c r="N496">
        <v>10</v>
      </c>
      <c r="O496" t="str">
        <f t="shared" si="44"/>
        <v>Valid</v>
      </c>
      <c r="P496" t="str">
        <f t="shared" si="45"/>
        <v>Match</v>
      </c>
      <c r="Q496" s="8">
        <v>6250</v>
      </c>
      <c r="R496" s="8">
        <v>625</v>
      </c>
      <c r="S496" s="8">
        <v>5625</v>
      </c>
      <c r="T496" s="8">
        <v>3769.72</v>
      </c>
      <c r="U496" s="8">
        <v>1855.28</v>
      </c>
      <c r="V496" s="8" t="b">
        <f t="shared" si="46"/>
        <v>0</v>
      </c>
      <c r="W496" s="8">
        <f t="shared" si="47"/>
        <v>0</v>
      </c>
      <c r="X496" t="s">
        <v>79</v>
      </c>
      <c r="Y496" t="s">
        <v>70</v>
      </c>
      <c r="Z496" t="s">
        <v>1138</v>
      </c>
      <c r="AA496">
        <v>3</v>
      </c>
      <c r="AB496" t="s">
        <v>155</v>
      </c>
      <c r="AC496" t="s">
        <v>71</v>
      </c>
    </row>
    <row r="497" spans="1:29" x14ac:dyDescent="0.3">
      <c r="A497" t="s">
        <v>620</v>
      </c>
      <c r="B497" s="6">
        <v>45845</v>
      </c>
      <c r="C497" s="6" t="str">
        <f t="shared" si="42"/>
        <v>12 PM - 4 PM</v>
      </c>
      <c r="D497" s="4">
        <v>0.51388888888888884</v>
      </c>
      <c r="E497" t="s">
        <v>32</v>
      </c>
      <c r="F497" t="s">
        <v>24</v>
      </c>
      <c r="G497" t="s">
        <v>120</v>
      </c>
      <c r="H497" t="s">
        <v>26</v>
      </c>
      <c r="I497" t="s">
        <v>92</v>
      </c>
      <c r="J497" t="s">
        <v>35</v>
      </c>
      <c r="K497">
        <v>2</v>
      </c>
      <c r="L497" s="8">
        <v>7150</v>
      </c>
      <c r="M497" s="8" t="str">
        <f t="shared" si="43"/>
        <v>11-20%</v>
      </c>
      <c r="N497">
        <v>20</v>
      </c>
      <c r="O497" t="str">
        <f t="shared" si="44"/>
        <v>Valid</v>
      </c>
      <c r="P497" t="str">
        <f t="shared" si="45"/>
        <v>Match</v>
      </c>
      <c r="Q497" s="8">
        <v>14300</v>
      </c>
      <c r="R497" s="8">
        <v>2860</v>
      </c>
      <c r="S497" s="8">
        <v>11440</v>
      </c>
      <c r="T497" s="8">
        <v>7869.19</v>
      </c>
      <c r="U497" s="8">
        <v>3570.81</v>
      </c>
      <c r="V497" s="8" t="b">
        <f t="shared" si="46"/>
        <v>0</v>
      </c>
      <c r="W497" s="8">
        <f t="shared" si="47"/>
        <v>0</v>
      </c>
      <c r="X497" t="s">
        <v>28</v>
      </c>
      <c r="Y497" t="s">
        <v>47</v>
      </c>
      <c r="Z497" t="s">
        <v>38</v>
      </c>
      <c r="AA497" t="s">
        <v>1139</v>
      </c>
      <c r="AB497" t="s">
        <v>29</v>
      </c>
      <c r="AC497" t="s">
        <v>49</v>
      </c>
    </row>
    <row r="498" spans="1:29" x14ac:dyDescent="0.3">
      <c r="A498" t="s">
        <v>621</v>
      </c>
      <c r="B498" s="6">
        <v>45950</v>
      </c>
      <c r="C498" s="6" t="str">
        <f t="shared" si="42"/>
        <v>4 PM - 8 PM</v>
      </c>
      <c r="D498" s="4">
        <v>0.70763888888888893</v>
      </c>
      <c r="E498" t="s">
        <v>622</v>
      </c>
      <c r="F498" t="s">
        <v>96</v>
      </c>
      <c r="G498" t="s">
        <v>97</v>
      </c>
      <c r="H498" t="s">
        <v>74</v>
      </c>
      <c r="I498" t="s">
        <v>44</v>
      </c>
      <c r="J498" t="s">
        <v>35</v>
      </c>
      <c r="K498">
        <v>2</v>
      </c>
      <c r="L498" s="8">
        <v>4800</v>
      </c>
      <c r="M498" s="8" t="str">
        <f t="shared" si="43"/>
        <v>1-10%</v>
      </c>
      <c r="N498">
        <v>5</v>
      </c>
      <c r="O498" t="str">
        <f t="shared" si="44"/>
        <v>Valid</v>
      </c>
      <c r="P498" t="str">
        <f t="shared" si="45"/>
        <v>Match</v>
      </c>
      <c r="Q498" s="8">
        <v>9600</v>
      </c>
      <c r="R498" s="8">
        <v>480</v>
      </c>
      <c r="S498" s="8">
        <v>9120</v>
      </c>
      <c r="T498" s="8">
        <v>5490.52</v>
      </c>
      <c r="U498" s="8">
        <v>3629.48</v>
      </c>
      <c r="V498" s="8" t="b">
        <f t="shared" si="46"/>
        <v>0</v>
      </c>
      <c r="W498" s="8">
        <f t="shared" si="47"/>
        <v>0</v>
      </c>
      <c r="X498" t="s">
        <v>36</v>
      </c>
      <c r="Y498" t="s">
        <v>47</v>
      </c>
      <c r="Z498" t="s">
        <v>45</v>
      </c>
      <c r="AA498">
        <v>4</v>
      </c>
      <c r="AB498" t="s">
        <v>57</v>
      </c>
      <c r="AC498" t="s">
        <v>49</v>
      </c>
    </row>
    <row r="499" spans="1:29" x14ac:dyDescent="0.3">
      <c r="A499" t="s">
        <v>623</v>
      </c>
      <c r="B499" s="6">
        <v>45926</v>
      </c>
      <c r="C499" s="6" t="str">
        <f t="shared" si="42"/>
        <v>12 AM - 4 AM</v>
      </c>
      <c r="D499" s="4">
        <v>9.4444444444444442E-2</v>
      </c>
      <c r="E499" t="s">
        <v>32</v>
      </c>
      <c r="F499" t="s">
        <v>51</v>
      </c>
      <c r="G499" t="s">
        <v>52</v>
      </c>
      <c r="H499" t="s">
        <v>62</v>
      </c>
      <c r="I499" t="s">
        <v>63</v>
      </c>
      <c r="J499" t="s">
        <v>78</v>
      </c>
      <c r="K499">
        <v>1</v>
      </c>
      <c r="L499" s="8">
        <v>36300</v>
      </c>
      <c r="M499" s="8" t="str">
        <f t="shared" si="43"/>
        <v>21-30%</v>
      </c>
      <c r="N499">
        <v>30</v>
      </c>
      <c r="O499" t="str">
        <f t="shared" si="44"/>
        <v>Valid</v>
      </c>
      <c r="P499" t="str">
        <f t="shared" si="45"/>
        <v>Match</v>
      </c>
      <c r="Q499" s="8">
        <v>36300</v>
      </c>
      <c r="R499" s="8">
        <v>10890</v>
      </c>
      <c r="S499" s="8">
        <v>25410</v>
      </c>
      <c r="T499" s="8">
        <v>22304.59</v>
      </c>
      <c r="U499" s="8">
        <v>3105.41</v>
      </c>
      <c r="V499" s="8" t="b">
        <f t="shared" si="46"/>
        <v>0</v>
      </c>
      <c r="W499" s="8">
        <f t="shared" si="47"/>
        <v>0</v>
      </c>
      <c r="X499" t="s">
        <v>28</v>
      </c>
      <c r="Y499" t="s">
        <v>94</v>
      </c>
      <c r="Z499" t="s">
        <v>80</v>
      </c>
      <c r="AA499">
        <v>4</v>
      </c>
      <c r="AB499" t="s">
        <v>155</v>
      </c>
      <c r="AC499" t="s">
        <v>58</v>
      </c>
    </row>
    <row r="500" spans="1:29" x14ac:dyDescent="0.3">
      <c r="A500" t="s">
        <v>624</v>
      </c>
      <c r="B500" s="6">
        <v>45680</v>
      </c>
      <c r="C500" s="6" t="str">
        <f t="shared" si="42"/>
        <v>8 PM - 12 AM</v>
      </c>
      <c r="D500" s="4">
        <v>0.86041666666666672</v>
      </c>
      <c r="E500" t="s">
        <v>77</v>
      </c>
      <c r="F500" t="s">
        <v>51</v>
      </c>
      <c r="G500" t="s">
        <v>101</v>
      </c>
      <c r="H500" t="s">
        <v>102</v>
      </c>
      <c r="I500" t="s">
        <v>98</v>
      </c>
      <c r="J500" t="s">
        <v>35</v>
      </c>
      <c r="K500">
        <v>1</v>
      </c>
      <c r="L500" s="8">
        <v>12800</v>
      </c>
      <c r="M500" s="8" t="str">
        <f t="shared" si="43"/>
        <v>21-30%</v>
      </c>
      <c r="N500">
        <v>25</v>
      </c>
      <c r="O500" t="str">
        <f t="shared" si="44"/>
        <v>Valid</v>
      </c>
      <c r="P500" t="str">
        <f t="shared" si="45"/>
        <v>Match</v>
      </c>
      <c r="Q500" s="8">
        <v>12800</v>
      </c>
      <c r="R500" s="8">
        <v>3200</v>
      </c>
      <c r="S500" s="8">
        <v>9600</v>
      </c>
      <c r="T500" s="8">
        <v>6672.35</v>
      </c>
      <c r="U500" s="8">
        <v>2927.65</v>
      </c>
      <c r="V500" s="8" t="b">
        <f t="shared" si="46"/>
        <v>0</v>
      </c>
      <c r="W500" s="8">
        <f t="shared" si="47"/>
        <v>0</v>
      </c>
      <c r="X500" t="s">
        <v>79</v>
      </c>
      <c r="Y500" t="s">
        <v>94</v>
      </c>
      <c r="Z500" t="s">
        <v>45</v>
      </c>
      <c r="AA500" t="s">
        <v>1139</v>
      </c>
      <c r="AB500" t="s">
        <v>151</v>
      </c>
      <c r="AC500" t="s">
        <v>67</v>
      </c>
    </row>
    <row r="501" spans="1:29" x14ac:dyDescent="0.3">
      <c r="A501" t="s">
        <v>625</v>
      </c>
      <c r="B501" s="6">
        <v>45838</v>
      </c>
      <c r="C501" s="6" t="str">
        <f t="shared" si="42"/>
        <v>8 AM - 12 PM</v>
      </c>
      <c r="D501" s="4">
        <v>0.3888888888888889</v>
      </c>
      <c r="E501" t="s">
        <v>622</v>
      </c>
      <c r="F501" t="s">
        <v>24</v>
      </c>
      <c r="G501" t="s">
        <v>88</v>
      </c>
      <c r="H501" t="s">
        <v>62</v>
      </c>
      <c r="I501" t="s">
        <v>27</v>
      </c>
      <c r="J501" t="s">
        <v>35</v>
      </c>
      <c r="K501">
        <v>2</v>
      </c>
      <c r="L501" s="8">
        <v>1700</v>
      </c>
      <c r="M501" s="8" t="str">
        <f t="shared" si="43"/>
        <v>11-20%</v>
      </c>
      <c r="N501">
        <v>15</v>
      </c>
      <c r="O501" t="str">
        <f t="shared" si="44"/>
        <v>Valid</v>
      </c>
      <c r="P501" t="str">
        <f t="shared" si="45"/>
        <v>Match</v>
      </c>
      <c r="Q501" s="8">
        <v>3400</v>
      </c>
      <c r="R501" s="8">
        <v>510</v>
      </c>
      <c r="S501" s="8">
        <v>2890</v>
      </c>
      <c r="T501" s="8">
        <v>2229.4699999999998</v>
      </c>
      <c r="U501" s="8">
        <v>660.53</v>
      </c>
      <c r="V501" s="8" t="b">
        <f t="shared" si="46"/>
        <v>0</v>
      </c>
      <c r="W501" s="8">
        <f t="shared" si="47"/>
        <v>0</v>
      </c>
      <c r="X501" t="s">
        <v>79</v>
      </c>
      <c r="Y501" t="s">
        <v>104</v>
      </c>
      <c r="Z501" t="s">
        <v>45</v>
      </c>
      <c r="AA501">
        <v>4</v>
      </c>
      <c r="AB501" t="s">
        <v>48</v>
      </c>
      <c r="AC501" t="s">
        <v>49</v>
      </c>
    </row>
    <row r="502" spans="1:29" x14ac:dyDescent="0.3">
      <c r="A502" t="s">
        <v>626</v>
      </c>
      <c r="B502" s="6">
        <v>45842</v>
      </c>
      <c r="C502" s="6" t="str">
        <f t="shared" si="42"/>
        <v>4 AM - 8 AM</v>
      </c>
      <c r="D502" s="4">
        <v>0.29791666666666666</v>
      </c>
      <c r="E502" t="s">
        <v>60</v>
      </c>
      <c r="F502" t="s">
        <v>96</v>
      </c>
      <c r="G502" t="s">
        <v>97</v>
      </c>
      <c r="H502" t="s">
        <v>26</v>
      </c>
      <c r="I502" t="s">
        <v>103</v>
      </c>
      <c r="J502" t="s">
        <v>45</v>
      </c>
      <c r="K502">
        <v>3</v>
      </c>
      <c r="L502" s="8">
        <v>3000</v>
      </c>
      <c r="M502" s="8" t="str">
        <f t="shared" si="43"/>
        <v>11-20%</v>
      </c>
      <c r="N502">
        <v>15</v>
      </c>
      <c r="O502" t="str">
        <f t="shared" si="44"/>
        <v>Valid</v>
      </c>
      <c r="P502" t="str">
        <f t="shared" si="45"/>
        <v>Match</v>
      </c>
      <c r="Q502" s="8">
        <v>9000</v>
      </c>
      <c r="R502" s="8">
        <v>1350</v>
      </c>
      <c r="S502" s="8">
        <v>7650</v>
      </c>
      <c r="T502" s="8">
        <v>5742.18</v>
      </c>
      <c r="U502" s="8">
        <v>1907.82</v>
      </c>
      <c r="V502" s="8" t="b">
        <f t="shared" si="46"/>
        <v>0</v>
      </c>
      <c r="W502" s="8">
        <f t="shared" si="47"/>
        <v>0</v>
      </c>
      <c r="X502" t="s">
        <v>79</v>
      </c>
      <c r="Y502" t="s">
        <v>65</v>
      </c>
      <c r="Z502" t="s">
        <v>45</v>
      </c>
      <c r="AA502">
        <v>4</v>
      </c>
      <c r="AB502" t="s">
        <v>29</v>
      </c>
      <c r="AC502" t="s">
        <v>58</v>
      </c>
    </row>
    <row r="503" spans="1:29" x14ac:dyDescent="0.3">
      <c r="A503" t="s">
        <v>627</v>
      </c>
      <c r="B503" s="6">
        <v>45902</v>
      </c>
      <c r="C503" s="6" t="str">
        <f t="shared" si="42"/>
        <v>8 PM - 12 AM</v>
      </c>
      <c r="D503" s="4">
        <v>0.86041666666666672</v>
      </c>
      <c r="E503" t="s">
        <v>69</v>
      </c>
      <c r="F503" t="s">
        <v>24</v>
      </c>
      <c r="G503" t="s">
        <v>88</v>
      </c>
      <c r="H503" t="s">
        <v>113</v>
      </c>
      <c r="I503" t="s">
        <v>92</v>
      </c>
      <c r="J503" t="s">
        <v>35</v>
      </c>
      <c r="K503">
        <v>1</v>
      </c>
      <c r="L503" s="8">
        <v>2200</v>
      </c>
      <c r="M503" s="8" t="str">
        <f t="shared" si="43"/>
        <v>11-20%</v>
      </c>
      <c r="N503">
        <v>20</v>
      </c>
      <c r="O503" t="str">
        <f t="shared" si="44"/>
        <v>Valid</v>
      </c>
      <c r="P503" t="str">
        <f t="shared" si="45"/>
        <v>Match</v>
      </c>
      <c r="Q503" s="8">
        <v>2200</v>
      </c>
      <c r="R503" s="8">
        <v>440</v>
      </c>
      <c r="S503" s="8">
        <v>1760</v>
      </c>
      <c r="T503" s="8">
        <v>1429.41</v>
      </c>
      <c r="U503" s="8">
        <v>330.59</v>
      </c>
      <c r="V503" s="8" t="b">
        <f t="shared" si="46"/>
        <v>0</v>
      </c>
      <c r="W503" s="8">
        <f t="shared" si="47"/>
        <v>0</v>
      </c>
      <c r="X503" t="s">
        <v>79</v>
      </c>
      <c r="Y503" t="s">
        <v>37</v>
      </c>
      <c r="Z503" t="s">
        <v>56</v>
      </c>
      <c r="AA503">
        <v>4</v>
      </c>
      <c r="AB503" t="s">
        <v>155</v>
      </c>
      <c r="AC503" t="s">
        <v>86</v>
      </c>
    </row>
    <row r="504" spans="1:29" x14ac:dyDescent="0.3">
      <c r="A504" t="s">
        <v>628</v>
      </c>
      <c r="B504" s="6">
        <v>45707</v>
      </c>
      <c r="C504" s="6" t="str">
        <f t="shared" si="42"/>
        <v>8 PM - 12 AM</v>
      </c>
      <c r="D504" s="4">
        <v>0.87916666666666665</v>
      </c>
      <c r="E504" t="s">
        <v>77</v>
      </c>
      <c r="F504" t="s">
        <v>24</v>
      </c>
      <c r="G504" t="s">
        <v>88</v>
      </c>
      <c r="H504" t="s">
        <v>74</v>
      </c>
      <c r="I504" t="s">
        <v>63</v>
      </c>
      <c r="J504" t="s">
        <v>78</v>
      </c>
      <c r="K504">
        <v>1</v>
      </c>
      <c r="L504" s="8">
        <v>800</v>
      </c>
      <c r="M504" s="8" t="str">
        <f t="shared" si="43"/>
        <v>21-30%</v>
      </c>
      <c r="N504">
        <v>25</v>
      </c>
      <c r="O504" t="str">
        <f t="shared" si="44"/>
        <v>Valid</v>
      </c>
      <c r="P504" t="str">
        <f t="shared" si="45"/>
        <v>Match</v>
      </c>
      <c r="Q504" s="8">
        <v>800</v>
      </c>
      <c r="R504" s="8">
        <v>200</v>
      </c>
      <c r="S504" s="8">
        <v>600</v>
      </c>
      <c r="T504" s="8">
        <v>444.02</v>
      </c>
      <c r="U504" s="8">
        <v>155.97999999999999</v>
      </c>
      <c r="V504" s="8" t="b">
        <f t="shared" si="46"/>
        <v>0</v>
      </c>
      <c r="W504" s="8">
        <f t="shared" si="47"/>
        <v>0</v>
      </c>
      <c r="X504" t="s">
        <v>36</v>
      </c>
      <c r="Y504" t="s">
        <v>65</v>
      </c>
      <c r="Z504" t="s">
        <v>38</v>
      </c>
      <c r="AA504">
        <v>5</v>
      </c>
      <c r="AB504" t="s">
        <v>66</v>
      </c>
      <c r="AC504" t="s">
        <v>40</v>
      </c>
    </row>
    <row r="505" spans="1:29" x14ac:dyDescent="0.3">
      <c r="A505" t="s">
        <v>629</v>
      </c>
      <c r="B505" s="6">
        <v>46017</v>
      </c>
      <c r="C505" s="6" t="str">
        <f t="shared" si="42"/>
        <v>12 AM - 4 AM</v>
      </c>
      <c r="D505" s="4">
        <v>6.9444444444444441E-3</v>
      </c>
      <c r="E505" t="s">
        <v>77</v>
      </c>
      <c r="F505" t="s">
        <v>24</v>
      </c>
      <c r="G505" t="s">
        <v>42</v>
      </c>
      <c r="H505" t="s">
        <v>113</v>
      </c>
      <c r="I505" t="s">
        <v>125</v>
      </c>
      <c r="J505" t="s">
        <v>78</v>
      </c>
      <c r="K505">
        <v>1</v>
      </c>
      <c r="L505" s="8">
        <v>51100</v>
      </c>
      <c r="M505" s="8" t="str">
        <f t="shared" si="43"/>
        <v>1-10%</v>
      </c>
      <c r="N505">
        <v>5</v>
      </c>
      <c r="O505" t="str">
        <f t="shared" si="44"/>
        <v>Valid</v>
      </c>
      <c r="P505" t="str">
        <f t="shared" si="45"/>
        <v>Match</v>
      </c>
      <c r="Q505" s="8">
        <v>51100</v>
      </c>
      <c r="R505" s="8">
        <v>2555</v>
      </c>
      <c r="S505" s="8">
        <v>48545</v>
      </c>
      <c r="T505" s="8">
        <v>34530.22</v>
      </c>
      <c r="U505" s="8">
        <v>14014.78</v>
      </c>
      <c r="V505" s="8" t="b">
        <f t="shared" si="46"/>
        <v>0</v>
      </c>
      <c r="W505" s="8">
        <f t="shared" si="47"/>
        <v>0</v>
      </c>
      <c r="X505" t="s">
        <v>36</v>
      </c>
      <c r="Y505" t="s">
        <v>65</v>
      </c>
      <c r="Z505" t="s">
        <v>56</v>
      </c>
      <c r="AA505">
        <v>3.5</v>
      </c>
      <c r="AB505" t="s">
        <v>39</v>
      </c>
      <c r="AC505" t="s">
        <v>58</v>
      </c>
    </row>
    <row r="506" spans="1:29" x14ac:dyDescent="0.3">
      <c r="A506" t="s">
        <v>630</v>
      </c>
      <c r="B506" s="6">
        <v>45909</v>
      </c>
      <c r="C506" s="6" t="str">
        <f t="shared" si="42"/>
        <v>8 AM - 12 PM</v>
      </c>
      <c r="D506" s="4">
        <v>0.44305555555555554</v>
      </c>
      <c r="E506" t="s">
        <v>69</v>
      </c>
      <c r="F506" t="s">
        <v>51</v>
      </c>
      <c r="G506" t="s">
        <v>153</v>
      </c>
      <c r="H506" t="s">
        <v>26</v>
      </c>
      <c r="I506" t="s">
        <v>98</v>
      </c>
      <c r="J506" t="s">
        <v>35</v>
      </c>
      <c r="K506">
        <v>1</v>
      </c>
      <c r="L506" s="8">
        <v>2950</v>
      </c>
      <c r="M506" s="8" t="str">
        <f t="shared" si="43"/>
        <v>11-20%</v>
      </c>
      <c r="N506">
        <v>20</v>
      </c>
      <c r="O506" t="str">
        <f t="shared" si="44"/>
        <v>Valid</v>
      </c>
      <c r="P506" t="str">
        <f t="shared" si="45"/>
        <v>Match</v>
      </c>
      <c r="Q506" s="8">
        <v>2950</v>
      </c>
      <c r="R506" s="8">
        <v>590</v>
      </c>
      <c r="S506" s="8">
        <v>2360</v>
      </c>
      <c r="T506" s="8">
        <v>1789.98</v>
      </c>
      <c r="U506" s="8">
        <v>570.02</v>
      </c>
      <c r="V506" s="8" t="b">
        <f t="shared" si="46"/>
        <v>0</v>
      </c>
      <c r="W506" s="8">
        <f t="shared" si="47"/>
        <v>0</v>
      </c>
      <c r="X506" t="s">
        <v>28</v>
      </c>
      <c r="Y506" t="s">
        <v>89</v>
      </c>
      <c r="Z506" t="s">
        <v>38</v>
      </c>
      <c r="AA506">
        <v>4</v>
      </c>
      <c r="AB506" t="s">
        <v>155</v>
      </c>
      <c r="AC506" t="s">
        <v>86</v>
      </c>
    </row>
    <row r="507" spans="1:29" x14ac:dyDescent="0.3">
      <c r="A507" t="s">
        <v>631</v>
      </c>
      <c r="B507" s="6">
        <v>45896</v>
      </c>
      <c r="C507" s="6" t="str">
        <f t="shared" si="42"/>
        <v>12 AM - 4 AM</v>
      </c>
      <c r="D507" s="4">
        <v>5.6944444444444443E-2</v>
      </c>
      <c r="E507" t="s">
        <v>77</v>
      </c>
      <c r="F507" t="s">
        <v>51</v>
      </c>
      <c r="G507" t="s">
        <v>140</v>
      </c>
      <c r="H507" t="s">
        <v>74</v>
      </c>
      <c r="I507" t="s">
        <v>103</v>
      </c>
      <c r="J507" t="s">
        <v>45</v>
      </c>
      <c r="K507">
        <v>1</v>
      </c>
      <c r="L507" s="8">
        <v>6650</v>
      </c>
      <c r="M507" s="8" t="str">
        <f t="shared" si="43"/>
        <v>0%</v>
      </c>
      <c r="N507">
        <v>0</v>
      </c>
      <c r="O507" t="str">
        <f t="shared" si="44"/>
        <v>Valid</v>
      </c>
      <c r="P507" t="str">
        <f t="shared" si="45"/>
        <v>Match</v>
      </c>
      <c r="Q507" s="8">
        <v>6650</v>
      </c>
      <c r="R507" s="8">
        <v>0</v>
      </c>
      <c r="S507" s="8">
        <v>6650</v>
      </c>
      <c r="T507" s="8">
        <v>4101.59</v>
      </c>
      <c r="U507" s="8">
        <v>2548.41</v>
      </c>
      <c r="V507" s="8" t="b">
        <f t="shared" si="46"/>
        <v>0</v>
      </c>
      <c r="W507" s="8">
        <f t="shared" si="47"/>
        <v>0</v>
      </c>
      <c r="X507" t="s">
        <v>79</v>
      </c>
      <c r="Y507" t="s">
        <v>47</v>
      </c>
      <c r="Z507" t="s">
        <v>80</v>
      </c>
      <c r="AA507">
        <v>3</v>
      </c>
      <c r="AB507" t="s">
        <v>90</v>
      </c>
      <c r="AC507" t="s">
        <v>40</v>
      </c>
    </row>
    <row r="508" spans="1:29" x14ac:dyDescent="0.3">
      <c r="A508" t="s">
        <v>632</v>
      </c>
      <c r="B508" s="6">
        <v>45663</v>
      </c>
      <c r="C508" s="6" t="str">
        <f t="shared" si="42"/>
        <v>8 PM - 12 AM</v>
      </c>
      <c r="D508" s="4">
        <v>0.83819444444444446</v>
      </c>
      <c r="E508" t="s">
        <v>69</v>
      </c>
      <c r="F508" t="s">
        <v>24</v>
      </c>
      <c r="G508" t="s">
        <v>84</v>
      </c>
      <c r="H508" t="s">
        <v>43</v>
      </c>
      <c r="I508" t="s">
        <v>54</v>
      </c>
      <c r="J508" t="s">
        <v>35</v>
      </c>
      <c r="K508">
        <v>1</v>
      </c>
      <c r="L508" s="8">
        <v>8650</v>
      </c>
      <c r="M508" s="8" t="str">
        <f t="shared" si="43"/>
        <v>30%+</v>
      </c>
      <c r="N508" t="s">
        <v>538</v>
      </c>
      <c r="O508" t="str">
        <f t="shared" si="44"/>
        <v>Invalid Discount</v>
      </c>
      <c r="P508" t="str">
        <f t="shared" si="45"/>
        <v>Match</v>
      </c>
      <c r="Q508" s="8">
        <v>8650</v>
      </c>
      <c r="R508" s="8">
        <v>865</v>
      </c>
      <c r="S508" s="8">
        <v>7785</v>
      </c>
      <c r="T508" s="8">
        <v>5945.39</v>
      </c>
      <c r="U508" s="8">
        <v>1839.61</v>
      </c>
      <c r="V508" s="8" t="b">
        <f t="shared" si="46"/>
        <v>0</v>
      </c>
      <c r="W508" s="8">
        <f t="shared" si="47"/>
        <v>0</v>
      </c>
      <c r="X508" t="s">
        <v>36</v>
      </c>
      <c r="Y508" t="s">
        <v>65</v>
      </c>
      <c r="Z508" t="s">
        <v>38</v>
      </c>
      <c r="AA508">
        <v>4.5</v>
      </c>
      <c r="AB508" t="s">
        <v>151</v>
      </c>
      <c r="AC508" t="s">
        <v>49</v>
      </c>
    </row>
    <row r="509" spans="1:29" x14ac:dyDescent="0.3">
      <c r="A509" t="s">
        <v>633</v>
      </c>
      <c r="B509" s="6">
        <v>45680</v>
      </c>
      <c r="C509" s="6" t="str">
        <f t="shared" si="42"/>
        <v>4 AM - 8 AM</v>
      </c>
      <c r="D509" s="4">
        <v>0.27013888888888887</v>
      </c>
      <c r="E509" t="s">
        <v>77</v>
      </c>
      <c r="F509" t="s">
        <v>24</v>
      </c>
      <c r="G509" t="s">
        <v>61</v>
      </c>
      <c r="H509" t="s">
        <v>43</v>
      </c>
      <c r="I509" t="s">
        <v>44</v>
      </c>
      <c r="J509" t="s">
        <v>35</v>
      </c>
      <c r="K509">
        <v>3</v>
      </c>
      <c r="L509" s="8">
        <v>10900</v>
      </c>
      <c r="M509" s="8" t="str">
        <f t="shared" si="43"/>
        <v>1-10%</v>
      </c>
      <c r="N509">
        <v>5</v>
      </c>
      <c r="O509" t="str">
        <f t="shared" si="44"/>
        <v>Valid</v>
      </c>
      <c r="P509" t="str">
        <f t="shared" si="45"/>
        <v>Match</v>
      </c>
      <c r="Q509" s="8">
        <v>32700</v>
      </c>
      <c r="R509" s="8">
        <v>1635</v>
      </c>
      <c r="S509" s="8">
        <v>31065</v>
      </c>
      <c r="T509" s="8">
        <v>19958.830000000002</v>
      </c>
      <c r="U509" s="8">
        <v>11106.17</v>
      </c>
      <c r="V509" s="8" t="b">
        <f t="shared" si="46"/>
        <v>0</v>
      </c>
      <c r="W509" s="8">
        <f t="shared" si="47"/>
        <v>0</v>
      </c>
      <c r="X509" t="s">
        <v>36</v>
      </c>
      <c r="Y509" t="s">
        <v>70</v>
      </c>
      <c r="Z509" t="s">
        <v>64</v>
      </c>
      <c r="AA509">
        <v>5</v>
      </c>
      <c r="AB509" t="s">
        <v>151</v>
      </c>
      <c r="AC509" t="s">
        <v>67</v>
      </c>
    </row>
    <row r="510" spans="1:29" x14ac:dyDescent="0.3">
      <c r="A510" t="s">
        <v>634</v>
      </c>
      <c r="B510" s="6">
        <v>45718</v>
      </c>
      <c r="C510" s="6" t="str">
        <f t="shared" si="42"/>
        <v>12 AM - 4 AM</v>
      </c>
      <c r="D510" s="4">
        <v>0.10138888888888889</v>
      </c>
      <c r="E510" t="s">
        <v>77</v>
      </c>
      <c r="F510" t="s">
        <v>51</v>
      </c>
      <c r="G510" t="s">
        <v>153</v>
      </c>
      <c r="H510" t="s">
        <v>34</v>
      </c>
      <c r="I510" t="s">
        <v>103</v>
      </c>
      <c r="J510" t="s">
        <v>35</v>
      </c>
      <c r="K510">
        <v>1</v>
      </c>
      <c r="L510" s="8">
        <v>1250</v>
      </c>
      <c r="M510" s="8" t="str">
        <f t="shared" si="43"/>
        <v>1-10%</v>
      </c>
      <c r="N510">
        <v>10</v>
      </c>
      <c r="O510" t="str">
        <f t="shared" si="44"/>
        <v>Valid</v>
      </c>
      <c r="P510" t="str">
        <f t="shared" si="45"/>
        <v>Match</v>
      </c>
      <c r="Q510" s="8">
        <v>1250</v>
      </c>
      <c r="R510" s="8">
        <v>125</v>
      </c>
      <c r="S510" s="8">
        <v>1125</v>
      </c>
      <c r="T510" s="8">
        <v>743.93</v>
      </c>
      <c r="U510" s="8">
        <v>381.07</v>
      </c>
      <c r="V510" s="8" t="b">
        <f t="shared" si="46"/>
        <v>0</v>
      </c>
      <c r="W510" s="8">
        <f t="shared" si="47"/>
        <v>0</v>
      </c>
      <c r="X510" t="s">
        <v>36</v>
      </c>
      <c r="Y510" t="s">
        <v>104</v>
      </c>
      <c r="Z510" t="s">
        <v>45</v>
      </c>
      <c r="AA510">
        <v>5</v>
      </c>
      <c r="AB510" t="s">
        <v>127</v>
      </c>
      <c r="AC510" t="s">
        <v>30</v>
      </c>
    </row>
    <row r="511" spans="1:29" x14ac:dyDescent="0.3">
      <c r="A511" t="s">
        <v>635</v>
      </c>
      <c r="B511" s="6">
        <v>45895</v>
      </c>
      <c r="C511" s="6" t="str">
        <f t="shared" si="42"/>
        <v>4 AM - 8 AM</v>
      </c>
      <c r="D511" s="4">
        <v>0.2048611111111111</v>
      </c>
      <c r="E511" t="s">
        <v>32</v>
      </c>
      <c r="F511" t="s">
        <v>24</v>
      </c>
      <c r="G511" t="s">
        <v>110</v>
      </c>
      <c r="H511" t="s">
        <v>43</v>
      </c>
      <c r="I511" t="s">
        <v>27</v>
      </c>
      <c r="J511" t="s">
        <v>35</v>
      </c>
      <c r="K511">
        <v>2</v>
      </c>
      <c r="L511" s="8">
        <v>6150</v>
      </c>
      <c r="M511" s="8" t="str">
        <f t="shared" si="43"/>
        <v>0%</v>
      </c>
      <c r="N511">
        <v>0</v>
      </c>
      <c r="O511" t="str">
        <f t="shared" si="44"/>
        <v>Valid</v>
      </c>
      <c r="P511" t="str">
        <f t="shared" si="45"/>
        <v>Match</v>
      </c>
      <c r="Q511" s="8">
        <v>12300</v>
      </c>
      <c r="R511" s="8">
        <v>0</v>
      </c>
      <c r="S511" s="8">
        <v>12300</v>
      </c>
      <c r="T511" s="8">
        <v>9038.19</v>
      </c>
      <c r="U511" s="8">
        <v>3261.81</v>
      </c>
      <c r="V511" s="8" t="b">
        <f t="shared" si="46"/>
        <v>0</v>
      </c>
      <c r="W511" s="8">
        <f t="shared" si="47"/>
        <v>0</v>
      </c>
      <c r="X511" t="s">
        <v>46</v>
      </c>
      <c r="Y511" t="s">
        <v>94</v>
      </c>
      <c r="Z511" t="s">
        <v>64</v>
      </c>
      <c r="AA511">
        <v>5</v>
      </c>
      <c r="AB511" t="s">
        <v>90</v>
      </c>
      <c r="AC511" t="s">
        <v>86</v>
      </c>
    </row>
    <row r="512" spans="1:29" x14ac:dyDescent="0.3">
      <c r="A512" t="s">
        <v>636</v>
      </c>
      <c r="B512" s="6">
        <v>45778</v>
      </c>
      <c r="C512" s="6" t="str">
        <f t="shared" si="42"/>
        <v>8 PM - 12 AM</v>
      </c>
      <c r="D512" s="4">
        <v>0.85486111111111107</v>
      </c>
      <c r="E512" t="s">
        <v>77</v>
      </c>
      <c r="F512" t="s">
        <v>96</v>
      </c>
      <c r="G512" t="s">
        <v>129</v>
      </c>
      <c r="H512" t="s">
        <v>102</v>
      </c>
      <c r="I512" t="s">
        <v>98</v>
      </c>
      <c r="J512" t="s">
        <v>35</v>
      </c>
      <c r="K512">
        <v>1</v>
      </c>
      <c r="L512" s="8">
        <v>1300</v>
      </c>
      <c r="M512" s="8" t="str">
        <f t="shared" si="43"/>
        <v>1-10%</v>
      </c>
      <c r="N512">
        <v>5</v>
      </c>
      <c r="O512" t="str">
        <f t="shared" si="44"/>
        <v>Valid</v>
      </c>
      <c r="P512" t="str">
        <f t="shared" si="45"/>
        <v>Match</v>
      </c>
      <c r="Q512" s="8">
        <v>1300</v>
      </c>
      <c r="R512" s="8">
        <v>65</v>
      </c>
      <c r="S512" s="8">
        <v>1235</v>
      </c>
      <c r="T512" s="8">
        <v>680.9</v>
      </c>
      <c r="U512" s="8">
        <v>554.1</v>
      </c>
      <c r="V512" s="8" t="b">
        <f t="shared" si="46"/>
        <v>0</v>
      </c>
      <c r="W512" s="8">
        <f t="shared" si="47"/>
        <v>0</v>
      </c>
      <c r="X512" t="s">
        <v>79</v>
      </c>
      <c r="Y512" t="s">
        <v>47</v>
      </c>
      <c r="Z512" t="s">
        <v>56</v>
      </c>
      <c r="AA512">
        <v>3</v>
      </c>
      <c r="AB512" t="s">
        <v>111</v>
      </c>
      <c r="AC512" t="s">
        <v>67</v>
      </c>
    </row>
    <row r="513" spans="1:29" x14ac:dyDescent="0.3">
      <c r="A513" t="s">
        <v>637</v>
      </c>
      <c r="B513" s="6">
        <v>45709</v>
      </c>
      <c r="C513" s="6" t="str">
        <f t="shared" si="42"/>
        <v>8 PM - 12 AM</v>
      </c>
      <c r="D513" s="4">
        <v>0.85277777777777775</v>
      </c>
      <c r="E513" t="s">
        <v>69</v>
      </c>
      <c r="F513" t="s">
        <v>24</v>
      </c>
      <c r="G513" t="s">
        <v>88</v>
      </c>
      <c r="H513" t="s">
        <v>34</v>
      </c>
      <c r="I513" t="s">
        <v>27</v>
      </c>
      <c r="J513" t="s">
        <v>45</v>
      </c>
      <c r="K513">
        <v>2</v>
      </c>
      <c r="L513" s="8">
        <v>950</v>
      </c>
      <c r="M513" s="8" t="str">
        <f t="shared" si="43"/>
        <v>11-20%</v>
      </c>
      <c r="N513">
        <v>20</v>
      </c>
      <c r="O513" t="str">
        <f t="shared" si="44"/>
        <v>Valid</v>
      </c>
      <c r="P513" t="str">
        <f t="shared" si="45"/>
        <v>Match</v>
      </c>
      <c r="Q513" s="8">
        <v>1900</v>
      </c>
      <c r="R513" s="8">
        <v>380</v>
      </c>
      <c r="S513" s="8">
        <v>1520</v>
      </c>
      <c r="T513" s="8">
        <v>1375.58</v>
      </c>
      <c r="U513" s="8">
        <v>144.41999999999999</v>
      </c>
      <c r="V513" s="8" t="b">
        <f t="shared" si="46"/>
        <v>0</v>
      </c>
      <c r="W513" s="8">
        <f t="shared" si="47"/>
        <v>0</v>
      </c>
      <c r="X513" t="s">
        <v>36</v>
      </c>
      <c r="Y513" t="s">
        <v>94</v>
      </c>
      <c r="Z513" t="s">
        <v>38</v>
      </c>
      <c r="AA513">
        <v>4</v>
      </c>
      <c r="AB513" t="s">
        <v>66</v>
      </c>
      <c r="AC513" t="s">
        <v>58</v>
      </c>
    </row>
    <row r="514" spans="1:29" x14ac:dyDescent="0.3">
      <c r="A514" t="s">
        <v>638</v>
      </c>
      <c r="B514" s="6">
        <v>45915</v>
      </c>
      <c r="C514" s="6" t="str">
        <f t="shared" ref="C514:C577" si="48">IF(D514&lt;TIME(4,0,0),"12 AM - 4 AM",IF(D514&lt;TIME(8,0,0),"4 AM - 8 AM",IF(D514&lt;TIME(12,0,0),"8 AM - 12 PM",IF(D514&lt;TIME(16,0,0),"12 PM - 4 PM",IF(D514&lt;TIME(20,0,0),"4 PM - 8 PM","8 PM - 12 AM")))))</f>
        <v>12 AM - 4 AM</v>
      </c>
      <c r="D514" s="4">
        <v>2.9166666666666667E-2</v>
      </c>
      <c r="E514" t="s">
        <v>23</v>
      </c>
      <c r="F514" t="s">
        <v>24</v>
      </c>
      <c r="G514" t="s">
        <v>25</v>
      </c>
      <c r="H514" t="s">
        <v>26</v>
      </c>
      <c r="I514" t="s">
        <v>82</v>
      </c>
      <c r="J514" t="s">
        <v>93</v>
      </c>
      <c r="K514">
        <v>1</v>
      </c>
      <c r="L514" s="8">
        <v>2750</v>
      </c>
      <c r="M514" s="8" t="str">
        <f t="shared" ref="M514:M577" si="49">IF(N514&lt;0,"Invalid",IF(N514=0,"0%",IF(N514&lt;=10,"1-10%",IF(N514&lt;=20,"11-20%",IF(N514&lt;=30,"21-30%","30%+")))))</f>
        <v>0%</v>
      </c>
      <c r="N514">
        <v>0</v>
      </c>
      <c r="O514" t="str">
        <f t="shared" ref="O514:O577" si="50">IF(OR(N514&lt;0,N514&gt;100),"Invalid Discount","Valid")</f>
        <v>Valid</v>
      </c>
      <c r="P514" t="str">
        <f t="shared" ref="P514:P577" si="51">IF(ROUND(R514,2)=ROUND(Q514*N514/100,2),"Match","Mismatch")</f>
        <v>Match</v>
      </c>
      <c r="Q514" s="8">
        <v>2750</v>
      </c>
      <c r="R514" s="8">
        <v>0</v>
      </c>
      <c r="S514" s="8">
        <v>2750</v>
      </c>
      <c r="T514" s="8">
        <v>1670.06</v>
      </c>
      <c r="U514" s="8">
        <v>1079.94</v>
      </c>
      <c r="V514" s="8" t="b">
        <f t="shared" ref="V514:V577" si="52">IF(AND(S514-T514&lt;0,U514=S514-T514),TRUE,FALSE)</f>
        <v>0</v>
      </c>
      <c r="W514" s="8">
        <f t="shared" ref="W514:W577" si="53">IF(V514=TRUE,ABS(U514),0)</f>
        <v>0</v>
      </c>
      <c r="X514" t="s">
        <v>55</v>
      </c>
      <c r="Y514" t="s">
        <v>70</v>
      </c>
      <c r="Z514" t="s">
        <v>38</v>
      </c>
      <c r="AA514">
        <v>5</v>
      </c>
      <c r="AB514" t="s">
        <v>155</v>
      </c>
      <c r="AC514" t="s">
        <v>49</v>
      </c>
    </row>
    <row r="515" spans="1:29" x14ac:dyDescent="0.3">
      <c r="A515" t="s">
        <v>639</v>
      </c>
      <c r="B515" s="6">
        <v>45900</v>
      </c>
      <c r="C515" s="6" t="str">
        <f t="shared" si="48"/>
        <v>12 AM - 4 AM</v>
      </c>
      <c r="D515" s="4">
        <v>7.013888888888889E-2</v>
      </c>
      <c r="E515" t="s">
        <v>23</v>
      </c>
      <c r="F515" t="s">
        <v>24</v>
      </c>
      <c r="G515" t="s">
        <v>42</v>
      </c>
      <c r="H515" t="s">
        <v>53</v>
      </c>
      <c r="I515" t="s">
        <v>98</v>
      </c>
      <c r="J515" t="s">
        <v>35</v>
      </c>
      <c r="K515">
        <v>1</v>
      </c>
      <c r="L515" s="8">
        <v>107050</v>
      </c>
      <c r="M515" s="8" t="str">
        <f t="shared" si="49"/>
        <v>21-30%</v>
      </c>
      <c r="N515">
        <v>25</v>
      </c>
      <c r="O515" t="str">
        <f t="shared" si="50"/>
        <v>Valid</v>
      </c>
      <c r="P515" t="str">
        <f t="shared" si="51"/>
        <v>Match</v>
      </c>
      <c r="Q515" s="8">
        <v>107050</v>
      </c>
      <c r="R515" s="8">
        <v>26762.5</v>
      </c>
      <c r="S515" s="8">
        <v>80287.5</v>
      </c>
      <c r="T515" s="8">
        <v>66949.48</v>
      </c>
      <c r="U515" s="8">
        <v>13338.02</v>
      </c>
      <c r="V515" s="8" t="b">
        <f t="shared" si="52"/>
        <v>0</v>
      </c>
      <c r="W515" s="8">
        <f t="shared" si="53"/>
        <v>0</v>
      </c>
      <c r="X515" t="s">
        <v>347</v>
      </c>
      <c r="Y515" t="s">
        <v>94</v>
      </c>
      <c r="Z515" t="s">
        <v>80</v>
      </c>
      <c r="AA515">
        <v>4</v>
      </c>
      <c r="AB515" t="s">
        <v>90</v>
      </c>
      <c r="AC515" t="s">
        <v>30</v>
      </c>
    </row>
    <row r="516" spans="1:29" x14ac:dyDescent="0.3">
      <c r="A516" t="s">
        <v>640</v>
      </c>
      <c r="B516" s="6">
        <v>45918</v>
      </c>
      <c r="C516" s="6" t="str">
        <f t="shared" si="48"/>
        <v>12 AM - 4 AM</v>
      </c>
      <c r="D516" s="4">
        <v>0.12083333333333333</v>
      </c>
      <c r="E516" t="s">
        <v>23</v>
      </c>
      <c r="F516" t="s">
        <v>24</v>
      </c>
      <c r="G516" t="s">
        <v>42</v>
      </c>
      <c r="H516" t="s">
        <v>74</v>
      </c>
      <c r="I516" t="s">
        <v>54</v>
      </c>
      <c r="J516" t="s">
        <v>35</v>
      </c>
      <c r="K516">
        <v>1</v>
      </c>
      <c r="L516" s="8">
        <v>98050</v>
      </c>
      <c r="M516" s="8" t="str">
        <f t="shared" si="49"/>
        <v>11-20%</v>
      </c>
      <c r="N516">
        <v>20</v>
      </c>
      <c r="O516" t="str">
        <f t="shared" si="50"/>
        <v>Valid</v>
      </c>
      <c r="P516" t="str">
        <f t="shared" si="51"/>
        <v>Match</v>
      </c>
      <c r="Q516" s="8">
        <v>98050</v>
      </c>
      <c r="R516" s="8">
        <v>19610</v>
      </c>
      <c r="S516" s="8">
        <v>78440</v>
      </c>
      <c r="T516" s="8">
        <v>54381.98</v>
      </c>
      <c r="U516" s="8">
        <v>24058.02</v>
      </c>
      <c r="V516" s="8" t="b">
        <f t="shared" si="52"/>
        <v>0</v>
      </c>
      <c r="W516" s="8">
        <f t="shared" si="53"/>
        <v>0</v>
      </c>
      <c r="X516" t="s">
        <v>55</v>
      </c>
      <c r="Y516" t="s">
        <v>70</v>
      </c>
      <c r="Z516" t="s">
        <v>80</v>
      </c>
      <c r="AA516">
        <v>4</v>
      </c>
      <c r="AB516" t="s">
        <v>155</v>
      </c>
      <c r="AC516" t="s">
        <v>67</v>
      </c>
    </row>
    <row r="517" spans="1:29" x14ac:dyDescent="0.3">
      <c r="A517" t="s">
        <v>641</v>
      </c>
      <c r="B517" s="6">
        <v>45974</v>
      </c>
      <c r="C517" s="6" t="str">
        <f t="shared" si="48"/>
        <v>12 AM - 4 AM</v>
      </c>
      <c r="D517" s="4">
        <v>0.12569444444444444</v>
      </c>
      <c r="E517" t="s">
        <v>23</v>
      </c>
      <c r="F517" t="s">
        <v>96</v>
      </c>
      <c r="G517" t="s">
        <v>97</v>
      </c>
      <c r="H517" t="s">
        <v>53</v>
      </c>
      <c r="I517" t="s">
        <v>63</v>
      </c>
      <c r="J517" t="s">
        <v>35</v>
      </c>
      <c r="K517">
        <v>4</v>
      </c>
      <c r="L517" s="8">
        <v>4400</v>
      </c>
      <c r="M517" s="8" t="str">
        <f t="shared" si="49"/>
        <v>0%</v>
      </c>
      <c r="N517">
        <v>0</v>
      </c>
      <c r="O517" t="str">
        <f t="shared" si="50"/>
        <v>Valid</v>
      </c>
      <c r="P517" t="str">
        <f t="shared" si="51"/>
        <v>Match</v>
      </c>
      <c r="Q517" s="8">
        <v>17600</v>
      </c>
      <c r="R517" s="8">
        <v>0</v>
      </c>
      <c r="S517" s="8">
        <v>17600</v>
      </c>
      <c r="T517" s="8">
        <v>12416.39</v>
      </c>
      <c r="U517" s="8">
        <v>5183.6099999999997</v>
      </c>
      <c r="V517" s="8" t="b">
        <f t="shared" si="52"/>
        <v>0</v>
      </c>
      <c r="W517" s="8">
        <f t="shared" si="53"/>
        <v>0</v>
      </c>
      <c r="X517" t="s">
        <v>36</v>
      </c>
      <c r="Y517" t="s">
        <v>70</v>
      </c>
      <c r="Z517" t="s">
        <v>45</v>
      </c>
      <c r="AA517">
        <v>4</v>
      </c>
      <c r="AB517" t="s">
        <v>75</v>
      </c>
      <c r="AC517" t="s">
        <v>67</v>
      </c>
    </row>
    <row r="518" spans="1:29" x14ac:dyDescent="0.3">
      <c r="A518" t="s">
        <v>642</v>
      </c>
      <c r="B518" s="6">
        <v>45856</v>
      </c>
      <c r="C518" s="6" t="str">
        <f t="shared" si="48"/>
        <v>4 PM - 8 PM</v>
      </c>
      <c r="D518" s="4">
        <v>0.7</v>
      </c>
      <c r="E518" t="s">
        <v>32</v>
      </c>
      <c r="F518" t="s">
        <v>24</v>
      </c>
      <c r="G518" t="s">
        <v>42</v>
      </c>
      <c r="H518" t="s">
        <v>102</v>
      </c>
      <c r="I518" t="s">
        <v>63</v>
      </c>
      <c r="J518" t="s">
        <v>78</v>
      </c>
      <c r="K518">
        <v>1</v>
      </c>
      <c r="L518" s="8">
        <v>111900</v>
      </c>
      <c r="M518" s="8" t="str">
        <f t="shared" si="49"/>
        <v>21-30%</v>
      </c>
      <c r="N518">
        <v>25</v>
      </c>
      <c r="O518" t="str">
        <f t="shared" si="50"/>
        <v>Valid</v>
      </c>
      <c r="P518" t="str">
        <f t="shared" si="51"/>
        <v>Match</v>
      </c>
      <c r="Q518" s="8">
        <v>111900</v>
      </c>
      <c r="R518" s="8">
        <v>27975</v>
      </c>
      <c r="S518" s="8">
        <v>83925</v>
      </c>
      <c r="T518" s="8">
        <v>59154.3</v>
      </c>
      <c r="U518" s="8">
        <v>24770.7</v>
      </c>
      <c r="V518" s="8" t="b">
        <f t="shared" si="52"/>
        <v>0</v>
      </c>
      <c r="W518" s="8">
        <f t="shared" si="53"/>
        <v>0</v>
      </c>
      <c r="X518" t="s">
        <v>28</v>
      </c>
      <c r="Y518" t="s">
        <v>70</v>
      </c>
      <c r="Z518" t="s">
        <v>38</v>
      </c>
      <c r="AA518">
        <v>4</v>
      </c>
      <c r="AB518" t="s">
        <v>29</v>
      </c>
      <c r="AC518" t="s">
        <v>58</v>
      </c>
    </row>
    <row r="519" spans="1:29" x14ac:dyDescent="0.3">
      <c r="A519" t="s">
        <v>643</v>
      </c>
      <c r="B519" s="6">
        <v>45898</v>
      </c>
      <c r="C519" s="6" t="str">
        <f t="shared" si="48"/>
        <v>12 AM - 4 AM</v>
      </c>
      <c r="D519" s="4">
        <v>5.5555555555555552E-2</v>
      </c>
      <c r="E519" t="s">
        <v>60</v>
      </c>
      <c r="F519" t="s">
        <v>24</v>
      </c>
      <c r="G519" t="s">
        <v>61</v>
      </c>
      <c r="H519" t="s">
        <v>53</v>
      </c>
      <c r="I519" t="s">
        <v>63</v>
      </c>
      <c r="J519" t="s">
        <v>45</v>
      </c>
      <c r="K519">
        <v>2</v>
      </c>
      <c r="L519" s="8">
        <v>24300</v>
      </c>
      <c r="M519" s="8" t="str">
        <f t="shared" si="49"/>
        <v>1-10%</v>
      </c>
      <c r="N519">
        <v>5</v>
      </c>
      <c r="O519" t="str">
        <f t="shared" si="50"/>
        <v>Valid</v>
      </c>
      <c r="P519" t="str">
        <f t="shared" si="51"/>
        <v>Match</v>
      </c>
      <c r="Q519" s="8">
        <v>48600</v>
      </c>
      <c r="R519" s="8">
        <v>2430</v>
      </c>
      <c r="S519" s="8">
        <v>46170</v>
      </c>
      <c r="T519" s="8">
        <v>31725.78</v>
      </c>
      <c r="U519" s="8">
        <v>14444.22</v>
      </c>
      <c r="V519" s="8" t="b">
        <f t="shared" si="52"/>
        <v>0</v>
      </c>
      <c r="W519" s="8">
        <f t="shared" si="53"/>
        <v>0</v>
      </c>
      <c r="X519" t="s">
        <v>46</v>
      </c>
      <c r="Y519" t="s">
        <v>37</v>
      </c>
      <c r="Z519" t="s">
        <v>64</v>
      </c>
      <c r="AA519">
        <v>3.5</v>
      </c>
      <c r="AB519" t="s">
        <v>90</v>
      </c>
      <c r="AC519" t="s">
        <v>58</v>
      </c>
    </row>
    <row r="520" spans="1:29" x14ac:dyDescent="0.3">
      <c r="A520" t="s">
        <v>644</v>
      </c>
      <c r="B520" s="6">
        <v>45774</v>
      </c>
      <c r="C520" s="6" t="str">
        <f t="shared" si="48"/>
        <v>4 AM - 8 AM</v>
      </c>
      <c r="D520" s="4">
        <v>0.32361111111111113</v>
      </c>
      <c r="E520" t="s">
        <v>294</v>
      </c>
      <c r="F520" t="s">
        <v>24</v>
      </c>
      <c r="G520" t="s">
        <v>110</v>
      </c>
      <c r="H520" t="s">
        <v>53</v>
      </c>
      <c r="I520" t="s">
        <v>82</v>
      </c>
      <c r="J520" t="s">
        <v>35</v>
      </c>
      <c r="K520">
        <v>1</v>
      </c>
      <c r="L520" s="8">
        <v>3100</v>
      </c>
      <c r="M520" s="8" t="str">
        <f t="shared" si="49"/>
        <v>21-30%</v>
      </c>
      <c r="N520">
        <v>30</v>
      </c>
      <c r="O520" t="str">
        <f t="shared" si="50"/>
        <v>Valid</v>
      </c>
      <c r="P520" t="str">
        <f t="shared" si="51"/>
        <v>Match</v>
      </c>
      <c r="Q520" s="8">
        <v>3100</v>
      </c>
      <c r="R520" s="8">
        <v>930</v>
      </c>
      <c r="S520" s="8">
        <v>2170</v>
      </c>
      <c r="T520" s="8">
        <v>1887.11</v>
      </c>
      <c r="U520" s="8">
        <v>282.89</v>
      </c>
      <c r="V520" s="8" t="b">
        <f t="shared" si="52"/>
        <v>0</v>
      </c>
      <c r="W520" s="8">
        <f t="shared" si="53"/>
        <v>0</v>
      </c>
      <c r="X520" t="s">
        <v>79</v>
      </c>
      <c r="Y520" t="s">
        <v>94</v>
      </c>
      <c r="Z520" t="s">
        <v>80</v>
      </c>
      <c r="AA520">
        <v>2.5</v>
      </c>
      <c r="AB520" t="s">
        <v>99</v>
      </c>
      <c r="AC520" t="s">
        <v>30</v>
      </c>
    </row>
    <row r="521" spans="1:29" x14ac:dyDescent="0.3">
      <c r="A521" t="s">
        <v>645</v>
      </c>
      <c r="B521" s="6">
        <v>45717</v>
      </c>
      <c r="C521" s="6" t="str">
        <f t="shared" si="48"/>
        <v>4 AM - 8 AM</v>
      </c>
      <c r="D521" s="4">
        <v>0.32430555555555557</v>
      </c>
      <c r="E521" t="s">
        <v>69</v>
      </c>
      <c r="F521" t="s">
        <v>24</v>
      </c>
      <c r="G521" t="s">
        <v>84</v>
      </c>
      <c r="H521" t="s">
        <v>62</v>
      </c>
      <c r="I521" t="s">
        <v>92</v>
      </c>
      <c r="J521" t="s">
        <v>35</v>
      </c>
      <c r="K521">
        <v>1</v>
      </c>
      <c r="L521" s="8">
        <v>10250</v>
      </c>
      <c r="M521" s="8" t="str">
        <f t="shared" si="49"/>
        <v>11-20%</v>
      </c>
      <c r="N521">
        <v>20</v>
      </c>
      <c r="O521" t="str">
        <f t="shared" si="50"/>
        <v>Valid</v>
      </c>
      <c r="P521" t="str">
        <f t="shared" si="51"/>
        <v>Match</v>
      </c>
      <c r="Q521" s="8">
        <v>10250</v>
      </c>
      <c r="R521" s="8">
        <v>2050</v>
      </c>
      <c r="S521" s="8">
        <v>8200</v>
      </c>
      <c r="T521" s="8">
        <v>6850.14</v>
      </c>
      <c r="U521" s="8">
        <v>1349.86</v>
      </c>
      <c r="V521" s="8" t="b">
        <f t="shared" si="52"/>
        <v>0</v>
      </c>
      <c r="W521" s="8">
        <f t="shared" si="53"/>
        <v>0</v>
      </c>
      <c r="X521" t="s">
        <v>28</v>
      </c>
      <c r="Y521" t="s">
        <v>89</v>
      </c>
      <c r="Z521" t="s">
        <v>38</v>
      </c>
      <c r="AA521">
        <v>3.5</v>
      </c>
      <c r="AB521" t="s">
        <v>127</v>
      </c>
      <c r="AC521" t="s">
        <v>71</v>
      </c>
    </row>
    <row r="522" spans="1:29" x14ac:dyDescent="0.3">
      <c r="A522" t="s">
        <v>646</v>
      </c>
      <c r="B522" s="6">
        <v>45965</v>
      </c>
      <c r="C522" s="6" t="str">
        <f t="shared" si="48"/>
        <v>12 PM - 4 PM</v>
      </c>
      <c r="D522" s="4">
        <v>0.60624999999999996</v>
      </c>
      <c r="E522" t="s">
        <v>77</v>
      </c>
      <c r="F522" t="s">
        <v>24</v>
      </c>
      <c r="G522" t="s">
        <v>33</v>
      </c>
      <c r="H522" t="s">
        <v>34</v>
      </c>
      <c r="I522" t="s">
        <v>82</v>
      </c>
      <c r="J522" t="s">
        <v>64</v>
      </c>
      <c r="K522">
        <v>2</v>
      </c>
      <c r="L522" s="8">
        <v>3750</v>
      </c>
      <c r="M522" s="8" t="str">
        <f t="shared" si="49"/>
        <v>0%</v>
      </c>
      <c r="N522">
        <v>0</v>
      </c>
      <c r="O522" t="str">
        <f t="shared" si="50"/>
        <v>Valid</v>
      </c>
      <c r="P522" t="str">
        <f t="shared" si="51"/>
        <v>Match</v>
      </c>
      <c r="Q522" s="8">
        <v>7500</v>
      </c>
      <c r="R522" s="8">
        <v>0</v>
      </c>
      <c r="S522" s="8">
        <v>7500</v>
      </c>
      <c r="T522" s="8">
        <v>4056.05</v>
      </c>
      <c r="U522" s="8">
        <v>3443.95</v>
      </c>
      <c r="V522" s="8" t="b">
        <f t="shared" si="52"/>
        <v>0</v>
      </c>
      <c r="W522" s="8">
        <f t="shared" si="53"/>
        <v>0</v>
      </c>
      <c r="X522" t="s">
        <v>36</v>
      </c>
      <c r="Y522" t="s">
        <v>47</v>
      </c>
      <c r="Z522" t="s">
        <v>45</v>
      </c>
      <c r="AA522">
        <v>3</v>
      </c>
      <c r="AB522" t="s">
        <v>75</v>
      </c>
      <c r="AC522" t="s">
        <v>86</v>
      </c>
    </row>
    <row r="523" spans="1:29" x14ac:dyDescent="0.3">
      <c r="A523" t="s">
        <v>647</v>
      </c>
      <c r="B523" s="6">
        <v>45693</v>
      </c>
      <c r="C523" s="6" t="str">
        <f t="shared" si="48"/>
        <v>8 AM - 12 PM</v>
      </c>
      <c r="D523" s="4">
        <v>0.34861111111111109</v>
      </c>
      <c r="E523" t="s">
        <v>32</v>
      </c>
      <c r="F523" t="s">
        <v>24</v>
      </c>
      <c r="G523" t="s">
        <v>33</v>
      </c>
      <c r="H523" t="s">
        <v>62</v>
      </c>
      <c r="I523" t="s">
        <v>82</v>
      </c>
      <c r="J523" t="s">
        <v>35</v>
      </c>
      <c r="K523">
        <v>2</v>
      </c>
      <c r="L523" s="8">
        <v>1550</v>
      </c>
      <c r="M523" s="8" t="str">
        <f t="shared" si="49"/>
        <v>11-20%</v>
      </c>
      <c r="N523">
        <v>15</v>
      </c>
      <c r="O523" t="str">
        <f t="shared" si="50"/>
        <v>Valid</v>
      </c>
      <c r="P523" t="str">
        <f t="shared" si="51"/>
        <v>Match</v>
      </c>
      <c r="Q523" s="8">
        <v>3100</v>
      </c>
      <c r="R523" s="8">
        <v>465</v>
      </c>
      <c r="S523" s="8">
        <v>2635</v>
      </c>
      <c r="T523" s="8">
        <v>1835.87</v>
      </c>
      <c r="U523" s="8">
        <v>799.13</v>
      </c>
      <c r="V523" s="8" t="b">
        <f t="shared" si="52"/>
        <v>0</v>
      </c>
      <c r="W523" s="8">
        <f t="shared" si="53"/>
        <v>0</v>
      </c>
      <c r="X523" t="s">
        <v>46</v>
      </c>
      <c r="Y523" t="s">
        <v>89</v>
      </c>
      <c r="Z523" t="s">
        <v>85</v>
      </c>
      <c r="AA523">
        <v>4</v>
      </c>
      <c r="AB523" t="s">
        <v>66</v>
      </c>
      <c r="AC523" t="s">
        <v>40</v>
      </c>
    </row>
    <row r="524" spans="1:29" x14ac:dyDescent="0.3">
      <c r="A524" t="s">
        <v>648</v>
      </c>
      <c r="B524" s="6">
        <v>45684</v>
      </c>
      <c r="C524" s="6" t="str">
        <f t="shared" si="48"/>
        <v>8 PM - 12 AM</v>
      </c>
      <c r="D524" s="4">
        <v>0.88749999999999996</v>
      </c>
      <c r="E524" t="s">
        <v>108</v>
      </c>
      <c r="F524" t="s">
        <v>51</v>
      </c>
      <c r="G524" t="s">
        <v>122</v>
      </c>
      <c r="H524" t="s">
        <v>26</v>
      </c>
      <c r="I524" t="s">
        <v>103</v>
      </c>
      <c r="J524" t="s">
        <v>64</v>
      </c>
      <c r="K524">
        <v>2</v>
      </c>
      <c r="L524" s="8">
        <v>3150</v>
      </c>
      <c r="M524" s="8" t="str">
        <f t="shared" si="49"/>
        <v>11-20%</v>
      </c>
      <c r="N524">
        <v>20</v>
      </c>
      <c r="O524" t="str">
        <f t="shared" si="50"/>
        <v>Valid</v>
      </c>
      <c r="P524" t="str">
        <f t="shared" si="51"/>
        <v>Match</v>
      </c>
      <c r="Q524" s="8">
        <v>6300</v>
      </c>
      <c r="R524" s="8">
        <v>1260</v>
      </c>
      <c r="S524" s="8">
        <v>5040</v>
      </c>
      <c r="T524" s="8">
        <v>3510.34</v>
      </c>
      <c r="U524" s="8">
        <v>1529.66</v>
      </c>
      <c r="V524" s="8" t="b">
        <f t="shared" si="52"/>
        <v>0</v>
      </c>
      <c r="W524" s="8">
        <f t="shared" si="53"/>
        <v>0</v>
      </c>
      <c r="X524" t="s">
        <v>55</v>
      </c>
      <c r="Y524" t="s">
        <v>37</v>
      </c>
      <c r="Z524" t="s">
        <v>56</v>
      </c>
      <c r="AA524">
        <v>3</v>
      </c>
      <c r="AB524" t="s">
        <v>151</v>
      </c>
      <c r="AC524" t="s">
        <v>49</v>
      </c>
    </row>
    <row r="525" spans="1:29" x14ac:dyDescent="0.3">
      <c r="A525" t="s">
        <v>649</v>
      </c>
      <c r="B525" s="6">
        <v>45774</v>
      </c>
      <c r="C525" s="6" t="str">
        <f t="shared" si="48"/>
        <v>12 AM - 4 AM</v>
      </c>
      <c r="D525" s="4">
        <v>4.0972222222222222E-2</v>
      </c>
      <c r="E525" t="s">
        <v>622</v>
      </c>
      <c r="F525" t="s">
        <v>24</v>
      </c>
      <c r="G525" t="s">
        <v>110</v>
      </c>
      <c r="H525" t="s">
        <v>53</v>
      </c>
      <c r="I525" t="s">
        <v>63</v>
      </c>
      <c r="J525" t="s">
        <v>35</v>
      </c>
      <c r="K525">
        <v>2</v>
      </c>
      <c r="L525" s="8">
        <v>4000</v>
      </c>
      <c r="M525" s="8" t="str">
        <f t="shared" si="49"/>
        <v>11-20%</v>
      </c>
      <c r="N525">
        <v>15</v>
      </c>
      <c r="O525" t="str">
        <f t="shared" si="50"/>
        <v>Valid</v>
      </c>
      <c r="P525" t="str">
        <f t="shared" si="51"/>
        <v>Match</v>
      </c>
      <c r="Q525" s="8">
        <v>8000</v>
      </c>
      <c r="R525" s="8">
        <v>1200</v>
      </c>
      <c r="S525" s="8">
        <v>6800</v>
      </c>
      <c r="T525" s="8">
        <v>5000.5600000000004</v>
      </c>
      <c r="U525" s="8">
        <v>1799.44</v>
      </c>
      <c r="V525" s="8" t="b">
        <f t="shared" si="52"/>
        <v>0</v>
      </c>
      <c r="W525" s="8">
        <f t="shared" si="53"/>
        <v>0</v>
      </c>
      <c r="X525" t="s">
        <v>46</v>
      </c>
      <c r="Y525" t="s">
        <v>47</v>
      </c>
      <c r="Z525" t="s">
        <v>38</v>
      </c>
      <c r="AA525">
        <v>4.5</v>
      </c>
      <c r="AB525" t="s">
        <v>99</v>
      </c>
      <c r="AC525" t="s">
        <v>30</v>
      </c>
    </row>
    <row r="526" spans="1:29" x14ac:dyDescent="0.3">
      <c r="A526" t="s">
        <v>650</v>
      </c>
      <c r="B526" s="6">
        <v>45741</v>
      </c>
      <c r="C526" s="6" t="str">
        <f t="shared" si="48"/>
        <v>4 PM - 8 PM</v>
      </c>
      <c r="D526" s="4">
        <v>0.75555555555555554</v>
      </c>
      <c r="E526" t="s">
        <v>60</v>
      </c>
      <c r="F526" t="s">
        <v>24</v>
      </c>
      <c r="G526" t="s">
        <v>25</v>
      </c>
      <c r="H526" t="s">
        <v>43</v>
      </c>
      <c r="I526" t="s">
        <v>27</v>
      </c>
      <c r="J526" t="s">
        <v>78</v>
      </c>
      <c r="K526">
        <v>1</v>
      </c>
      <c r="L526" s="8">
        <v>5100</v>
      </c>
      <c r="M526" s="8" t="str">
        <f t="shared" si="49"/>
        <v>11-20%</v>
      </c>
      <c r="N526">
        <v>20</v>
      </c>
      <c r="O526" t="str">
        <f t="shared" si="50"/>
        <v>Valid</v>
      </c>
      <c r="P526" t="str">
        <f t="shared" si="51"/>
        <v>Match</v>
      </c>
      <c r="Q526" s="8">
        <v>5100</v>
      </c>
      <c r="R526" s="8">
        <v>1020</v>
      </c>
      <c r="S526" s="8">
        <v>4080</v>
      </c>
      <c r="T526" s="8">
        <v>3160.64</v>
      </c>
      <c r="U526" s="8">
        <v>919.36</v>
      </c>
      <c r="V526" s="8" t="b">
        <f t="shared" si="52"/>
        <v>0</v>
      </c>
      <c r="W526" s="8">
        <f t="shared" si="53"/>
        <v>0</v>
      </c>
      <c r="X526" t="s">
        <v>79</v>
      </c>
      <c r="Y526" t="s">
        <v>70</v>
      </c>
      <c r="Z526" t="s">
        <v>56</v>
      </c>
      <c r="AA526">
        <v>4.5</v>
      </c>
      <c r="AB526" t="s">
        <v>127</v>
      </c>
      <c r="AC526" t="s">
        <v>86</v>
      </c>
    </row>
    <row r="527" spans="1:29" x14ac:dyDescent="0.3">
      <c r="A527" t="s">
        <v>651</v>
      </c>
      <c r="B527" s="6">
        <v>45822</v>
      </c>
      <c r="C527" s="6" t="str">
        <f t="shared" si="48"/>
        <v>4 AM - 8 AM</v>
      </c>
      <c r="D527" s="4">
        <v>0.25833333333333336</v>
      </c>
      <c r="E527" t="s">
        <v>60</v>
      </c>
      <c r="F527" t="s">
        <v>24</v>
      </c>
      <c r="G527" t="s">
        <v>25</v>
      </c>
      <c r="H527" t="s">
        <v>26</v>
      </c>
      <c r="I527" t="s">
        <v>98</v>
      </c>
      <c r="J527" t="s">
        <v>35</v>
      </c>
      <c r="K527">
        <v>2</v>
      </c>
      <c r="L527" s="8">
        <v>1950</v>
      </c>
      <c r="M527" s="8" t="str">
        <f t="shared" si="49"/>
        <v>21-30%</v>
      </c>
      <c r="N527">
        <v>25</v>
      </c>
      <c r="O527" t="str">
        <f t="shared" si="50"/>
        <v>Valid</v>
      </c>
      <c r="P527" t="str">
        <f t="shared" si="51"/>
        <v>Match</v>
      </c>
      <c r="Q527" s="8">
        <v>3900</v>
      </c>
      <c r="R527" s="8">
        <v>975</v>
      </c>
      <c r="S527" s="8">
        <v>2925</v>
      </c>
      <c r="T527" s="8">
        <v>2793.45</v>
      </c>
      <c r="U527" s="8">
        <v>131.55000000000001</v>
      </c>
      <c r="V527" s="8" t="b">
        <f t="shared" si="52"/>
        <v>0</v>
      </c>
      <c r="W527" s="8">
        <f t="shared" si="53"/>
        <v>0</v>
      </c>
      <c r="X527" t="s">
        <v>79</v>
      </c>
      <c r="Y527" t="s">
        <v>37</v>
      </c>
      <c r="Z527" t="s">
        <v>45</v>
      </c>
      <c r="AA527">
        <v>3</v>
      </c>
      <c r="AB527" t="s">
        <v>48</v>
      </c>
      <c r="AC527" t="s">
        <v>71</v>
      </c>
    </row>
    <row r="528" spans="1:29" x14ac:dyDescent="0.3">
      <c r="A528" t="s">
        <v>652</v>
      </c>
      <c r="B528" s="6">
        <v>45740</v>
      </c>
      <c r="C528" s="6" t="str">
        <f t="shared" si="48"/>
        <v>8 PM - 12 AM</v>
      </c>
      <c r="D528" s="4">
        <v>0.92777777777777781</v>
      </c>
      <c r="E528" t="s">
        <v>69</v>
      </c>
      <c r="F528" t="s">
        <v>24</v>
      </c>
      <c r="G528" t="s">
        <v>120</v>
      </c>
      <c r="H528" t="s">
        <v>43</v>
      </c>
      <c r="I528" t="s">
        <v>54</v>
      </c>
      <c r="J528" t="s">
        <v>35</v>
      </c>
      <c r="K528">
        <v>3</v>
      </c>
      <c r="L528" s="8">
        <v>11450</v>
      </c>
      <c r="M528" s="8" t="str">
        <f t="shared" si="49"/>
        <v>21-30%</v>
      </c>
      <c r="N528">
        <v>30</v>
      </c>
      <c r="O528" t="str">
        <f t="shared" si="50"/>
        <v>Valid</v>
      </c>
      <c r="P528" t="str">
        <f t="shared" si="51"/>
        <v>Match</v>
      </c>
      <c r="Q528" s="8">
        <v>34350</v>
      </c>
      <c r="R528" s="8">
        <v>10305</v>
      </c>
      <c r="S528" s="8">
        <v>24045</v>
      </c>
      <c r="T528" s="8">
        <v>18620.689999999999</v>
      </c>
      <c r="U528" s="8">
        <v>5424.31</v>
      </c>
      <c r="V528" s="8" t="b">
        <f t="shared" si="52"/>
        <v>0</v>
      </c>
      <c r="W528" s="8">
        <f t="shared" si="53"/>
        <v>0</v>
      </c>
      <c r="X528" t="s">
        <v>46</v>
      </c>
      <c r="Y528" t="s">
        <v>94</v>
      </c>
      <c r="Z528" t="s">
        <v>45</v>
      </c>
      <c r="AA528">
        <v>4.5</v>
      </c>
      <c r="AB528" t="s">
        <v>127</v>
      </c>
      <c r="AC528" t="s">
        <v>49</v>
      </c>
    </row>
    <row r="529" spans="1:29" x14ac:dyDescent="0.3">
      <c r="A529" t="s">
        <v>653</v>
      </c>
      <c r="B529" s="6">
        <v>45825</v>
      </c>
      <c r="C529" s="6" t="str">
        <f t="shared" si="48"/>
        <v>4 AM - 8 AM</v>
      </c>
      <c r="D529" s="4">
        <v>0.23958333333333334</v>
      </c>
      <c r="E529" t="s">
        <v>622</v>
      </c>
      <c r="F529" t="s">
        <v>24</v>
      </c>
      <c r="G529" t="s">
        <v>25</v>
      </c>
      <c r="H529" t="s">
        <v>74</v>
      </c>
      <c r="I529" t="s">
        <v>82</v>
      </c>
      <c r="J529" t="s">
        <v>93</v>
      </c>
      <c r="K529">
        <v>1</v>
      </c>
      <c r="L529" s="8">
        <v>7100</v>
      </c>
      <c r="M529" s="8" t="str">
        <f t="shared" si="49"/>
        <v>0%</v>
      </c>
      <c r="N529">
        <v>0</v>
      </c>
      <c r="O529" t="str">
        <f t="shared" si="50"/>
        <v>Valid</v>
      </c>
      <c r="P529" t="str">
        <f t="shared" si="51"/>
        <v>Match</v>
      </c>
      <c r="Q529" s="8">
        <v>7100</v>
      </c>
      <c r="R529" s="8">
        <v>0</v>
      </c>
      <c r="S529" s="8">
        <v>7100</v>
      </c>
      <c r="T529" s="8">
        <v>5224.72</v>
      </c>
      <c r="U529" s="8">
        <v>1875.28</v>
      </c>
      <c r="V529" s="8" t="b">
        <f t="shared" si="52"/>
        <v>0</v>
      </c>
      <c r="W529" s="8">
        <f t="shared" si="53"/>
        <v>0</v>
      </c>
      <c r="X529" t="s">
        <v>79</v>
      </c>
      <c r="Y529" t="s">
        <v>37</v>
      </c>
      <c r="Z529" t="s">
        <v>45</v>
      </c>
      <c r="AA529">
        <v>4.5</v>
      </c>
      <c r="AB529" t="s">
        <v>48</v>
      </c>
      <c r="AC529" t="s">
        <v>86</v>
      </c>
    </row>
    <row r="530" spans="1:29" x14ac:dyDescent="0.3">
      <c r="A530" t="s">
        <v>654</v>
      </c>
      <c r="B530" s="6">
        <v>45853</v>
      </c>
      <c r="C530" s="6" t="str">
        <f t="shared" si="48"/>
        <v>8 PM - 12 AM</v>
      </c>
      <c r="D530" s="4">
        <v>0.83958333333333335</v>
      </c>
      <c r="E530" t="s">
        <v>77</v>
      </c>
      <c r="F530" t="s">
        <v>51</v>
      </c>
      <c r="G530" t="s">
        <v>101</v>
      </c>
      <c r="H530" t="s">
        <v>26</v>
      </c>
      <c r="I530" t="s">
        <v>98</v>
      </c>
      <c r="J530" t="s">
        <v>35</v>
      </c>
      <c r="K530">
        <v>1</v>
      </c>
      <c r="L530" s="8">
        <v>9850</v>
      </c>
      <c r="M530" s="8" t="str">
        <f t="shared" si="49"/>
        <v>1-10%</v>
      </c>
      <c r="N530">
        <v>5</v>
      </c>
      <c r="O530" t="str">
        <f t="shared" si="50"/>
        <v>Valid</v>
      </c>
      <c r="P530" t="str">
        <f t="shared" si="51"/>
        <v>Match</v>
      </c>
      <c r="Q530" s="8">
        <v>9850</v>
      </c>
      <c r="R530" s="8">
        <v>492.5</v>
      </c>
      <c r="S530" s="8">
        <v>9357.5</v>
      </c>
      <c r="T530" s="8">
        <v>6830.17</v>
      </c>
      <c r="U530" s="8">
        <v>2527.33</v>
      </c>
      <c r="V530" s="8" t="b">
        <f t="shared" si="52"/>
        <v>0</v>
      </c>
      <c r="W530" s="8">
        <f t="shared" si="53"/>
        <v>0</v>
      </c>
      <c r="X530" t="s">
        <v>36</v>
      </c>
      <c r="Y530" t="s">
        <v>37</v>
      </c>
      <c r="Z530" t="s">
        <v>45</v>
      </c>
      <c r="AA530">
        <v>3.5</v>
      </c>
      <c r="AB530" t="s">
        <v>29</v>
      </c>
      <c r="AC530" t="s">
        <v>86</v>
      </c>
    </row>
    <row r="531" spans="1:29" x14ac:dyDescent="0.3">
      <c r="A531" t="s">
        <v>655</v>
      </c>
      <c r="B531" s="6">
        <v>45701</v>
      </c>
      <c r="C531" s="6" t="str">
        <f t="shared" si="48"/>
        <v>8 PM - 12 AM</v>
      </c>
      <c r="D531" s="4">
        <v>0.89027777777777772</v>
      </c>
      <c r="E531" t="s">
        <v>108</v>
      </c>
      <c r="F531" t="s">
        <v>24</v>
      </c>
      <c r="G531" t="s">
        <v>25</v>
      </c>
      <c r="H531" t="s">
        <v>53</v>
      </c>
      <c r="I531" t="s">
        <v>82</v>
      </c>
      <c r="J531" t="s">
        <v>35</v>
      </c>
      <c r="K531">
        <v>1</v>
      </c>
      <c r="L531" s="8">
        <v>5850</v>
      </c>
      <c r="M531" s="8" t="str">
        <f t="shared" si="49"/>
        <v>21-30%</v>
      </c>
      <c r="N531">
        <v>25</v>
      </c>
      <c r="O531" t="str">
        <f t="shared" si="50"/>
        <v>Valid</v>
      </c>
      <c r="P531" t="str">
        <f t="shared" si="51"/>
        <v>Match</v>
      </c>
      <c r="Q531" s="8">
        <v>5850</v>
      </c>
      <c r="R531" s="8">
        <v>1462.5</v>
      </c>
      <c r="S531" s="8">
        <v>4387.5</v>
      </c>
      <c r="T531" s="8">
        <v>3901.03</v>
      </c>
      <c r="U531" s="8">
        <v>486.47</v>
      </c>
      <c r="V531" s="8" t="b">
        <f t="shared" si="52"/>
        <v>0</v>
      </c>
      <c r="W531" s="8">
        <f t="shared" si="53"/>
        <v>0</v>
      </c>
      <c r="X531" t="s">
        <v>55</v>
      </c>
      <c r="Y531" t="s">
        <v>104</v>
      </c>
      <c r="Z531" t="s">
        <v>80</v>
      </c>
      <c r="AA531">
        <v>3.5</v>
      </c>
      <c r="AB531" t="s">
        <v>66</v>
      </c>
      <c r="AC531" t="s">
        <v>67</v>
      </c>
    </row>
    <row r="532" spans="1:29" x14ac:dyDescent="0.3">
      <c r="A532" t="s">
        <v>656</v>
      </c>
      <c r="B532" s="6">
        <v>45684</v>
      </c>
      <c r="C532" s="6" t="str">
        <f t="shared" si="48"/>
        <v>8 AM - 12 PM</v>
      </c>
      <c r="D532" s="4">
        <v>0.37222222222222223</v>
      </c>
      <c r="E532" t="s">
        <v>108</v>
      </c>
      <c r="F532" t="s">
        <v>24</v>
      </c>
      <c r="G532" t="s">
        <v>120</v>
      </c>
      <c r="H532" t="s">
        <v>102</v>
      </c>
      <c r="I532" t="s">
        <v>27</v>
      </c>
      <c r="J532" t="s">
        <v>35</v>
      </c>
      <c r="K532">
        <v>1</v>
      </c>
      <c r="L532" s="8">
        <v>12700</v>
      </c>
      <c r="M532" s="8" t="str">
        <f t="shared" si="49"/>
        <v>0%</v>
      </c>
      <c r="N532">
        <v>0</v>
      </c>
      <c r="O532" t="str">
        <f t="shared" si="50"/>
        <v>Valid</v>
      </c>
      <c r="P532" t="str">
        <f t="shared" si="51"/>
        <v>Match</v>
      </c>
      <c r="Q532" s="8">
        <v>12700</v>
      </c>
      <c r="R532" s="8">
        <v>0</v>
      </c>
      <c r="S532" s="8">
        <v>12700</v>
      </c>
      <c r="T532" s="8">
        <v>9213.9</v>
      </c>
      <c r="U532" s="8">
        <v>3486.1</v>
      </c>
      <c r="V532" s="8" t="b">
        <f t="shared" si="52"/>
        <v>0</v>
      </c>
      <c r="W532" s="8">
        <f t="shared" si="53"/>
        <v>0</v>
      </c>
      <c r="X532" t="s">
        <v>79</v>
      </c>
      <c r="Y532" t="s">
        <v>65</v>
      </c>
      <c r="Z532" t="s">
        <v>80</v>
      </c>
      <c r="AA532">
        <v>3</v>
      </c>
      <c r="AB532" t="s">
        <v>151</v>
      </c>
      <c r="AC532" t="s">
        <v>49</v>
      </c>
    </row>
    <row r="533" spans="1:29" x14ac:dyDescent="0.3">
      <c r="A533" t="s">
        <v>657</v>
      </c>
      <c r="B533" s="6">
        <v>45692</v>
      </c>
      <c r="C533" s="6" t="str">
        <f t="shared" si="48"/>
        <v>4 PM - 8 PM</v>
      </c>
      <c r="D533" s="4">
        <v>0.69027777777777777</v>
      </c>
      <c r="E533" t="s">
        <v>69</v>
      </c>
      <c r="F533" t="s">
        <v>24</v>
      </c>
      <c r="G533" t="s">
        <v>88</v>
      </c>
      <c r="H533" t="s">
        <v>43</v>
      </c>
      <c r="I533" t="s">
        <v>92</v>
      </c>
      <c r="J533" t="s">
        <v>64</v>
      </c>
      <c r="K533">
        <v>2</v>
      </c>
      <c r="L533" s="8">
        <v>1350</v>
      </c>
      <c r="M533" s="8" t="str">
        <f t="shared" si="49"/>
        <v>11-20%</v>
      </c>
      <c r="N533">
        <v>20</v>
      </c>
      <c r="O533" t="str">
        <f t="shared" si="50"/>
        <v>Valid</v>
      </c>
      <c r="P533" t="str">
        <f t="shared" si="51"/>
        <v>Match</v>
      </c>
      <c r="Q533" s="8">
        <v>2700</v>
      </c>
      <c r="R533" s="8">
        <v>540</v>
      </c>
      <c r="S533" s="8">
        <v>2160</v>
      </c>
      <c r="T533" s="8">
        <v>1982.94</v>
      </c>
      <c r="U533" s="8">
        <v>177.06</v>
      </c>
      <c r="V533" s="8" t="b">
        <f t="shared" si="52"/>
        <v>0</v>
      </c>
      <c r="W533" s="8">
        <f t="shared" si="53"/>
        <v>0</v>
      </c>
      <c r="X533" t="s">
        <v>46</v>
      </c>
      <c r="Y533" t="s">
        <v>65</v>
      </c>
      <c r="Z533" t="s">
        <v>38</v>
      </c>
      <c r="AA533" t="s">
        <v>1139</v>
      </c>
      <c r="AB533" t="s">
        <v>66</v>
      </c>
      <c r="AC533" t="s">
        <v>86</v>
      </c>
    </row>
    <row r="534" spans="1:29" x14ac:dyDescent="0.3">
      <c r="A534" t="s">
        <v>658</v>
      </c>
      <c r="B534" s="6">
        <v>45801</v>
      </c>
      <c r="C534" s="6" t="str">
        <f t="shared" si="48"/>
        <v>8 PM - 12 AM</v>
      </c>
      <c r="D534" s="4">
        <v>0.85902777777777772</v>
      </c>
      <c r="E534" t="s">
        <v>77</v>
      </c>
      <c r="F534" t="s">
        <v>24</v>
      </c>
      <c r="G534" t="s">
        <v>120</v>
      </c>
      <c r="H534" t="s">
        <v>74</v>
      </c>
      <c r="I534" t="s">
        <v>63</v>
      </c>
      <c r="J534" t="s">
        <v>93</v>
      </c>
      <c r="K534">
        <v>1</v>
      </c>
      <c r="L534" s="8">
        <v>3700</v>
      </c>
      <c r="M534" s="8" t="str">
        <f t="shared" si="49"/>
        <v>11-20%</v>
      </c>
      <c r="N534">
        <v>20</v>
      </c>
      <c r="O534" t="str">
        <f t="shared" si="50"/>
        <v>Valid</v>
      </c>
      <c r="P534" t="str">
        <f t="shared" si="51"/>
        <v>Match</v>
      </c>
      <c r="Q534" s="8">
        <v>3700</v>
      </c>
      <c r="R534" s="8">
        <v>740</v>
      </c>
      <c r="S534" s="8">
        <v>2960</v>
      </c>
      <c r="T534" s="8">
        <v>2257.04</v>
      </c>
      <c r="U534" s="8">
        <v>702.96</v>
      </c>
      <c r="V534" s="8" t="b">
        <f t="shared" si="52"/>
        <v>0</v>
      </c>
      <c r="W534" s="8">
        <f t="shared" si="53"/>
        <v>0</v>
      </c>
      <c r="X534" t="s">
        <v>46</v>
      </c>
      <c r="Y534" t="s">
        <v>94</v>
      </c>
      <c r="Z534" t="s">
        <v>56</v>
      </c>
      <c r="AA534">
        <v>4.5</v>
      </c>
      <c r="AB534" t="s">
        <v>111</v>
      </c>
      <c r="AC534" t="s">
        <v>71</v>
      </c>
    </row>
    <row r="535" spans="1:29" x14ac:dyDescent="0.3">
      <c r="A535" t="s">
        <v>659</v>
      </c>
      <c r="B535" s="6">
        <v>45873</v>
      </c>
      <c r="C535" s="6" t="str">
        <f t="shared" si="48"/>
        <v>4 PM - 8 PM</v>
      </c>
      <c r="D535" s="4">
        <v>0.67152777777777772</v>
      </c>
      <c r="E535" t="s">
        <v>32</v>
      </c>
      <c r="F535" t="s">
        <v>24</v>
      </c>
      <c r="G535" t="s">
        <v>33</v>
      </c>
      <c r="H535" t="s">
        <v>74</v>
      </c>
      <c r="I535" t="s">
        <v>27</v>
      </c>
      <c r="J535" t="s">
        <v>35</v>
      </c>
      <c r="K535">
        <v>1</v>
      </c>
      <c r="L535" s="8">
        <v>2950</v>
      </c>
      <c r="M535" s="8" t="str">
        <f t="shared" si="49"/>
        <v>1-10%</v>
      </c>
      <c r="N535">
        <v>10</v>
      </c>
      <c r="O535" t="str">
        <f t="shared" si="50"/>
        <v>Valid</v>
      </c>
      <c r="P535" t="str">
        <f t="shared" si="51"/>
        <v>Match</v>
      </c>
      <c r="Q535" s="8">
        <v>2950</v>
      </c>
      <c r="R535" s="8">
        <v>295</v>
      </c>
      <c r="S535" s="8">
        <v>2655</v>
      </c>
      <c r="T535" s="8">
        <v>1568.01</v>
      </c>
      <c r="U535" s="8">
        <v>1086.99</v>
      </c>
      <c r="V535" s="8" t="b">
        <f t="shared" si="52"/>
        <v>0</v>
      </c>
      <c r="W535" s="8">
        <f t="shared" si="53"/>
        <v>0</v>
      </c>
      <c r="X535" t="s">
        <v>28</v>
      </c>
      <c r="Y535" t="s">
        <v>47</v>
      </c>
      <c r="Z535" t="s">
        <v>85</v>
      </c>
      <c r="AA535">
        <v>4.5</v>
      </c>
      <c r="AB535" t="s">
        <v>90</v>
      </c>
      <c r="AC535" t="s">
        <v>49</v>
      </c>
    </row>
    <row r="536" spans="1:29" x14ac:dyDescent="0.3">
      <c r="A536" t="s">
        <v>660</v>
      </c>
      <c r="B536" s="6">
        <v>45862</v>
      </c>
      <c r="C536" s="6" t="str">
        <f t="shared" si="48"/>
        <v>4 AM - 8 AM</v>
      </c>
      <c r="D536" s="4">
        <v>0.26111111111111113</v>
      </c>
      <c r="E536" t="s">
        <v>23</v>
      </c>
      <c r="F536" t="s">
        <v>24</v>
      </c>
      <c r="G536" t="s">
        <v>25</v>
      </c>
      <c r="H536" t="s">
        <v>53</v>
      </c>
      <c r="I536" t="s">
        <v>54</v>
      </c>
      <c r="J536" t="s">
        <v>35</v>
      </c>
      <c r="K536">
        <v>2</v>
      </c>
      <c r="L536" s="8">
        <v>5150</v>
      </c>
      <c r="M536" s="8" t="str">
        <f t="shared" si="49"/>
        <v>11-20%</v>
      </c>
      <c r="N536">
        <v>15</v>
      </c>
      <c r="O536" t="str">
        <f t="shared" si="50"/>
        <v>Valid</v>
      </c>
      <c r="P536" t="str">
        <f t="shared" si="51"/>
        <v>Match</v>
      </c>
      <c r="Q536" s="8">
        <v>10300</v>
      </c>
      <c r="R536" s="8">
        <v>1545</v>
      </c>
      <c r="S536" s="8">
        <v>8755</v>
      </c>
      <c r="T536" s="8">
        <v>6517.68</v>
      </c>
      <c r="U536" s="8">
        <v>2237.3200000000002</v>
      </c>
      <c r="V536" s="8" t="b">
        <f t="shared" si="52"/>
        <v>0</v>
      </c>
      <c r="W536" s="8">
        <f t="shared" si="53"/>
        <v>0</v>
      </c>
      <c r="X536" t="s">
        <v>46</v>
      </c>
      <c r="Y536" t="s">
        <v>47</v>
      </c>
      <c r="Z536" t="s">
        <v>1138</v>
      </c>
      <c r="AA536">
        <v>4</v>
      </c>
      <c r="AB536" t="s">
        <v>29</v>
      </c>
      <c r="AC536" t="s">
        <v>67</v>
      </c>
    </row>
    <row r="537" spans="1:29" x14ac:dyDescent="0.3">
      <c r="A537" t="s">
        <v>661</v>
      </c>
      <c r="B537" s="6">
        <v>45843</v>
      </c>
      <c r="C537" s="6" t="str">
        <f t="shared" si="48"/>
        <v>4 PM - 8 PM</v>
      </c>
      <c r="D537" s="4">
        <v>0.7729166666666667</v>
      </c>
      <c r="E537" t="s">
        <v>77</v>
      </c>
      <c r="F537" t="s">
        <v>24</v>
      </c>
      <c r="G537" t="s">
        <v>25</v>
      </c>
      <c r="H537" t="s">
        <v>34</v>
      </c>
      <c r="I537" t="s">
        <v>92</v>
      </c>
      <c r="J537" t="s">
        <v>35</v>
      </c>
      <c r="K537">
        <v>1</v>
      </c>
      <c r="L537" s="8">
        <v>6150</v>
      </c>
      <c r="M537" s="8" t="str">
        <f t="shared" si="49"/>
        <v>11-20%</v>
      </c>
      <c r="N537">
        <v>15</v>
      </c>
      <c r="O537" t="str">
        <f t="shared" si="50"/>
        <v>Valid</v>
      </c>
      <c r="P537" t="str">
        <f t="shared" si="51"/>
        <v>Match</v>
      </c>
      <c r="Q537" s="8">
        <v>6150</v>
      </c>
      <c r="R537" s="8">
        <v>922.5</v>
      </c>
      <c r="S537" s="8">
        <v>5227.5</v>
      </c>
      <c r="T537" s="8">
        <v>4254.66</v>
      </c>
      <c r="U537" s="8">
        <v>972.84</v>
      </c>
      <c r="V537" s="8" t="b">
        <f t="shared" si="52"/>
        <v>0</v>
      </c>
      <c r="W537" s="8">
        <f t="shared" si="53"/>
        <v>0</v>
      </c>
      <c r="X537" t="s">
        <v>230</v>
      </c>
      <c r="Y537" t="s">
        <v>65</v>
      </c>
      <c r="Z537" t="s">
        <v>64</v>
      </c>
      <c r="AA537">
        <v>3.5</v>
      </c>
      <c r="AB537" t="s">
        <v>29</v>
      </c>
      <c r="AC537" t="s">
        <v>71</v>
      </c>
    </row>
    <row r="538" spans="1:29" x14ac:dyDescent="0.3">
      <c r="A538" t="s">
        <v>662</v>
      </c>
      <c r="B538" s="6">
        <v>45772</v>
      </c>
      <c r="C538" s="6" t="str">
        <f t="shared" si="48"/>
        <v>8 PM - 12 AM</v>
      </c>
      <c r="D538" s="4">
        <v>0.92638888888888893</v>
      </c>
      <c r="E538" t="s">
        <v>23</v>
      </c>
      <c r="F538" t="s">
        <v>51</v>
      </c>
      <c r="G538" t="s">
        <v>73</v>
      </c>
      <c r="H538" t="s">
        <v>62</v>
      </c>
      <c r="I538" t="s">
        <v>98</v>
      </c>
      <c r="J538" t="s">
        <v>93</v>
      </c>
      <c r="K538">
        <v>2</v>
      </c>
      <c r="L538" s="8">
        <v>5050</v>
      </c>
      <c r="M538" s="8" t="str">
        <f t="shared" si="49"/>
        <v>1-10%</v>
      </c>
      <c r="N538">
        <v>10</v>
      </c>
      <c r="O538" t="str">
        <f t="shared" si="50"/>
        <v>Valid</v>
      </c>
      <c r="P538" t="str">
        <f t="shared" si="51"/>
        <v>Match</v>
      </c>
      <c r="Q538" s="8">
        <v>10100</v>
      </c>
      <c r="R538" s="8">
        <v>1010</v>
      </c>
      <c r="S538" s="8">
        <v>9090</v>
      </c>
      <c r="T538" s="8">
        <v>5310.57</v>
      </c>
      <c r="U538" s="8">
        <v>3779.43</v>
      </c>
      <c r="V538" s="8" t="b">
        <f t="shared" si="52"/>
        <v>0</v>
      </c>
      <c r="W538" s="8">
        <f t="shared" si="53"/>
        <v>0</v>
      </c>
      <c r="X538" t="s">
        <v>79</v>
      </c>
      <c r="Y538" t="s">
        <v>70</v>
      </c>
      <c r="Z538" t="s">
        <v>45</v>
      </c>
      <c r="AA538">
        <v>3.5</v>
      </c>
      <c r="AB538" t="s">
        <v>99</v>
      </c>
      <c r="AC538" t="s">
        <v>58</v>
      </c>
    </row>
    <row r="539" spans="1:29" x14ac:dyDescent="0.3">
      <c r="A539" t="s">
        <v>663</v>
      </c>
      <c r="B539" s="6">
        <v>45759</v>
      </c>
      <c r="C539" s="6" t="str">
        <f t="shared" si="48"/>
        <v>8 AM - 12 PM</v>
      </c>
      <c r="D539" s="4">
        <v>0.36388888888888887</v>
      </c>
      <c r="E539" t="s">
        <v>108</v>
      </c>
      <c r="F539" t="s">
        <v>24</v>
      </c>
      <c r="G539" t="s">
        <v>42</v>
      </c>
      <c r="H539" t="s">
        <v>102</v>
      </c>
      <c r="I539" t="s">
        <v>63</v>
      </c>
      <c r="J539" t="s">
        <v>35</v>
      </c>
      <c r="K539">
        <v>1</v>
      </c>
      <c r="L539" s="8">
        <v>116750</v>
      </c>
      <c r="M539" s="8" t="str">
        <f t="shared" si="49"/>
        <v>1-10%</v>
      </c>
      <c r="N539">
        <v>5</v>
      </c>
      <c r="O539" t="str">
        <f t="shared" si="50"/>
        <v>Valid</v>
      </c>
      <c r="P539" t="str">
        <f t="shared" si="51"/>
        <v>Match</v>
      </c>
      <c r="Q539" s="8">
        <v>116750</v>
      </c>
      <c r="R539" s="8">
        <v>5837.5</v>
      </c>
      <c r="S539" s="8">
        <v>110912.5</v>
      </c>
      <c r="T539" s="8">
        <v>85730.47</v>
      </c>
      <c r="U539" s="8">
        <v>25182.03</v>
      </c>
      <c r="V539" s="8" t="b">
        <f t="shared" si="52"/>
        <v>0</v>
      </c>
      <c r="W539" s="8">
        <f t="shared" si="53"/>
        <v>0</v>
      </c>
      <c r="X539" t="s">
        <v>36</v>
      </c>
      <c r="Y539" t="s">
        <v>37</v>
      </c>
      <c r="Z539" t="s">
        <v>56</v>
      </c>
      <c r="AA539">
        <v>4.5</v>
      </c>
      <c r="AB539" t="s">
        <v>99</v>
      </c>
      <c r="AC539" t="s">
        <v>71</v>
      </c>
    </row>
    <row r="540" spans="1:29" x14ac:dyDescent="0.3">
      <c r="A540" t="s">
        <v>664</v>
      </c>
      <c r="B540" s="6">
        <v>45903</v>
      </c>
      <c r="C540" s="6" t="str">
        <f t="shared" si="48"/>
        <v>4 PM - 8 PM</v>
      </c>
      <c r="D540" s="4">
        <v>0.76736111111111116</v>
      </c>
      <c r="E540" t="s">
        <v>69</v>
      </c>
      <c r="F540" t="s">
        <v>51</v>
      </c>
      <c r="G540" t="s">
        <v>153</v>
      </c>
      <c r="H540" t="s">
        <v>62</v>
      </c>
      <c r="I540" t="s">
        <v>103</v>
      </c>
      <c r="J540" t="s">
        <v>35</v>
      </c>
      <c r="K540">
        <v>1</v>
      </c>
      <c r="L540" s="8">
        <v>2150</v>
      </c>
      <c r="M540" s="8" t="str">
        <f t="shared" si="49"/>
        <v>11-20%</v>
      </c>
      <c r="N540">
        <v>15</v>
      </c>
      <c r="O540" t="str">
        <f t="shared" si="50"/>
        <v>Valid</v>
      </c>
      <c r="P540" t="str">
        <f t="shared" si="51"/>
        <v>Match</v>
      </c>
      <c r="Q540" s="8">
        <v>2150</v>
      </c>
      <c r="R540" s="8">
        <v>322.5</v>
      </c>
      <c r="S540" s="8">
        <v>1827.5</v>
      </c>
      <c r="T540" s="8">
        <v>1586.6</v>
      </c>
      <c r="U540" s="8">
        <v>240.9</v>
      </c>
      <c r="V540" s="8" t="b">
        <f t="shared" si="52"/>
        <v>0</v>
      </c>
      <c r="W540" s="8">
        <f t="shared" si="53"/>
        <v>0</v>
      </c>
      <c r="X540" t="s">
        <v>79</v>
      </c>
      <c r="Y540" t="s">
        <v>65</v>
      </c>
      <c r="Z540" t="s">
        <v>80</v>
      </c>
      <c r="AA540">
        <v>4.5</v>
      </c>
      <c r="AB540" t="s">
        <v>155</v>
      </c>
      <c r="AC540" t="s">
        <v>40</v>
      </c>
    </row>
    <row r="541" spans="1:29" x14ac:dyDescent="0.3">
      <c r="A541" t="s">
        <v>665</v>
      </c>
      <c r="B541" s="6">
        <v>45948</v>
      </c>
      <c r="C541" s="6" t="str">
        <f t="shared" si="48"/>
        <v>4 PM - 8 PM</v>
      </c>
      <c r="D541" s="4">
        <v>0.79513888888888884</v>
      </c>
      <c r="E541" t="s">
        <v>622</v>
      </c>
      <c r="F541" t="s">
        <v>24</v>
      </c>
      <c r="G541" t="s">
        <v>120</v>
      </c>
      <c r="H541" t="s">
        <v>74</v>
      </c>
      <c r="I541" t="s">
        <v>92</v>
      </c>
      <c r="J541" t="s">
        <v>35</v>
      </c>
      <c r="K541">
        <v>1</v>
      </c>
      <c r="L541" s="8">
        <v>4450</v>
      </c>
      <c r="M541" s="8" t="str">
        <f t="shared" si="49"/>
        <v>1-10%</v>
      </c>
      <c r="N541">
        <v>10</v>
      </c>
      <c r="O541" t="str">
        <f t="shared" si="50"/>
        <v>Valid</v>
      </c>
      <c r="P541" t="str">
        <f t="shared" si="51"/>
        <v>Match</v>
      </c>
      <c r="Q541" s="8">
        <v>4450</v>
      </c>
      <c r="R541" s="8">
        <v>445</v>
      </c>
      <c r="S541" s="8">
        <v>4005</v>
      </c>
      <c r="T541" s="8">
        <v>3074.52</v>
      </c>
      <c r="U541" s="8">
        <v>930.48</v>
      </c>
      <c r="V541" s="8" t="b">
        <f t="shared" si="52"/>
        <v>0</v>
      </c>
      <c r="W541" s="8">
        <f t="shared" si="53"/>
        <v>0</v>
      </c>
      <c r="X541" t="s">
        <v>79</v>
      </c>
      <c r="Y541" t="s">
        <v>104</v>
      </c>
      <c r="Z541" t="s">
        <v>64</v>
      </c>
      <c r="AA541">
        <v>5</v>
      </c>
      <c r="AB541" t="s">
        <v>57</v>
      </c>
      <c r="AC541" t="s">
        <v>71</v>
      </c>
    </row>
    <row r="542" spans="1:29" x14ac:dyDescent="0.3">
      <c r="A542" t="s">
        <v>666</v>
      </c>
      <c r="B542" s="6">
        <v>45840</v>
      </c>
      <c r="C542" s="6" t="str">
        <f t="shared" si="48"/>
        <v>12 PM - 4 PM</v>
      </c>
      <c r="D542" s="4">
        <v>0.60763888888888884</v>
      </c>
      <c r="E542" t="s">
        <v>32</v>
      </c>
      <c r="F542" t="s">
        <v>24</v>
      </c>
      <c r="G542" t="s">
        <v>33</v>
      </c>
      <c r="H542" t="s">
        <v>62</v>
      </c>
      <c r="I542" t="s">
        <v>54</v>
      </c>
      <c r="J542" t="s">
        <v>35</v>
      </c>
      <c r="K542">
        <v>1</v>
      </c>
      <c r="L542" s="8">
        <v>4200</v>
      </c>
      <c r="M542" s="8" t="str">
        <f t="shared" si="49"/>
        <v>11-20%</v>
      </c>
      <c r="N542">
        <v>15</v>
      </c>
      <c r="O542" t="str">
        <f t="shared" si="50"/>
        <v>Valid</v>
      </c>
      <c r="P542" t="str">
        <f t="shared" si="51"/>
        <v>Match</v>
      </c>
      <c r="Q542" s="8">
        <v>4200</v>
      </c>
      <c r="R542" s="8">
        <v>630</v>
      </c>
      <c r="S542" s="8">
        <v>3570</v>
      </c>
      <c r="T542" s="8">
        <v>2827.45</v>
      </c>
      <c r="U542" s="8">
        <v>742.55</v>
      </c>
      <c r="V542" s="8" t="b">
        <f t="shared" si="52"/>
        <v>0</v>
      </c>
      <c r="W542" s="8">
        <f t="shared" si="53"/>
        <v>0</v>
      </c>
      <c r="X542" t="s">
        <v>79</v>
      </c>
      <c r="Y542" t="s">
        <v>70</v>
      </c>
      <c r="Z542" t="s">
        <v>85</v>
      </c>
      <c r="AA542">
        <v>4.5</v>
      </c>
      <c r="AB542" t="s">
        <v>29</v>
      </c>
      <c r="AC542" t="s">
        <v>40</v>
      </c>
    </row>
    <row r="543" spans="1:29" x14ac:dyDescent="0.3">
      <c r="A543" t="s">
        <v>667</v>
      </c>
      <c r="B543" s="6">
        <v>45841</v>
      </c>
      <c r="C543" s="6" t="str">
        <f t="shared" si="48"/>
        <v>8 PM - 12 AM</v>
      </c>
      <c r="D543" s="4">
        <v>0.87916666666666665</v>
      </c>
      <c r="E543" t="s">
        <v>108</v>
      </c>
      <c r="F543" t="s">
        <v>51</v>
      </c>
      <c r="G543" t="s">
        <v>153</v>
      </c>
      <c r="H543" t="s">
        <v>53</v>
      </c>
      <c r="I543" t="s">
        <v>103</v>
      </c>
      <c r="J543" t="s">
        <v>35</v>
      </c>
      <c r="K543">
        <v>1</v>
      </c>
      <c r="L543" s="8">
        <v>3400</v>
      </c>
      <c r="M543" s="8" t="str">
        <f t="shared" si="49"/>
        <v>21-30%</v>
      </c>
      <c r="N543">
        <v>25</v>
      </c>
      <c r="O543" t="str">
        <f t="shared" si="50"/>
        <v>Valid</v>
      </c>
      <c r="P543" t="str">
        <f t="shared" si="51"/>
        <v>Match</v>
      </c>
      <c r="Q543" s="8">
        <v>3400</v>
      </c>
      <c r="R543" s="8">
        <v>850</v>
      </c>
      <c r="S543" s="8">
        <v>2550</v>
      </c>
      <c r="T543" s="8">
        <v>2219.4299999999998</v>
      </c>
      <c r="U543" s="8">
        <v>330.57</v>
      </c>
      <c r="V543" s="8" t="b">
        <f t="shared" si="52"/>
        <v>0</v>
      </c>
      <c r="W543" s="8">
        <f t="shared" si="53"/>
        <v>0</v>
      </c>
      <c r="X543" t="s">
        <v>46</v>
      </c>
      <c r="Y543" t="s">
        <v>94</v>
      </c>
      <c r="Z543" t="s">
        <v>38</v>
      </c>
      <c r="AA543">
        <v>4</v>
      </c>
      <c r="AB543" t="s">
        <v>29</v>
      </c>
      <c r="AC543" t="s">
        <v>67</v>
      </c>
    </row>
    <row r="544" spans="1:29" x14ac:dyDescent="0.3">
      <c r="A544" t="s">
        <v>668</v>
      </c>
      <c r="B544" s="6">
        <v>45691</v>
      </c>
      <c r="C544" s="6" t="str">
        <f t="shared" si="48"/>
        <v>4 AM - 8 AM</v>
      </c>
      <c r="D544" s="4">
        <v>0.28958333333333336</v>
      </c>
      <c r="E544" t="s">
        <v>32</v>
      </c>
      <c r="F544" t="s">
        <v>51</v>
      </c>
      <c r="G544" t="s">
        <v>153</v>
      </c>
      <c r="H544" t="s">
        <v>62</v>
      </c>
      <c r="I544" t="s">
        <v>44</v>
      </c>
      <c r="J544" t="s">
        <v>35</v>
      </c>
      <c r="K544">
        <v>2</v>
      </c>
      <c r="L544" s="8">
        <v>1050</v>
      </c>
      <c r="M544" s="8" t="str">
        <f t="shared" si="49"/>
        <v>21-30%</v>
      </c>
      <c r="N544">
        <v>30</v>
      </c>
      <c r="O544" t="str">
        <f t="shared" si="50"/>
        <v>Valid</v>
      </c>
      <c r="P544" t="str">
        <f t="shared" si="51"/>
        <v>Match</v>
      </c>
      <c r="Q544" s="8">
        <v>2100</v>
      </c>
      <c r="R544" s="8">
        <v>630</v>
      </c>
      <c r="S544" s="8">
        <v>1470</v>
      </c>
      <c r="T544" s="8">
        <v>1126.6400000000001</v>
      </c>
      <c r="U544" s="8">
        <v>343.36</v>
      </c>
      <c r="V544" s="8" t="b">
        <f t="shared" si="52"/>
        <v>0</v>
      </c>
      <c r="W544" s="8">
        <f t="shared" si="53"/>
        <v>0</v>
      </c>
      <c r="X544" t="s">
        <v>36</v>
      </c>
      <c r="Y544" t="s">
        <v>47</v>
      </c>
      <c r="Z544" t="s">
        <v>38</v>
      </c>
      <c r="AA544">
        <v>4</v>
      </c>
      <c r="AB544" t="s">
        <v>66</v>
      </c>
      <c r="AC544" t="s">
        <v>49</v>
      </c>
    </row>
    <row r="545" spans="1:29" x14ac:dyDescent="0.3">
      <c r="A545" t="s">
        <v>669</v>
      </c>
      <c r="B545" s="6">
        <v>45757</v>
      </c>
      <c r="C545" s="6" t="str">
        <f t="shared" si="48"/>
        <v>12 AM - 4 AM</v>
      </c>
      <c r="D545" s="4">
        <v>7.6388888888888895E-2</v>
      </c>
      <c r="E545" t="s">
        <v>69</v>
      </c>
      <c r="F545" t="s">
        <v>51</v>
      </c>
      <c r="G545" t="s">
        <v>101</v>
      </c>
      <c r="H545" t="s">
        <v>62</v>
      </c>
      <c r="I545" t="s">
        <v>98</v>
      </c>
      <c r="J545" t="s">
        <v>35</v>
      </c>
      <c r="K545">
        <v>3</v>
      </c>
      <c r="L545" s="8">
        <v>4150</v>
      </c>
      <c r="M545" s="8" t="str">
        <f t="shared" si="49"/>
        <v>21-30%</v>
      </c>
      <c r="N545">
        <v>30</v>
      </c>
      <c r="O545" t="str">
        <f t="shared" si="50"/>
        <v>Valid</v>
      </c>
      <c r="P545" t="str">
        <f t="shared" si="51"/>
        <v>Match</v>
      </c>
      <c r="Q545" s="8">
        <v>12450</v>
      </c>
      <c r="R545" s="8">
        <v>3735</v>
      </c>
      <c r="S545" s="8">
        <v>8715</v>
      </c>
      <c r="T545" s="8">
        <v>7893.22</v>
      </c>
      <c r="U545" s="8">
        <v>821.78</v>
      </c>
      <c r="V545" s="8" t="b">
        <f t="shared" si="52"/>
        <v>0</v>
      </c>
      <c r="W545" s="8">
        <f t="shared" si="53"/>
        <v>0</v>
      </c>
      <c r="X545" t="s">
        <v>36</v>
      </c>
      <c r="Y545" t="s">
        <v>37</v>
      </c>
      <c r="Z545" t="s">
        <v>56</v>
      </c>
      <c r="AA545">
        <v>3</v>
      </c>
      <c r="AB545" t="s">
        <v>99</v>
      </c>
      <c r="AC545" t="s">
        <v>67</v>
      </c>
    </row>
    <row r="546" spans="1:29" x14ac:dyDescent="0.3">
      <c r="A546" t="s">
        <v>670</v>
      </c>
      <c r="B546" s="6">
        <v>45879</v>
      </c>
      <c r="C546" s="6" t="str">
        <f t="shared" si="48"/>
        <v>4 PM - 8 PM</v>
      </c>
      <c r="D546" s="4">
        <v>0.77083333333333337</v>
      </c>
      <c r="E546" t="s">
        <v>69</v>
      </c>
      <c r="F546" t="s">
        <v>24</v>
      </c>
      <c r="G546" t="s">
        <v>84</v>
      </c>
      <c r="H546" t="s">
        <v>74</v>
      </c>
      <c r="I546" t="s">
        <v>54</v>
      </c>
      <c r="J546" t="s">
        <v>64</v>
      </c>
      <c r="K546">
        <v>1</v>
      </c>
      <c r="L546" s="8">
        <v>33800</v>
      </c>
      <c r="M546" s="8" t="str">
        <f t="shared" si="49"/>
        <v>21-30%</v>
      </c>
      <c r="N546">
        <v>25</v>
      </c>
      <c r="O546" t="str">
        <f t="shared" si="50"/>
        <v>Valid</v>
      </c>
      <c r="P546" t="str">
        <f t="shared" si="51"/>
        <v>Match</v>
      </c>
      <c r="Q546" s="8">
        <v>33800</v>
      </c>
      <c r="R546" s="8">
        <v>8450</v>
      </c>
      <c r="S546" s="8">
        <v>25350</v>
      </c>
      <c r="T546" s="8">
        <v>17937.18</v>
      </c>
      <c r="U546" s="8">
        <v>7412.82</v>
      </c>
      <c r="V546" s="8" t="b">
        <f t="shared" si="52"/>
        <v>0</v>
      </c>
      <c r="W546" s="8">
        <f t="shared" si="53"/>
        <v>0</v>
      </c>
      <c r="X546" t="s">
        <v>28</v>
      </c>
      <c r="Y546" t="s">
        <v>65</v>
      </c>
      <c r="Z546" t="s">
        <v>80</v>
      </c>
      <c r="AA546">
        <v>3</v>
      </c>
      <c r="AB546" t="s">
        <v>90</v>
      </c>
      <c r="AC546" t="s">
        <v>30</v>
      </c>
    </row>
    <row r="547" spans="1:29" x14ac:dyDescent="0.3">
      <c r="A547" t="s">
        <v>671</v>
      </c>
      <c r="B547" s="6">
        <v>45986</v>
      </c>
      <c r="C547" s="6" t="str">
        <f t="shared" si="48"/>
        <v>8 PM - 12 AM</v>
      </c>
      <c r="D547" s="4">
        <v>0.90347222222222223</v>
      </c>
      <c r="E547" t="s">
        <v>622</v>
      </c>
      <c r="F547" t="s">
        <v>24</v>
      </c>
      <c r="G547" t="s">
        <v>25</v>
      </c>
      <c r="H547" t="s">
        <v>74</v>
      </c>
      <c r="I547" t="s">
        <v>98</v>
      </c>
      <c r="J547" t="s">
        <v>93</v>
      </c>
      <c r="K547">
        <v>3</v>
      </c>
      <c r="L547" s="8">
        <v>6700</v>
      </c>
      <c r="M547" s="8" t="str">
        <f t="shared" si="49"/>
        <v>0%</v>
      </c>
      <c r="N547">
        <v>0</v>
      </c>
      <c r="O547" t="str">
        <f t="shared" si="50"/>
        <v>Valid</v>
      </c>
      <c r="P547" t="str">
        <f t="shared" si="51"/>
        <v>Match</v>
      </c>
      <c r="Q547" s="8">
        <v>20100</v>
      </c>
      <c r="R547" s="8">
        <v>0</v>
      </c>
      <c r="S547" s="8">
        <v>20100</v>
      </c>
      <c r="T547" s="8">
        <v>14599.35</v>
      </c>
      <c r="U547" s="8">
        <v>5500.65</v>
      </c>
      <c r="V547" s="8" t="b">
        <f t="shared" si="52"/>
        <v>0</v>
      </c>
      <c r="W547" s="8">
        <f t="shared" si="53"/>
        <v>0</v>
      </c>
      <c r="X547" t="s">
        <v>55</v>
      </c>
      <c r="Y547" t="s">
        <v>104</v>
      </c>
      <c r="Z547" t="s">
        <v>38</v>
      </c>
      <c r="AA547">
        <v>4</v>
      </c>
      <c r="AB547" t="s">
        <v>75</v>
      </c>
      <c r="AC547" t="s">
        <v>86</v>
      </c>
    </row>
    <row r="548" spans="1:29" x14ac:dyDescent="0.3">
      <c r="A548" t="s">
        <v>672</v>
      </c>
      <c r="B548" s="6">
        <v>46018</v>
      </c>
      <c r="C548" s="6" t="str">
        <f t="shared" si="48"/>
        <v>4 AM - 8 AM</v>
      </c>
      <c r="D548" s="4">
        <v>0.28055555555555556</v>
      </c>
      <c r="E548" t="s">
        <v>32</v>
      </c>
      <c r="F548" t="s">
        <v>24</v>
      </c>
      <c r="G548" t="s">
        <v>33</v>
      </c>
      <c r="H548" t="s">
        <v>102</v>
      </c>
      <c r="I548" t="s">
        <v>82</v>
      </c>
      <c r="J548" t="s">
        <v>35</v>
      </c>
      <c r="K548">
        <v>1</v>
      </c>
      <c r="L548" s="8">
        <v>1750</v>
      </c>
      <c r="M548" s="8" t="str">
        <f t="shared" si="49"/>
        <v>1-10%</v>
      </c>
      <c r="N548">
        <v>10</v>
      </c>
      <c r="O548" t="str">
        <f t="shared" si="50"/>
        <v>Valid</v>
      </c>
      <c r="P548" t="str">
        <f t="shared" si="51"/>
        <v>Match</v>
      </c>
      <c r="Q548" s="8">
        <v>1750</v>
      </c>
      <c r="R548" s="8">
        <v>175</v>
      </c>
      <c r="S548" s="8">
        <v>1575</v>
      </c>
      <c r="T548" s="8">
        <v>1206.9000000000001</v>
      </c>
      <c r="U548" s="8">
        <v>368.1</v>
      </c>
      <c r="V548" s="8" t="b">
        <f t="shared" si="52"/>
        <v>0</v>
      </c>
      <c r="W548" s="8">
        <f t="shared" si="53"/>
        <v>0</v>
      </c>
      <c r="X548" t="s">
        <v>79</v>
      </c>
      <c r="Y548" t="s">
        <v>37</v>
      </c>
      <c r="Z548" t="s">
        <v>80</v>
      </c>
      <c r="AA548">
        <v>5</v>
      </c>
      <c r="AB548" t="s">
        <v>39</v>
      </c>
      <c r="AC548" t="s">
        <v>71</v>
      </c>
    </row>
    <row r="549" spans="1:29" x14ac:dyDescent="0.3">
      <c r="A549" t="s">
        <v>673</v>
      </c>
      <c r="B549" s="6">
        <v>45937</v>
      </c>
      <c r="C549" s="6" t="str">
        <f t="shared" si="48"/>
        <v>8 PM - 12 AM</v>
      </c>
      <c r="D549" s="4">
        <v>0.84166666666666667</v>
      </c>
      <c r="E549" t="s">
        <v>60</v>
      </c>
      <c r="F549" t="s">
        <v>51</v>
      </c>
      <c r="G549" t="s">
        <v>122</v>
      </c>
      <c r="H549" t="s">
        <v>53</v>
      </c>
      <c r="I549" t="s">
        <v>98</v>
      </c>
      <c r="J549" t="s">
        <v>35</v>
      </c>
      <c r="K549">
        <v>2</v>
      </c>
      <c r="L549" s="8">
        <v>4750</v>
      </c>
      <c r="M549" s="8" t="str">
        <f t="shared" si="49"/>
        <v>11-20%</v>
      </c>
      <c r="N549">
        <v>20</v>
      </c>
      <c r="O549" t="str">
        <f t="shared" si="50"/>
        <v>Valid</v>
      </c>
      <c r="P549" t="str">
        <f t="shared" si="51"/>
        <v>Match</v>
      </c>
      <c r="Q549" s="8">
        <v>9500</v>
      </c>
      <c r="R549" s="8">
        <v>1900</v>
      </c>
      <c r="S549" s="8">
        <v>7600</v>
      </c>
      <c r="T549" s="8">
        <v>5763.85</v>
      </c>
      <c r="U549" s="8">
        <v>1836.15</v>
      </c>
      <c r="V549" s="8" t="b">
        <f t="shared" si="52"/>
        <v>0</v>
      </c>
      <c r="W549" s="8">
        <f t="shared" si="53"/>
        <v>0</v>
      </c>
      <c r="X549" t="s">
        <v>28</v>
      </c>
      <c r="Y549" t="s">
        <v>104</v>
      </c>
      <c r="Z549" t="s">
        <v>38</v>
      </c>
      <c r="AA549">
        <v>4</v>
      </c>
      <c r="AB549" t="s">
        <v>57</v>
      </c>
      <c r="AC549" t="s">
        <v>86</v>
      </c>
    </row>
    <row r="550" spans="1:29" x14ac:dyDescent="0.3">
      <c r="A550" t="s">
        <v>674</v>
      </c>
      <c r="B550" s="6">
        <v>45967</v>
      </c>
      <c r="C550" s="6" t="str">
        <f t="shared" si="48"/>
        <v>4 AM - 8 AM</v>
      </c>
      <c r="D550" s="4">
        <v>0.31458333333333333</v>
      </c>
      <c r="E550" t="s">
        <v>60</v>
      </c>
      <c r="F550" t="s">
        <v>24</v>
      </c>
      <c r="G550" t="s">
        <v>33</v>
      </c>
      <c r="H550" t="s">
        <v>62</v>
      </c>
      <c r="I550" t="s">
        <v>98</v>
      </c>
      <c r="J550" t="s">
        <v>93</v>
      </c>
      <c r="K550">
        <v>1</v>
      </c>
      <c r="L550" s="8">
        <v>750</v>
      </c>
      <c r="M550" s="8" t="str">
        <f t="shared" si="49"/>
        <v>0%</v>
      </c>
      <c r="N550">
        <v>0</v>
      </c>
      <c r="O550" t="str">
        <f t="shared" si="50"/>
        <v>Valid</v>
      </c>
      <c r="P550" t="str">
        <f t="shared" si="51"/>
        <v>Match</v>
      </c>
      <c r="Q550" s="8">
        <v>750</v>
      </c>
      <c r="R550" s="8">
        <v>0</v>
      </c>
      <c r="S550" s="8">
        <v>750</v>
      </c>
      <c r="T550" s="8">
        <v>526.05999999999995</v>
      </c>
      <c r="U550" s="8">
        <v>223.94</v>
      </c>
      <c r="V550" s="8" t="b">
        <f t="shared" si="52"/>
        <v>0</v>
      </c>
      <c r="W550" s="8">
        <f t="shared" si="53"/>
        <v>0</v>
      </c>
      <c r="X550" t="s">
        <v>46</v>
      </c>
      <c r="Y550" t="s">
        <v>89</v>
      </c>
      <c r="Z550" t="s">
        <v>64</v>
      </c>
      <c r="AA550">
        <v>4</v>
      </c>
      <c r="AB550" t="s">
        <v>75</v>
      </c>
      <c r="AC550" t="s">
        <v>67</v>
      </c>
    </row>
    <row r="551" spans="1:29" x14ac:dyDescent="0.3">
      <c r="A551" t="s">
        <v>675</v>
      </c>
      <c r="B551" s="6">
        <v>45832</v>
      </c>
      <c r="C551" s="6" t="str">
        <f t="shared" si="48"/>
        <v>8 AM - 12 PM</v>
      </c>
      <c r="D551" s="4">
        <v>0.3347222222222222</v>
      </c>
      <c r="E551" t="s">
        <v>77</v>
      </c>
      <c r="F551" t="s">
        <v>24</v>
      </c>
      <c r="G551" t="s">
        <v>61</v>
      </c>
      <c r="H551" t="s">
        <v>26</v>
      </c>
      <c r="I551" t="s">
        <v>63</v>
      </c>
      <c r="J551" t="s">
        <v>93</v>
      </c>
      <c r="K551">
        <v>2</v>
      </c>
      <c r="L551" s="8">
        <v>27550</v>
      </c>
      <c r="M551" s="8" t="str">
        <f t="shared" si="49"/>
        <v>1-10%</v>
      </c>
      <c r="N551">
        <v>5</v>
      </c>
      <c r="O551" t="str">
        <f t="shared" si="50"/>
        <v>Valid</v>
      </c>
      <c r="P551" t="str">
        <f t="shared" si="51"/>
        <v>Match</v>
      </c>
      <c r="Q551" s="8">
        <v>55100</v>
      </c>
      <c r="R551" s="8">
        <v>2755</v>
      </c>
      <c r="S551" s="8">
        <v>52345</v>
      </c>
      <c r="T551" s="8">
        <v>29505.42</v>
      </c>
      <c r="U551" s="8">
        <v>22839.58</v>
      </c>
      <c r="V551" s="8" t="b">
        <f t="shared" si="52"/>
        <v>0</v>
      </c>
      <c r="W551" s="8">
        <f t="shared" si="53"/>
        <v>0</v>
      </c>
      <c r="X551" t="s">
        <v>28</v>
      </c>
      <c r="Y551" t="s">
        <v>94</v>
      </c>
      <c r="Z551" t="s">
        <v>56</v>
      </c>
      <c r="AA551">
        <v>4</v>
      </c>
      <c r="AB551" t="s">
        <v>48</v>
      </c>
      <c r="AC551" t="s">
        <v>86</v>
      </c>
    </row>
    <row r="552" spans="1:29" x14ac:dyDescent="0.3">
      <c r="A552" t="s">
        <v>676</v>
      </c>
      <c r="B552" s="6">
        <v>45738</v>
      </c>
      <c r="C552" s="6" t="str">
        <f t="shared" si="48"/>
        <v>12 AM - 4 AM</v>
      </c>
      <c r="D552" s="4">
        <v>6.2500000000000003E-3</v>
      </c>
      <c r="E552" t="s">
        <v>60</v>
      </c>
      <c r="F552" t="s">
        <v>24</v>
      </c>
      <c r="G552" t="s">
        <v>61</v>
      </c>
      <c r="H552" t="s">
        <v>53</v>
      </c>
      <c r="I552" t="s">
        <v>44</v>
      </c>
      <c r="J552" t="s">
        <v>35</v>
      </c>
      <c r="K552">
        <v>1</v>
      </c>
      <c r="L552" s="8">
        <v>32200</v>
      </c>
      <c r="M552" s="8" t="str">
        <f t="shared" si="49"/>
        <v>21-30%</v>
      </c>
      <c r="N552">
        <v>30</v>
      </c>
      <c r="O552" t="str">
        <f t="shared" si="50"/>
        <v>Valid</v>
      </c>
      <c r="P552" t="str">
        <f t="shared" si="51"/>
        <v>Match</v>
      </c>
      <c r="Q552" s="8">
        <v>32200</v>
      </c>
      <c r="R552" s="8">
        <v>9660</v>
      </c>
      <c r="S552" s="8">
        <v>22540</v>
      </c>
      <c r="T552" s="8">
        <v>20951.37</v>
      </c>
      <c r="U552" s="8">
        <v>1588.63</v>
      </c>
      <c r="V552" s="8" t="b">
        <f t="shared" si="52"/>
        <v>0</v>
      </c>
      <c r="W552" s="8">
        <f t="shared" si="53"/>
        <v>0</v>
      </c>
      <c r="X552" t="s">
        <v>36</v>
      </c>
      <c r="Y552" t="s">
        <v>94</v>
      </c>
      <c r="Z552" t="s">
        <v>85</v>
      </c>
      <c r="AA552">
        <v>4.5</v>
      </c>
      <c r="AB552" t="s">
        <v>127</v>
      </c>
      <c r="AC552" t="s">
        <v>71</v>
      </c>
    </row>
    <row r="553" spans="1:29" x14ac:dyDescent="0.3">
      <c r="A553" t="s">
        <v>677</v>
      </c>
      <c r="B553" s="6">
        <v>45963</v>
      </c>
      <c r="C553" s="6" t="str">
        <f t="shared" si="48"/>
        <v>12 AM - 4 AM</v>
      </c>
      <c r="D553" s="4">
        <v>0.10625</v>
      </c>
      <c r="E553" t="s">
        <v>77</v>
      </c>
      <c r="F553" t="s">
        <v>96</v>
      </c>
      <c r="G553" t="s">
        <v>134</v>
      </c>
      <c r="H553" t="s">
        <v>34</v>
      </c>
      <c r="I553" t="s">
        <v>44</v>
      </c>
      <c r="J553" t="s">
        <v>35</v>
      </c>
      <c r="K553">
        <v>3</v>
      </c>
      <c r="L553" s="8">
        <v>5150</v>
      </c>
      <c r="M553" s="8" t="str">
        <f t="shared" si="49"/>
        <v>21-30%</v>
      </c>
      <c r="N553">
        <v>30</v>
      </c>
      <c r="O553" t="str">
        <f t="shared" si="50"/>
        <v>Valid</v>
      </c>
      <c r="P553" t="str">
        <f t="shared" si="51"/>
        <v>Match</v>
      </c>
      <c r="Q553" s="8">
        <v>15450</v>
      </c>
      <c r="R553" s="8">
        <v>4635</v>
      </c>
      <c r="S553" s="8">
        <v>10815</v>
      </c>
      <c r="T553" s="8">
        <v>8875.1299999999992</v>
      </c>
      <c r="U553" s="8">
        <v>1939.87</v>
      </c>
      <c r="V553" s="8" t="b">
        <f t="shared" si="52"/>
        <v>0</v>
      </c>
      <c r="W553" s="8">
        <f t="shared" si="53"/>
        <v>0</v>
      </c>
      <c r="X553" t="s">
        <v>55</v>
      </c>
      <c r="Y553" t="s">
        <v>47</v>
      </c>
      <c r="Z553" t="s">
        <v>85</v>
      </c>
      <c r="AA553">
        <v>3</v>
      </c>
      <c r="AB553" t="s">
        <v>75</v>
      </c>
      <c r="AC553" t="s">
        <v>30</v>
      </c>
    </row>
    <row r="554" spans="1:29" x14ac:dyDescent="0.3">
      <c r="A554" t="s">
        <v>678</v>
      </c>
      <c r="B554" s="6">
        <v>45997</v>
      </c>
      <c r="C554" s="6" t="str">
        <f t="shared" si="48"/>
        <v>12 PM - 4 PM</v>
      </c>
      <c r="D554" s="4">
        <v>0.6479166666666667</v>
      </c>
      <c r="E554" t="s">
        <v>77</v>
      </c>
      <c r="F554" t="s">
        <v>96</v>
      </c>
      <c r="G554" t="s">
        <v>115</v>
      </c>
      <c r="H554" t="s">
        <v>113</v>
      </c>
      <c r="I554" t="s">
        <v>44</v>
      </c>
      <c r="J554" t="s">
        <v>85</v>
      </c>
      <c r="K554">
        <v>1</v>
      </c>
      <c r="L554" s="8">
        <v>9200</v>
      </c>
      <c r="M554" s="8" t="str">
        <f t="shared" si="49"/>
        <v>11-20%</v>
      </c>
      <c r="N554">
        <v>20</v>
      </c>
      <c r="O554" t="str">
        <f t="shared" si="50"/>
        <v>Valid</v>
      </c>
      <c r="P554" t="str">
        <f t="shared" si="51"/>
        <v>Match</v>
      </c>
      <c r="Q554" s="8">
        <v>9200</v>
      </c>
      <c r="R554" s="8">
        <v>1840</v>
      </c>
      <c r="S554" s="8">
        <v>7360</v>
      </c>
      <c r="T554" s="8">
        <v>5441.9</v>
      </c>
      <c r="U554" s="8">
        <v>1918.1</v>
      </c>
      <c r="V554" s="8" t="b">
        <f t="shared" si="52"/>
        <v>0</v>
      </c>
      <c r="W554" s="8">
        <f t="shared" si="53"/>
        <v>0</v>
      </c>
      <c r="X554" t="s">
        <v>79</v>
      </c>
      <c r="Y554" t="s">
        <v>47</v>
      </c>
      <c r="Z554" t="s">
        <v>38</v>
      </c>
      <c r="AA554">
        <v>4.5</v>
      </c>
      <c r="AB554" t="s">
        <v>39</v>
      </c>
      <c r="AC554" t="s">
        <v>71</v>
      </c>
    </row>
    <row r="555" spans="1:29" x14ac:dyDescent="0.3">
      <c r="A555" t="s">
        <v>679</v>
      </c>
      <c r="B555" s="6">
        <v>45977</v>
      </c>
      <c r="C555" s="6" t="str">
        <f t="shared" si="48"/>
        <v>8 PM - 12 AM</v>
      </c>
      <c r="D555" s="4">
        <v>0.90208333333333335</v>
      </c>
      <c r="E555" t="s">
        <v>77</v>
      </c>
      <c r="F555" t="s">
        <v>24</v>
      </c>
      <c r="G555" t="s">
        <v>110</v>
      </c>
      <c r="H555" t="s">
        <v>102</v>
      </c>
      <c r="I555" t="s">
        <v>27</v>
      </c>
      <c r="J555" t="s">
        <v>35</v>
      </c>
      <c r="K555">
        <v>1</v>
      </c>
      <c r="L555" s="8">
        <v>4950</v>
      </c>
      <c r="M555" s="8" t="str">
        <f t="shared" si="49"/>
        <v>21-30%</v>
      </c>
      <c r="N555">
        <v>25</v>
      </c>
      <c r="O555" t="str">
        <f t="shared" si="50"/>
        <v>Valid</v>
      </c>
      <c r="P555" t="str">
        <f t="shared" si="51"/>
        <v>Match</v>
      </c>
      <c r="Q555" s="8">
        <v>4950</v>
      </c>
      <c r="R555" s="8">
        <v>1237.5</v>
      </c>
      <c r="S555" s="8">
        <v>3712.5</v>
      </c>
      <c r="T555" s="8">
        <v>2928.16</v>
      </c>
      <c r="U555" s="8">
        <v>784.34</v>
      </c>
      <c r="V555" s="8" t="b">
        <f t="shared" si="52"/>
        <v>0</v>
      </c>
      <c r="W555" s="8">
        <f t="shared" si="53"/>
        <v>0</v>
      </c>
      <c r="X555" t="s">
        <v>46</v>
      </c>
      <c r="Y555" t="s">
        <v>94</v>
      </c>
      <c r="Z555" t="s">
        <v>85</v>
      </c>
      <c r="AA555">
        <v>4</v>
      </c>
      <c r="AB555" t="s">
        <v>75</v>
      </c>
      <c r="AC555" t="s">
        <v>30</v>
      </c>
    </row>
    <row r="556" spans="1:29" x14ac:dyDescent="0.3">
      <c r="A556" t="s">
        <v>680</v>
      </c>
      <c r="B556" s="6">
        <v>45676</v>
      </c>
      <c r="C556" s="6" t="str">
        <f t="shared" si="48"/>
        <v>8 PM - 12 AM</v>
      </c>
      <c r="D556" s="4">
        <v>0.86111111111111116</v>
      </c>
      <c r="E556" t="s">
        <v>622</v>
      </c>
      <c r="F556" t="s">
        <v>51</v>
      </c>
      <c r="G556" t="s">
        <v>140</v>
      </c>
      <c r="H556" t="s">
        <v>26</v>
      </c>
      <c r="I556" t="s">
        <v>98</v>
      </c>
      <c r="J556" t="s">
        <v>35</v>
      </c>
      <c r="K556">
        <v>2</v>
      </c>
      <c r="L556" s="8">
        <v>2900</v>
      </c>
      <c r="M556" s="8" t="str">
        <f t="shared" si="49"/>
        <v>21-30%</v>
      </c>
      <c r="N556">
        <v>30</v>
      </c>
      <c r="O556" t="str">
        <f t="shared" si="50"/>
        <v>Valid</v>
      </c>
      <c r="P556" t="str">
        <f t="shared" si="51"/>
        <v>Match</v>
      </c>
      <c r="Q556" s="8">
        <v>5800</v>
      </c>
      <c r="R556" s="8">
        <v>1740</v>
      </c>
      <c r="S556" s="8">
        <v>4060</v>
      </c>
      <c r="T556" s="8">
        <v>4135.78</v>
      </c>
      <c r="U556" s="8">
        <v>-75.78</v>
      </c>
      <c r="V556" s="8" t="b">
        <f t="shared" si="52"/>
        <v>0</v>
      </c>
      <c r="W556" s="8">
        <f t="shared" si="53"/>
        <v>0</v>
      </c>
      <c r="X556" t="s">
        <v>28</v>
      </c>
      <c r="Y556" t="s">
        <v>94</v>
      </c>
      <c r="Z556" t="s">
        <v>85</v>
      </c>
      <c r="AA556">
        <v>4</v>
      </c>
      <c r="AB556" t="s">
        <v>151</v>
      </c>
      <c r="AC556" t="s">
        <v>30</v>
      </c>
    </row>
    <row r="557" spans="1:29" x14ac:dyDescent="0.3">
      <c r="A557" t="s">
        <v>681</v>
      </c>
      <c r="B557" s="6">
        <v>45750</v>
      </c>
      <c r="C557" s="6" t="str">
        <f t="shared" si="48"/>
        <v>4 AM - 8 AM</v>
      </c>
      <c r="D557" s="4">
        <v>0.21597222222222223</v>
      </c>
      <c r="E557" t="s">
        <v>622</v>
      </c>
      <c r="F557" t="s">
        <v>24</v>
      </c>
      <c r="G557" t="s">
        <v>42</v>
      </c>
      <c r="H557" t="s">
        <v>26</v>
      </c>
      <c r="I557" t="s">
        <v>54</v>
      </c>
      <c r="J557" t="s">
        <v>45</v>
      </c>
      <c r="K557">
        <v>1</v>
      </c>
      <c r="L557" s="8">
        <v>49400</v>
      </c>
      <c r="M557" s="8" t="str">
        <f t="shared" si="49"/>
        <v>11-20%</v>
      </c>
      <c r="N557">
        <v>15</v>
      </c>
      <c r="O557" t="str">
        <f t="shared" si="50"/>
        <v>Valid</v>
      </c>
      <c r="P557" t="str">
        <f t="shared" si="51"/>
        <v>Match</v>
      </c>
      <c r="Q557" s="8">
        <v>49400</v>
      </c>
      <c r="R557" s="8">
        <v>7410</v>
      </c>
      <c r="S557" s="8">
        <v>41990</v>
      </c>
      <c r="T557" s="8">
        <v>31838.51</v>
      </c>
      <c r="U557" s="8">
        <v>10151.49</v>
      </c>
      <c r="V557" s="8" t="b">
        <f t="shared" si="52"/>
        <v>0</v>
      </c>
      <c r="W557" s="8">
        <f t="shared" si="53"/>
        <v>0</v>
      </c>
      <c r="X557" t="s">
        <v>36</v>
      </c>
      <c r="Y557" t="s">
        <v>104</v>
      </c>
      <c r="Z557" t="s">
        <v>64</v>
      </c>
      <c r="AA557">
        <v>4</v>
      </c>
      <c r="AB557" t="s">
        <v>99</v>
      </c>
      <c r="AC557" t="s">
        <v>67</v>
      </c>
    </row>
    <row r="558" spans="1:29" x14ac:dyDescent="0.3">
      <c r="A558" t="s">
        <v>682</v>
      </c>
      <c r="B558" s="6">
        <v>45805</v>
      </c>
      <c r="C558" s="6" t="str">
        <f t="shared" si="48"/>
        <v>4 PM - 8 PM</v>
      </c>
      <c r="D558" s="4">
        <v>0.72847222222222219</v>
      </c>
      <c r="E558" t="s">
        <v>77</v>
      </c>
      <c r="F558" t="s">
        <v>96</v>
      </c>
      <c r="G558" t="s">
        <v>115</v>
      </c>
      <c r="H558" t="s">
        <v>43</v>
      </c>
      <c r="I558" t="s">
        <v>44</v>
      </c>
      <c r="J558" t="s">
        <v>45</v>
      </c>
      <c r="K558">
        <v>2</v>
      </c>
      <c r="L558" s="8">
        <v>10150</v>
      </c>
      <c r="M558" s="8" t="str">
        <f t="shared" si="49"/>
        <v>21-30%</v>
      </c>
      <c r="N558">
        <v>25</v>
      </c>
      <c r="O558" t="str">
        <f t="shared" si="50"/>
        <v>Valid</v>
      </c>
      <c r="P558" t="str">
        <f t="shared" si="51"/>
        <v>Match</v>
      </c>
      <c r="Q558" s="8">
        <v>20300</v>
      </c>
      <c r="R558" s="8">
        <v>5075</v>
      </c>
      <c r="S558" s="8">
        <v>15225</v>
      </c>
      <c r="T558" s="8">
        <v>14720.42</v>
      </c>
      <c r="U558" s="8">
        <v>504.58</v>
      </c>
      <c r="V558" s="8" t="b">
        <f t="shared" si="52"/>
        <v>0</v>
      </c>
      <c r="W558" s="8">
        <f t="shared" si="53"/>
        <v>0</v>
      </c>
      <c r="X558" t="s">
        <v>36</v>
      </c>
      <c r="Y558" t="s">
        <v>70</v>
      </c>
      <c r="Z558" t="s">
        <v>1138</v>
      </c>
      <c r="AA558">
        <v>3.5</v>
      </c>
      <c r="AB558" t="s">
        <v>111</v>
      </c>
      <c r="AC558" t="s">
        <v>40</v>
      </c>
    </row>
    <row r="559" spans="1:29" x14ac:dyDescent="0.3">
      <c r="A559" t="s">
        <v>683</v>
      </c>
      <c r="B559" s="6">
        <v>45687</v>
      </c>
      <c r="C559" s="6" t="str">
        <f t="shared" si="48"/>
        <v>12 PM - 4 PM</v>
      </c>
      <c r="D559" s="4">
        <v>0.50555555555555554</v>
      </c>
      <c r="E559" t="s">
        <v>23</v>
      </c>
      <c r="F559" t="s">
        <v>24</v>
      </c>
      <c r="G559" t="s">
        <v>84</v>
      </c>
      <c r="H559" t="s">
        <v>113</v>
      </c>
      <c r="I559" t="s">
        <v>63</v>
      </c>
      <c r="J559" t="s">
        <v>35</v>
      </c>
      <c r="K559">
        <v>1</v>
      </c>
      <c r="L559" s="8">
        <v>27250</v>
      </c>
      <c r="M559" s="8" t="str">
        <f t="shared" si="49"/>
        <v>0%</v>
      </c>
      <c r="N559">
        <v>0</v>
      </c>
      <c r="O559" t="str">
        <f t="shared" si="50"/>
        <v>Valid</v>
      </c>
      <c r="P559" t="str">
        <f t="shared" si="51"/>
        <v>Match</v>
      </c>
      <c r="Q559" s="8">
        <v>27250</v>
      </c>
      <c r="R559" s="8">
        <v>0</v>
      </c>
      <c r="S559" s="8">
        <v>27250</v>
      </c>
      <c r="T559" s="8">
        <v>17172.97</v>
      </c>
      <c r="U559" s="8">
        <v>10077.030000000001</v>
      </c>
      <c r="V559" s="8" t="b">
        <f t="shared" si="52"/>
        <v>0</v>
      </c>
      <c r="W559" s="8">
        <f t="shared" si="53"/>
        <v>0</v>
      </c>
      <c r="X559" t="s">
        <v>55</v>
      </c>
      <c r="Y559" t="s">
        <v>94</v>
      </c>
      <c r="Z559" t="s">
        <v>56</v>
      </c>
      <c r="AA559">
        <v>3.5</v>
      </c>
      <c r="AB559" t="s">
        <v>151</v>
      </c>
      <c r="AC559" t="s">
        <v>67</v>
      </c>
    </row>
    <row r="560" spans="1:29" x14ac:dyDescent="0.3">
      <c r="A560" t="s">
        <v>684</v>
      </c>
      <c r="B560" s="6">
        <v>45690</v>
      </c>
      <c r="C560" s="6" t="str">
        <f t="shared" si="48"/>
        <v>4 PM - 8 PM</v>
      </c>
      <c r="D560" s="4">
        <v>0.7368055555555556</v>
      </c>
      <c r="E560" t="s">
        <v>60</v>
      </c>
      <c r="F560" t="s">
        <v>24</v>
      </c>
      <c r="G560" t="s">
        <v>33</v>
      </c>
      <c r="H560" t="s">
        <v>62</v>
      </c>
      <c r="I560" t="s">
        <v>98</v>
      </c>
      <c r="J560" t="s">
        <v>85</v>
      </c>
      <c r="K560">
        <v>5</v>
      </c>
      <c r="L560" s="8">
        <v>800</v>
      </c>
      <c r="M560" s="8" t="str">
        <f t="shared" si="49"/>
        <v>1-10%</v>
      </c>
      <c r="N560">
        <v>5</v>
      </c>
      <c r="O560" t="str">
        <f t="shared" si="50"/>
        <v>Valid</v>
      </c>
      <c r="P560" t="str">
        <f t="shared" si="51"/>
        <v>Match</v>
      </c>
      <c r="Q560" s="8">
        <v>4000</v>
      </c>
      <c r="R560" s="8">
        <v>200</v>
      </c>
      <c r="S560" s="8">
        <v>3800</v>
      </c>
      <c r="T560" s="8">
        <v>2510.52</v>
      </c>
      <c r="U560" s="8">
        <v>1289.48</v>
      </c>
      <c r="V560" s="8" t="b">
        <f t="shared" si="52"/>
        <v>0</v>
      </c>
      <c r="W560" s="8">
        <f t="shared" si="53"/>
        <v>0</v>
      </c>
      <c r="X560" t="s">
        <v>79</v>
      </c>
      <c r="Y560" t="s">
        <v>37</v>
      </c>
      <c r="Z560" t="s">
        <v>56</v>
      </c>
      <c r="AA560">
        <v>3</v>
      </c>
      <c r="AB560" t="s">
        <v>66</v>
      </c>
      <c r="AC560" t="s">
        <v>30</v>
      </c>
    </row>
    <row r="561" spans="1:29" x14ac:dyDescent="0.3">
      <c r="A561" t="s">
        <v>685</v>
      </c>
      <c r="B561" s="6">
        <v>45762</v>
      </c>
      <c r="C561" s="6" t="str">
        <f t="shared" si="48"/>
        <v>12 PM - 4 PM</v>
      </c>
      <c r="D561" s="4">
        <v>0.56597222222222221</v>
      </c>
      <c r="E561" t="s">
        <v>108</v>
      </c>
      <c r="F561" t="s">
        <v>24</v>
      </c>
      <c r="G561" t="s">
        <v>88</v>
      </c>
      <c r="H561" t="s">
        <v>102</v>
      </c>
      <c r="I561" t="s">
        <v>82</v>
      </c>
      <c r="J561" t="s">
        <v>45</v>
      </c>
      <c r="K561">
        <v>2</v>
      </c>
      <c r="L561" s="8">
        <v>3050</v>
      </c>
      <c r="M561" s="8" t="str">
        <f t="shared" si="49"/>
        <v>21-30%</v>
      </c>
      <c r="N561">
        <v>25</v>
      </c>
      <c r="O561" t="str">
        <f t="shared" si="50"/>
        <v>Valid</v>
      </c>
      <c r="P561" t="str">
        <f t="shared" si="51"/>
        <v>Match</v>
      </c>
      <c r="Q561" s="8">
        <v>6100</v>
      </c>
      <c r="R561" s="8">
        <v>1525</v>
      </c>
      <c r="S561" s="8">
        <v>4575</v>
      </c>
      <c r="T561" s="8">
        <v>3705.38</v>
      </c>
      <c r="U561" s="8">
        <v>869.62</v>
      </c>
      <c r="V561" s="8" t="b">
        <f t="shared" si="52"/>
        <v>0</v>
      </c>
      <c r="W561" s="8">
        <f t="shared" si="53"/>
        <v>0</v>
      </c>
      <c r="X561" t="s">
        <v>55</v>
      </c>
      <c r="Y561" t="s">
        <v>89</v>
      </c>
      <c r="Z561" t="s">
        <v>64</v>
      </c>
      <c r="AA561">
        <v>4.5</v>
      </c>
      <c r="AB561" t="s">
        <v>99</v>
      </c>
      <c r="AC561" t="s">
        <v>86</v>
      </c>
    </row>
    <row r="562" spans="1:29" x14ac:dyDescent="0.3">
      <c r="A562" t="s">
        <v>686</v>
      </c>
      <c r="B562" s="6">
        <v>45805</v>
      </c>
      <c r="C562" s="6" t="str">
        <f t="shared" si="48"/>
        <v>12 PM - 4 PM</v>
      </c>
      <c r="D562" s="4">
        <v>0.58819444444444446</v>
      </c>
      <c r="E562" t="s">
        <v>77</v>
      </c>
      <c r="F562" t="s">
        <v>24</v>
      </c>
      <c r="G562" t="s">
        <v>84</v>
      </c>
      <c r="H562" t="s">
        <v>43</v>
      </c>
      <c r="I562" t="s">
        <v>27</v>
      </c>
      <c r="J562" t="s">
        <v>45</v>
      </c>
      <c r="K562">
        <v>2</v>
      </c>
      <c r="L562" s="8">
        <v>28100</v>
      </c>
      <c r="M562" s="8" t="str">
        <f t="shared" si="49"/>
        <v>21-30%</v>
      </c>
      <c r="N562">
        <v>30</v>
      </c>
      <c r="O562" t="str">
        <f t="shared" si="50"/>
        <v>Valid</v>
      </c>
      <c r="P562" t="str">
        <f t="shared" si="51"/>
        <v>Match</v>
      </c>
      <c r="Q562" s="8">
        <v>56200</v>
      </c>
      <c r="R562" s="8">
        <v>16860</v>
      </c>
      <c r="S562" s="8">
        <v>39340</v>
      </c>
      <c r="T562" s="8">
        <v>36261.68</v>
      </c>
      <c r="U562" s="8">
        <v>3078.32</v>
      </c>
      <c r="V562" s="8" t="b">
        <f t="shared" si="52"/>
        <v>0</v>
      </c>
      <c r="W562" s="8">
        <f t="shared" si="53"/>
        <v>0</v>
      </c>
      <c r="X562" t="s">
        <v>46</v>
      </c>
      <c r="Y562" t="s">
        <v>47</v>
      </c>
      <c r="Z562" t="s">
        <v>45</v>
      </c>
      <c r="AA562">
        <v>4.5</v>
      </c>
      <c r="AB562" t="s">
        <v>111</v>
      </c>
      <c r="AC562" t="s">
        <v>40</v>
      </c>
    </row>
    <row r="563" spans="1:29" x14ac:dyDescent="0.3">
      <c r="A563" t="s">
        <v>687</v>
      </c>
      <c r="B563" s="6">
        <v>46005</v>
      </c>
      <c r="C563" s="6" t="str">
        <f t="shared" si="48"/>
        <v>8 AM - 12 PM</v>
      </c>
      <c r="D563" s="4">
        <v>0.4152777777777778</v>
      </c>
      <c r="E563" t="s">
        <v>77</v>
      </c>
      <c r="F563" t="s">
        <v>24</v>
      </c>
      <c r="G563" t="s">
        <v>110</v>
      </c>
      <c r="H563" t="s">
        <v>62</v>
      </c>
      <c r="I563" t="s">
        <v>92</v>
      </c>
      <c r="J563" t="s">
        <v>64</v>
      </c>
      <c r="K563">
        <v>2</v>
      </c>
      <c r="L563" s="8">
        <v>2100</v>
      </c>
      <c r="M563" s="8" t="str">
        <f t="shared" si="49"/>
        <v>1-10%</v>
      </c>
      <c r="N563">
        <v>10</v>
      </c>
      <c r="O563" t="str">
        <f t="shared" si="50"/>
        <v>Valid</v>
      </c>
      <c r="P563" t="str">
        <f t="shared" si="51"/>
        <v>Match</v>
      </c>
      <c r="Q563" s="8">
        <v>4200</v>
      </c>
      <c r="R563" s="8">
        <v>420</v>
      </c>
      <c r="S563" s="8">
        <v>3780</v>
      </c>
      <c r="T563" s="8">
        <v>2460.96</v>
      </c>
      <c r="U563" s="8">
        <v>1319.04</v>
      </c>
      <c r="V563" s="8" t="b">
        <f t="shared" si="52"/>
        <v>0</v>
      </c>
      <c r="W563" s="8">
        <f t="shared" si="53"/>
        <v>0</v>
      </c>
      <c r="X563" t="s">
        <v>55</v>
      </c>
      <c r="Y563" t="s">
        <v>47</v>
      </c>
      <c r="Z563" t="s">
        <v>38</v>
      </c>
      <c r="AA563">
        <v>4.5</v>
      </c>
      <c r="AB563" t="s">
        <v>39</v>
      </c>
      <c r="AC563" t="s">
        <v>30</v>
      </c>
    </row>
    <row r="564" spans="1:29" x14ac:dyDescent="0.3">
      <c r="A564" t="s">
        <v>688</v>
      </c>
      <c r="B564" s="6">
        <v>45881</v>
      </c>
      <c r="C564" s="6" t="str">
        <f t="shared" si="48"/>
        <v>8 PM - 12 AM</v>
      </c>
      <c r="D564" s="4">
        <v>0.85486111111111107</v>
      </c>
      <c r="E564" t="s">
        <v>32</v>
      </c>
      <c r="F564" t="s">
        <v>24</v>
      </c>
      <c r="G564" t="s">
        <v>61</v>
      </c>
      <c r="H564" t="s">
        <v>26</v>
      </c>
      <c r="I564" t="s">
        <v>125</v>
      </c>
      <c r="J564" t="s">
        <v>35</v>
      </c>
      <c r="K564">
        <v>1</v>
      </c>
      <c r="L564" s="8">
        <v>19800</v>
      </c>
      <c r="M564" s="8" t="str">
        <f t="shared" si="49"/>
        <v>1-10%</v>
      </c>
      <c r="N564">
        <v>5</v>
      </c>
      <c r="O564" t="str">
        <f t="shared" si="50"/>
        <v>Valid</v>
      </c>
      <c r="P564" t="str">
        <f t="shared" si="51"/>
        <v>Match</v>
      </c>
      <c r="Q564" s="8">
        <v>19800</v>
      </c>
      <c r="R564" s="8">
        <v>990</v>
      </c>
      <c r="S564" s="8">
        <v>18810</v>
      </c>
      <c r="T564" s="8">
        <v>13486.13</v>
      </c>
      <c r="U564" s="8">
        <v>5323.87</v>
      </c>
      <c r="V564" s="8" t="b">
        <f t="shared" si="52"/>
        <v>0</v>
      </c>
      <c r="W564" s="8">
        <f t="shared" si="53"/>
        <v>0</v>
      </c>
      <c r="X564" t="s">
        <v>28</v>
      </c>
      <c r="Y564" t="s">
        <v>89</v>
      </c>
      <c r="Z564" t="s">
        <v>64</v>
      </c>
      <c r="AA564">
        <v>3.5</v>
      </c>
      <c r="AB564" t="s">
        <v>90</v>
      </c>
      <c r="AC564" t="s">
        <v>86</v>
      </c>
    </row>
    <row r="565" spans="1:29" x14ac:dyDescent="0.3">
      <c r="A565" t="s">
        <v>689</v>
      </c>
      <c r="B565" s="6">
        <v>45876</v>
      </c>
      <c r="C565" s="6" t="str">
        <f t="shared" si="48"/>
        <v>4 AM - 8 AM</v>
      </c>
      <c r="D565" s="4">
        <v>0.28194444444444444</v>
      </c>
      <c r="E565" t="s">
        <v>23</v>
      </c>
      <c r="F565" t="s">
        <v>24</v>
      </c>
      <c r="G565" t="s">
        <v>25</v>
      </c>
      <c r="H565" t="s">
        <v>74</v>
      </c>
      <c r="I565" t="s">
        <v>27</v>
      </c>
      <c r="J565" t="s">
        <v>85</v>
      </c>
      <c r="K565">
        <v>1</v>
      </c>
      <c r="L565" s="8">
        <v>3000</v>
      </c>
      <c r="M565" s="8" t="str">
        <f t="shared" si="49"/>
        <v>1-10%</v>
      </c>
      <c r="N565">
        <v>10</v>
      </c>
      <c r="O565" t="str">
        <f t="shared" si="50"/>
        <v>Valid</v>
      </c>
      <c r="P565" t="str">
        <f t="shared" si="51"/>
        <v>Match</v>
      </c>
      <c r="Q565" s="8">
        <v>3000</v>
      </c>
      <c r="R565" s="8">
        <v>300</v>
      </c>
      <c r="S565" s="8">
        <v>2700</v>
      </c>
      <c r="T565" s="8">
        <v>1834.28</v>
      </c>
      <c r="U565" s="8">
        <v>865.72</v>
      </c>
      <c r="V565" s="8" t="b">
        <f t="shared" si="52"/>
        <v>0</v>
      </c>
      <c r="W565" s="8">
        <f t="shared" si="53"/>
        <v>0</v>
      </c>
      <c r="X565" t="s">
        <v>46</v>
      </c>
      <c r="Y565" t="s">
        <v>70</v>
      </c>
      <c r="Z565" t="s">
        <v>45</v>
      </c>
      <c r="AA565">
        <v>4</v>
      </c>
      <c r="AB565" t="s">
        <v>90</v>
      </c>
      <c r="AC565" t="s">
        <v>67</v>
      </c>
    </row>
    <row r="566" spans="1:29" x14ac:dyDescent="0.3">
      <c r="A566" t="s">
        <v>690</v>
      </c>
      <c r="B566" s="6">
        <v>45670</v>
      </c>
      <c r="C566" s="6" t="str">
        <f t="shared" si="48"/>
        <v>4 PM - 8 PM</v>
      </c>
      <c r="D566" s="4">
        <v>0.72013888888888888</v>
      </c>
      <c r="E566" t="s">
        <v>23</v>
      </c>
      <c r="F566" t="s">
        <v>96</v>
      </c>
      <c r="G566" t="s">
        <v>129</v>
      </c>
      <c r="H566" t="s">
        <v>102</v>
      </c>
      <c r="I566" t="s">
        <v>103</v>
      </c>
      <c r="J566" t="s">
        <v>35</v>
      </c>
      <c r="K566">
        <v>1</v>
      </c>
      <c r="L566" s="8">
        <v>1550</v>
      </c>
      <c r="M566" s="8" t="str">
        <f t="shared" si="49"/>
        <v>1-10%</v>
      </c>
      <c r="N566">
        <v>10</v>
      </c>
      <c r="O566" t="str">
        <f t="shared" si="50"/>
        <v>Valid</v>
      </c>
      <c r="P566" t="str">
        <f t="shared" si="51"/>
        <v>Match</v>
      </c>
      <c r="Q566" s="8">
        <v>1550</v>
      </c>
      <c r="R566" s="8">
        <v>155</v>
      </c>
      <c r="S566" s="8">
        <v>1395</v>
      </c>
      <c r="T566" s="8">
        <v>1067.49</v>
      </c>
      <c r="U566" s="8">
        <v>327.51</v>
      </c>
      <c r="V566" s="8" t="b">
        <f t="shared" si="52"/>
        <v>0</v>
      </c>
      <c r="W566" s="8">
        <f t="shared" si="53"/>
        <v>0</v>
      </c>
      <c r="X566" t="s">
        <v>46</v>
      </c>
      <c r="Y566" t="s">
        <v>47</v>
      </c>
      <c r="Z566" t="s">
        <v>45</v>
      </c>
      <c r="AA566">
        <v>4</v>
      </c>
      <c r="AB566" t="s">
        <v>151</v>
      </c>
      <c r="AC566" t="s">
        <v>49</v>
      </c>
    </row>
    <row r="567" spans="1:29" x14ac:dyDescent="0.3">
      <c r="A567" t="s">
        <v>691</v>
      </c>
      <c r="B567" s="6">
        <v>45701</v>
      </c>
      <c r="C567" s="6" t="str">
        <f t="shared" si="48"/>
        <v>4 AM - 8 AM</v>
      </c>
      <c r="D567" s="4">
        <v>0.26944444444444443</v>
      </c>
      <c r="E567" t="s">
        <v>69</v>
      </c>
      <c r="F567" t="s">
        <v>96</v>
      </c>
      <c r="G567" t="s">
        <v>115</v>
      </c>
      <c r="H567" t="s">
        <v>26</v>
      </c>
      <c r="I567" t="s">
        <v>98</v>
      </c>
      <c r="J567" t="s">
        <v>78</v>
      </c>
      <c r="K567">
        <v>2</v>
      </c>
      <c r="L567" s="8">
        <v>10850</v>
      </c>
      <c r="M567" s="8" t="str">
        <f t="shared" si="49"/>
        <v>21-30%</v>
      </c>
      <c r="N567">
        <v>30</v>
      </c>
      <c r="O567" t="str">
        <f t="shared" si="50"/>
        <v>Valid</v>
      </c>
      <c r="P567" t="str">
        <f t="shared" si="51"/>
        <v>Match</v>
      </c>
      <c r="Q567" s="8">
        <v>21700</v>
      </c>
      <c r="R567" s="8">
        <v>6510</v>
      </c>
      <c r="S567" s="8">
        <v>15190</v>
      </c>
      <c r="T567" s="8">
        <v>12637.21</v>
      </c>
      <c r="U567" s="8">
        <v>2552.79</v>
      </c>
      <c r="V567" s="8" t="b">
        <f t="shared" si="52"/>
        <v>0</v>
      </c>
      <c r="W567" s="8">
        <f t="shared" si="53"/>
        <v>0</v>
      </c>
      <c r="X567" t="s">
        <v>55</v>
      </c>
      <c r="Y567" t="s">
        <v>94</v>
      </c>
      <c r="Z567" t="s">
        <v>85</v>
      </c>
      <c r="AA567">
        <v>3.5</v>
      </c>
      <c r="AB567" t="s">
        <v>66</v>
      </c>
      <c r="AC567" t="s">
        <v>67</v>
      </c>
    </row>
    <row r="568" spans="1:29" x14ac:dyDescent="0.3">
      <c r="A568" t="s">
        <v>692</v>
      </c>
      <c r="B568" s="6">
        <v>46006</v>
      </c>
      <c r="C568" s="6" t="str">
        <f t="shared" si="48"/>
        <v>12 AM - 4 AM</v>
      </c>
      <c r="D568" s="4">
        <v>0.1423611111111111</v>
      </c>
      <c r="E568" t="s">
        <v>60</v>
      </c>
      <c r="F568" t="s">
        <v>51</v>
      </c>
      <c r="G568" t="s">
        <v>153</v>
      </c>
      <c r="H568" t="s">
        <v>62</v>
      </c>
      <c r="I568" t="s">
        <v>44</v>
      </c>
      <c r="J568" t="s">
        <v>45</v>
      </c>
      <c r="K568">
        <v>1</v>
      </c>
      <c r="L568" s="8">
        <v>1100</v>
      </c>
      <c r="M568" s="8" t="str">
        <f t="shared" si="49"/>
        <v>1-10%</v>
      </c>
      <c r="N568">
        <v>10</v>
      </c>
      <c r="O568" t="str">
        <f t="shared" si="50"/>
        <v>Valid</v>
      </c>
      <c r="P568" t="str">
        <f t="shared" si="51"/>
        <v>Match</v>
      </c>
      <c r="Q568" s="8">
        <v>1100</v>
      </c>
      <c r="R568" s="8">
        <v>110</v>
      </c>
      <c r="S568" s="8">
        <v>990</v>
      </c>
      <c r="T568" s="8">
        <v>736.88</v>
      </c>
      <c r="U568" s="8">
        <v>253.12</v>
      </c>
      <c r="V568" s="8" t="b">
        <f t="shared" si="52"/>
        <v>0</v>
      </c>
      <c r="W568" s="8">
        <f t="shared" si="53"/>
        <v>0</v>
      </c>
      <c r="X568" t="s">
        <v>46</v>
      </c>
      <c r="Y568" t="s">
        <v>104</v>
      </c>
      <c r="Z568" t="s">
        <v>64</v>
      </c>
      <c r="AA568">
        <v>3.5</v>
      </c>
      <c r="AB568" t="s">
        <v>39</v>
      </c>
      <c r="AC568" t="s">
        <v>49</v>
      </c>
    </row>
    <row r="569" spans="1:29" x14ac:dyDescent="0.3">
      <c r="A569" t="s">
        <v>693</v>
      </c>
      <c r="B569" s="6">
        <v>45950</v>
      </c>
      <c r="C569" s="6" t="str">
        <f t="shared" si="48"/>
        <v>12 PM - 4 PM</v>
      </c>
      <c r="D569" s="4">
        <v>0.50138888888888888</v>
      </c>
      <c r="E569" t="s">
        <v>69</v>
      </c>
      <c r="F569" t="s">
        <v>24</v>
      </c>
      <c r="G569" t="s">
        <v>25</v>
      </c>
      <c r="H569" t="s">
        <v>62</v>
      </c>
      <c r="I569" t="s">
        <v>27</v>
      </c>
      <c r="J569" t="s">
        <v>35</v>
      </c>
      <c r="K569">
        <v>1</v>
      </c>
      <c r="L569" s="8">
        <v>2400</v>
      </c>
      <c r="M569" s="8" t="str">
        <f t="shared" si="49"/>
        <v>11-20%</v>
      </c>
      <c r="N569">
        <v>20</v>
      </c>
      <c r="O569" t="str">
        <f t="shared" si="50"/>
        <v>Valid</v>
      </c>
      <c r="P569" t="str">
        <f t="shared" si="51"/>
        <v>Match</v>
      </c>
      <c r="Q569" s="8">
        <v>2400</v>
      </c>
      <c r="R569" s="8">
        <v>480</v>
      </c>
      <c r="S569" s="8">
        <v>1920</v>
      </c>
      <c r="T569" s="8">
        <v>1404.2</v>
      </c>
      <c r="U569" s="8">
        <v>515.79999999999995</v>
      </c>
      <c r="V569" s="8" t="b">
        <f t="shared" si="52"/>
        <v>0</v>
      </c>
      <c r="W569" s="8">
        <f t="shared" si="53"/>
        <v>0</v>
      </c>
      <c r="X569" t="s">
        <v>46</v>
      </c>
      <c r="Y569" t="s">
        <v>89</v>
      </c>
      <c r="Z569" t="s">
        <v>80</v>
      </c>
      <c r="AA569">
        <v>5</v>
      </c>
      <c r="AB569" t="s">
        <v>57</v>
      </c>
      <c r="AC569" t="s">
        <v>49</v>
      </c>
    </row>
    <row r="570" spans="1:29" x14ac:dyDescent="0.3">
      <c r="A570" t="s">
        <v>694</v>
      </c>
      <c r="B570" s="6">
        <v>45994</v>
      </c>
      <c r="C570" s="6" t="str">
        <f t="shared" si="48"/>
        <v>4 AM - 8 AM</v>
      </c>
      <c r="D570" s="4">
        <v>0.23194444444444445</v>
      </c>
      <c r="E570" t="s">
        <v>69</v>
      </c>
      <c r="F570" t="s">
        <v>24</v>
      </c>
      <c r="G570" t="s">
        <v>61</v>
      </c>
      <c r="H570" t="s">
        <v>113</v>
      </c>
      <c r="I570" t="s">
        <v>125</v>
      </c>
      <c r="J570" t="s">
        <v>35</v>
      </c>
      <c r="K570">
        <v>1</v>
      </c>
      <c r="L570" s="8">
        <v>13350</v>
      </c>
      <c r="M570" s="8" t="str">
        <f t="shared" si="49"/>
        <v>11-20%</v>
      </c>
      <c r="N570">
        <v>15</v>
      </c>
      <c r="O570" t="str">
        <f t="shared" si="50"/>
        <v>Valid</v>
      </c>
      <c r="P570" t="str">
        <f t="shared" si="51"/>
        <v>Match</v>
      </c>
      <c r="Q570" s="8">
        <v>13350</v>
      </c>
      <c r="R570" s="8">
        <v>2002.5</v>
      </c>
      <c r="S570" s="8">
        <v>11347.5</v>
      </c>
      <c r="T570" s="8">
        <v>8424.2800000000007</v>
      </c>
      <c r="U570" s="8">
        <v>2923.22</v>
      </c>
      <c r="V570" s="8" t="b">
        <f t="shared" si="52"/>
        <v>0</v>
      </c>
      <c r="W570" s="8">
        <f t="shared" si="53"/>
        <v>0</v>
      </c>
      <c r="X570" t="s">
        <v>79</v>
      </c>
      <c r="Y570" t="s">
        <v>104</v>
      </c>
      <c r="Z570" t="s">
        <v>64</v>
      </c>
      <c r="AA570">
        <v>4.5</v>
      </c>
      <c r="AB570" t="s">
        <v>39</v>
      </c>
      <c r="AC570" t="s">
        <v>40</v>
      </c>
    </row>
    <row r="571" spans="1:29" x14ac:dyDescent="0.3">
      <c r="A571" t="s">
        <v>695</v>
      </c>
      <c r="B571" s="6">
        <v>45796</v>
      </c>
      <c r="C571" s="6" t="str">
        <f t="shared" si="48"/>
        <v>4 AM - 8 AM</v>
      </c>
      <c r="D571" s="4">
        <v>0.19791666666666666</v>
      </c>
      <c r="E571" t="s">
        <v>108</v>
      </c>
      <c r="F571" t="s">
        <v>96</v>
      </c>
      <c r="G571" t="s">
        <v>134</v>
      </c>
      <c r="H571" t="s">
        <v>113</v>
      </c>
      <c r="I571" t="s">
        <v>44</v>
      </c>
      <c r="J571" t="s">
        <v>35</v>
      </c>
      <c r="K571">
        <v>1</v>
      </c>
      <c r="L571" s="8">
        <v>3950</v>
      </c>
      <c r="M571" s="8" t="str">
        <f t="shared" si="49"/>
        <v>1-10%</v>
      </c>
      <c r="N571">
        <v>10</v>
      </c>
      <c r="O571" t="str">
        <f t="shared" si="50"/>
        <v>Valid</v>
      </c>
      <c r="P571" t="str">
        <f t="shared" si="51"/>
        <v>Match</v>
      </c>
      <c r="Q571" s="8">
        <v>3950</v>
      </c>
      <c r="R571" s="8">
        <v>395</v>
      </c>
      <c r="S571" s="8">
        <v>3555</v>
      </c>
      <c r="T571" s="8">
        <v>2531.4</v>
      </c>
      <c r="U571" s="8">
        <v>1023.6</v>
      </c>
      <c r="V571" s="8" t="b">
        <f t="shared" si="52"/>
        <v>0</v>
      </c>
      <c r="W571" s="8">
        <f t="shared" si="53"/>
        <v>0</v>
      </c>
      <c r="X571" t="s">
        <v>55</v>
      </c>
      <c r="Y571" t="s">
        <v>104</v>
      </c>
      <c r="Z571" t="s">
        <v>45</v>
      </c>
      <c r="AA571">
        <v>4</v>
      </c>
      <c r="AB571" t="s">
        <v>111</v>
      </c>
      <c r="AC571" t="s">
        <v>49</v>
      </c>
    </row>
    <row r="572" spans="1:29" x14ac:dyDescent="0.3">
      <c r="A572" t="s">
        <v>696</v>
      </c>
      <c r="B572" s="6">
        <v>45768</v>
      </c>
      <c r="C572" s="6" t="str">
        <f t="shared" si="48"/>
        <v>8 PM - 12 AM</v>
      </c>
      <c r="D572" s="4">
        <v>0.90347222222222223</v>
      </c>
      <c r="E572" t="s">
        <v>23</v>
      </c>
      <c r="F572" t="s">
        <v>51</v>
      </c>
      <c r="G572" t="s">
        <v>52</v>
      </c>
      <c r="H572" t="s">
        <v>113</v>
      </c>
      <c r="I572" t="s">
        <v>125</v>
      </c>
      <c r="J572" t="s">
        <v>64</v>
      </c>
      <c r="K572">
        <v>1</v>
      </c>
      <c r="L572" s="8">
        <v>40650</v>
      </c>
      <c r="M572" s="8" t="str">
        <f t="shared" si="49"/>
        <v>21-30%</v>
      </c>
      <c r="N572">
        <v>25</v>
      </c>
      <c r="O572" t="str">
        <f t="shared" si="50"/>
        <v>Valid</v>
      </c>
      <c r="P572" t="str">
        <f t="shared" si="51"/>
        <v>Match</v>
      </c>
      <c r="Q572" s="8">
        <v>40650</v>
      </c>
      <c r="R572" s="8">
        <v>10162.5</v>
      </c>
      <c r="S572" s="8">
        <v>30487.5</v>
      </c>
      <c r="T572" s="8">
        <v>23208.93</v>
      </c>
      <c r="U572" s="8">
        <v>7278.57</v>
      </c>
      <c r="V572" s="8" t="b">
        <f t="shared" si="52"/>
        <v>0</v>
      </c>
      <c r="W572" s="8">
        <f t="shared" si="53"/>
        <v>0</v>
      </c>
      <c r="X572" t="s">
        <v>79</v>
      </c>
      <c r="Y572" t="s">
        <v>1137</v>
      </c>
      <c r="Z572" t="s">
        <v>80</v>
      </c>
      <c r="AA572">
        <v>4</v>
      </c>
      <c r="AB572" t="s">
        <v>99</v>
      </c>
      <c r="AC572" t="s">
        <v>49</v>
      </c>
    </row>
    <row r="573" spans="1:29" x14ac:dyDescent="0.3">
      <c r="A573" t="s">
        <v>697</v>
      </c>
      <c r="B573" s="6">
        <v>45794</v>
      </c>
      <c r="C573" s="6" t="str">
        <f t="shared" si="48"/>
        <v>8 PM - 12 AM</v>
      </c>
      <c r="D573" s="4">
        <v>0.93958333333333333</v>
      </c>
      <c r="E573" t="s">
        <v>32</v>
      </c>
      <c r="F573" t="s">
        <v>24</v>
      </c>
      <c r="G573" t="s">
        <v>84</v>
      </c>
      <c r="H573" t="s">
        <v>43</v>
      </c>
      <c r="I573" t="s">
        <v>82</v>
      </c>
      <c r="J573" t="s">
        <v>45</v>
      </c>
      <c r="K573">
        <v>1</v>
      </c>
      <c r="L573" s="8">
        <v>15600</v>
      </c>
      <c r="M573" s="8" t="str">
        <f t="shared" si="49"/>
        <v>21-30%</v>
      </c>
      <c r="N573">
        <v>25</v>
      </c>
      <c r="O573" t="str">
        <f t="shared" si="50"/>
        <v>Valid</v>
      </c>
      <c r="P573" t="str">
        <f t="shared" si="51"/>
        <v>Match</v>
      </c>
      <c r="Q573" s="8">
        <v>15600</v>
      </c>
      <c r="R573" s="8">
        <v>3900</v>
      </c>
      <c r="S573" s="8">
        <v>11700</v>
      </c>
      <c r="T573" s="8">
        <v>10900.84</v>
      </c>
      <c r="U573" s="8">
        <v>799.16</v>
      </c>
      <c r="V573" s="8" t="b">
        <f t="shared" si="52"/>
        <v>0</v>
      </c>
      <c r="W573" s="8">
        <f t="shared" si="53"/>
        <v>0</v>
      </c>
      <c r="X573" t="s">
        <v>36</v>
      </c>
      <c r="Y573" t="s">
        <v>94</v>
      </c>
      <c r="Z573" t="s">
        <v>80</v>
      </c>
      <c r="AA573">
        <v>4.5</v>
      </c>
      <c r="AB573" t="s">
        <v>111</v>
      </c>
      <c r="AC573" t="s">
        <v>71</v>
      </c>
    </row>
    <row r="574" spans="1:29" x14ac:dyDescent="0.3">
      <c r="A574" t="s">
        <v>698</v>
      </c>
      <c r="B574" s="6">
        <v>45811</v>
      </c>
      <c r="C574" s="6" t="str">
        <f t="shared" si="48"/>
        <v>12 PM - 4 PM</v>
      </c>
      <c r="D574" s="4">
        <v>0.65972222222222221</v>
      </c>
      <c r="E574" t="s">
        <v>622</v>
      </c>
      <c r="F574" t="s">
        <v>24</v>
      </c>
      <c r="G574" t="s">
        <v>25</v>
      </c>
      <c r="H574" t="s">
        <v>43</v>
      </c>
      <c r="I574" t="s">
        <v>54</v>
      </c>
      <c r="J574" t="s">
        <v>35</v>
      </c>
      <c r="K574">
        <v>1</v>
      </c>
      <c r="L574" s="8">
        <v>5350</v>
      </c>
      <c r="M574" s="8" t="str">
        <f t="shared" si="49"/>
        <v>11-20%</v>
      </c>
      <c r="N574">
        <v>15</v>
      </c>
      <c r="O574" t="str">
        <f t="shared" si="50"/>
        <v>Valid</v>
      </c>
      <c r="P574" t="str">
        <f t="shared" si="51"/>
        <v>Match</v>
      </c>
      <c r="Q574" s="8">
        <v>5350</v>
      </c>
      <c r="R574" s="8">
        <v>802.5</v>
      </c>
      <c r="S574" s="8">
        <v>4547.5</v>
      </c>
      <c r="T574" s="8">
        <v>3106.81</v>
      </c>
      <c r="U574" s="8">
        <v>1440.69</v>
      </c>
      <c r="V574" s="8" t="b">
        <f t="shared" si="52"/>
        <v>0</v>
      </c>
      <c r="W574" s="8">
        <f t="shared" si="53"/>
        <v>0</v>
      </c>
      <c r="X574" t="s">
        <v>55</v>
      </c>
      <c r="Y574" t="s">
        <v>47</v>
      </c>
      <c r="Z574" t="s">
        <v>85</v>
      </c>
      <c r="AA574">
        <v>5</v>
      </c>
      <c r="AB574" t="s">
        <v>48</v>
      </c>
      <c r="AC574" t="s">
        <v>86</v>
      </c>
    </row>
    <row r="575" spans="1:29" x14ac:dyDescent="0.3">
      <c r="A575" t="s">
        <v>699</v>
      </c>
      <c r="B575" s="6">
        <v>45826</v>
      </c>
      <c r="C575" s="6" t="str">
        <f t="shared" si="48"/>
        <v>8 AM - 12 PM</v>
      </c>
      <c r="D575" s="4">
        <v>0.40069444444444446</v>
      </c>
      <c r="E575" t="s">
        <v>32</v>
      </c>
      <c r="F575" t="s">
        <v>96</v>
      </c>
      <c r="G575" t="s">
        <v>115</v>
      </c>
      <c r="H575" t="s">
        <v>43</v>
      </c>
      <c r="I575" t="s">
        <v>44</v>
      </c>
      <c r="J575" t="s">
        <v>45</v>
      </c>
      <c r="K575">
        <v>1</v>
      </c>
      <c r="L575" s="8">
        <v>5000</v>
      </c>
      <c r="M575" s="8" t="str">
        <f t="shared" si="49"/>
        <v>21-30%</v>
      </c>
      <c r="N575">
        <v>30</v>
      </c>
      <c r="O575" t="str">
        <f t="shared" si="50"/>
        <v>Valid</v>
      </c>
      <c r="P575" t="str">
        <f t="shared" si="51"/>
        <v>Match</v>
      </c>
      <c r="Q575" s="8">
        <v>5000</v>
      </c>
      <c r="R575" s="8">
        <v>1500</v>
      </c>
      <c r="S575" s="8">
        <v>3500</v>
      </c>
      <c r="T575" s="8">
        <v>2893.69</v>
      </c>
      <c r="U575" s="8">
        <v>606.30999999999995</v>
      </c>
      <c r="V575" s="8" t="b">
        <f t="shared" si="52"/>
        <v>0</v>
      </c>
      <c r="W575" s="8">
        <f t="shared" si="53"/>
        <v>0</v>
      </c>
      <c r="X575" t="s">
        <v>79</v>
      </c>
      <c r="Y575" t="s">
        <v>70</v>
      </c>
      <c r="Z575" t="s">
        <v>38</v>
      </c>
      <c r="AA575">
        <v>2.5</v>
      </c>
      <c r="AB575" t="s">
        <v>48</v>
      </c>
      <c r="AC575" t="s">
        <v>40</v>
      </c>
    </row>
    <row r="576" spans="1:29" x14ac:dyDescent="0.3">
      <c r="A576" t="s">
        <v>700</v>
      </c>
      <c r="B576" s="6">
        <v>45904</v>
      </c>
      <c r="C576" s="6" t="str">
        <f t="shared" si="48"/>
        <v>12 PM - 4 PM</v>
      </c>
      <c r="D576" s="4">
        <v>0.63541666666666663</v>
      </c>
      <c r="E576" t="s">
        <v>622</v>
      </c>
      <c r="F576" t="s">
        <v>24</v>
      </c>
      <c r="G576" t="s">
        <v>120</v>
      </c>
      <c r="H576" t="s">
        <v>62</v>
      </c>
      <c r="I576" t="s">
        <v>54</v>
      </c>
      <c r="J576" t="s">
        <v>35</v>
      </c>
      <c r="K576">
        <v>2</v>
      </c>
      <c r="L576" s="8">
        <v>7850</v>
      </c>
      <c r="M576" s="8" t="str">
        <f t="shared" si="49"/>
        <v>21-30%</v>
      </c>
      <c r="N576">
        <v>30</v>
      </c>
      <c r="O576" t="str">
        <f t="shared" si="50"/>
        <v>Valid</v>
      </c>
      <c r="P576" t="str">
        <f t="shared" si="51"/>
        <v>Match</v>
      </c>
      <c r="Q576" s="8">
        <v>15700</v>
      </c>
      <c r="R576" s="8">
        <v>4710</v>
      </c>
      <c r="S576" s="8">
        <v>10990</v>
      </c>
      <c r="T576" s="8">
        <v>8429.34</v>
      </c>
      <c r="U576" s="8">
        <v>2560.66</v>
      </c>
      <c r="V576" s="8" t="b">
        <f t="shared" si="52"/>
        <v>0</v>
      </c>
      <c r="W576" s="8">
        <f t="shared" si="53"/>
        <v>0</v>
      </c>
      <c r="X576" t="s">
        <v>79</v>
      </c>
      <c r="Y576" t="s">
        <v>70</v>
      </c>
      <c r="Z576" t="s">
        <v>85</v>
      </c>
      <c r="AA576">
        <v>3.5</v>
      </c>
      <c r="AB576" t="s">
        <v>155</v>
      </c>
      <c r="AC576" t="s">
        <v>67</v>
      </c>
    </row>
    <row r="577" spans="1:29" x14ac:dyDescent="0.3">
      <c r="A577" t="s">
        <v>701</v>
      </c>
      <c r="B577" s="6">
        <v>45737</v>
      </c>
      <c r="C577" s="6" t="str">
        <f t="shared" si="48"/>
        <v>4 AM - 8 AM</v>
      </c>
      <c r="D577" s="4">
        <v>0.19305555555555556</v>
      </c>
      <c r="E577" t="s">
        <v>23</v>
      </c>
      <c r="F577" t="s">
        <v>96</v>
      </c>
      <c r="G577" t="s">
        <v>97</v>
      </c>
      <c r="H577" t="s">
        <v>102</v>
      </c>
      <c r="I577" t="s">
        <v>103</v>
      </c>
      <c r="J577" t="s">
        <v>200</v>
      </c>
      <c r="K577">
        <v>1</v>
      </c>
      <c r="L577" s="8">
        <v>4350</v>
      </c>
      <c r="M577" s="8" t="str">
        <f t="shared" si="49"/>
        <v>21-30%</v>
      </c>
      <c r="N577">
        <v>30</v>
      </c>
      <c r="O577" t="str">
        <f t="shared" si="50"/>
        <v>Valid</v>
      </c>
      <c r="P577" t="str">
        <f t="shared" si="51"/>
        <v>Match</v>
      </c>
      <c r="Q577" s="8">
        <v>4350</v>
      </c>
      <c r="R577" s="8">
        <v>1305</v>
      </c>
      <c r="S577" s="8">
        <v>3045</v>
      </c>
      <c r="T577" s="8">
        <v>2646.67</v>
      </c>
      <c r="U577" s="8">
        <v>398.33</v>
      </c>
      <c r="V577" s="8" t="b">
        <f t="shared" si="52"/>
        <v>0</v>
      </c>
      <c r="W577" s="8">
        <f t="shared" si="53"/>
        <v>0</v>
      </c>
      <c r="X577" t="s">
        <v>36</v>
      </c>
      <c r="Y577" t="s">
        <v>65</v>
      </c>
      <c r="Z577" t="s">
        <v>64</v>
      </c>
      <c r="AA577">
        <v>5</v>
      </c>
      <c r="AB577" t="s">
        <v>127</v>
      </c>
      <c r="AC577" t="s">
        <v>58</v>
      </c>
    </row>
    <row r="578" spans="1:29" x14ac:dyDescent="0.3">
      <c r="A578" t="s">
        <v>702</v>
      </c>
      <c r="B578" s="6">
        <v>45805</v>
      </c>
      <c r="C578" s="6" t="str">
        <f t="shared" ref="C578:C641" si="54">IF(D578&lt;TIME(4,0,0),"12 AM - 4 AM",IF(D578&lt;TIME(8,0,0),"4 AM - 8 AM",IF(D578&lt;TIME(12,0,0),"8 AM - 12 PM",IF(D578&lt;TIME(16,0,0),"12 PM - 4 PM",IF(D578&lt;TIME(20,0,0),"4 PM - 8 PM","8 PM - 12 AM")))))</f>
        <v>12 PM - 4 PM</v>
      </c>
      <c r="D578" s="4">
        <v>0.62222222222222223</v>
      </c>
      <c r="E578" t="s">
        <v>32</v>
      </c>
      <c r="F578" t="s">
        <v>51</v>
      </c>
      <c r="G578" t="s">
        <v>153</v>
      </c>
      <c r="H578" t="s">
        <v>26</v>
      </c>
      <c r="I578" t="s">
        <v>98</v>
      </c>
      <c r="J578" t="s">
        <v>35</v>
      </c>
      <c r="K578">
        <v>1</v>
      </c>
      <c r="L578" s="8">
        <v>2200</v>
      </c>
      <c r="M578" s="8" t="str">
        <f t="shared" ref="M578:M641" si="55">IF(N578&lt;0,"Invalid",IF(N578=0,"0%",IF(N578&lt;=10,"1-10%",IF(N578&lt;=20,"11-20%",IF(N578&lt;=30,"21-30%","30%+")))))</f>
        <v>1-10%</v>
      </c>
      <c r="N578">
        <v>10</v>
      </c>
      <c r="O578" t="str">
        <f t="shared" ref="O578:O641" si="56">IF(OR(N578&lt;0,N578&gt;100),"Invalid Discount","Valid")</f>
        <v>Valid</v>
      </c>
      <c r="P578" t="str">
        <f t="shared" ref="P578:P641" si="57">IF(ROUND(R578,2)=ROUND(Q578*N578/100,2),"Match","Mismatch")</f>
        <v>Match</v>
      </c>
      <c r="Q578" s="8">
        <v>2200</v>
      </c>
      <c r="R578" s="8">
        <v>220</v>
      </c>
      <c r="S578" s="8">
        <v>1980</v>
      </c>
      <c r="T578" s="8">
        <v>1409.82</v>
      </c>
      <c r="U578" s="8">
        <v>570.17999999999995</v>
      </c>
      <c r="V578" s="8" t="b">
        <f t="shared" ref="V578:V641" si="58">IF(AND(S578-T578&lt;0,U578=S578-T578),TRUE,FALSE)</f>
        <v>0</v>
      </c>
      <c r="W578" s="8">
        <f t="shared" ref="W578:W641" si="59">IF(V578=TRUE,ABS(U578),0)</f>
        <v>0</v>
      </c>
      <c r="X578" t="s">
        <v>79</v>
      </c>
      <c r="Y578" t="s">
        <v>47</v>
      </c>
      <c r="Z578" t="s">
        <v>45</v>
      </c>
      <c r="AA578">
        <v>5</v>
      </c>
      <c r="AB578" t="s">
        <v>111</v>
      </c>
      <c r="AC578" t="s">
        <v>40</v>
      </c>
    </row>
    <row r="579" spans="1:29" x14ac:dyDescent="0.3">
      <c r="A579" t="s">
        <v>703</v>
      </c>
      <c r="B579" s="6">
        <v>45953</v>
      </c>
      <c r="C579" s="6" t="str">
        <f t="shared" si="54"/>
        <v>12 PM - 4 PM</v>
      </c>
      <c r="D579" s="4">
        <v>0.66249999999999998</v>
      </c>
      <c r="E579" t="s">
        <v>32</v>
      </c>
      <c r="F579" t="s">
        <v>24</v>
      </c>
      <c r="G579" t="s">
        <v>110</v>
      </c>
      <c r="H579" t="s">
        <v>113</v>
      </c>
      <c r="I579" t="s">
        <v>98</v>
      </c>
      <c r="J579" t="s">
        <v>85</v>
      </c>
      <c r="K579">
        <v>1</v>
      </c>
      <c r="L579" s="8">
        <v>3250</v>
      </c>
      <c r="M579" s="8" t="str">
        <f t="shared" si="55"/>
        <v>11-20%</v>
      </c>
      <c r="N579">
        <v>15</v>
      </c>
      <c r="O579" t="str">
        <f t="shared" si="56"/>
        <v>Valid</v>
      </c>
      <c r="P579" t="str">
        <f t="shared" si="57"/>
        <v>Match</v>
      </c>
      <c r="Q579" s="8">
        <v>3250</v>
      </c>
      <c r="R579" s="8">
        <v>487.5</v>
      </c>
      <c r="S579" s="8">
        <v>2762.5</v>
      </c>
      <c r="T579" s="8">
        <v>2122.27</v>
      </c>
      <c r="U579" s="8">
        <v>640.23</v>
      </c>
      <c r="V579" s="8" t="b">
        <f t="shared" si="58"/>
        <v>0</v>
      </c>
      <c r="W579" s="8">
        <f t="shared" si="59"/>
        <v>0</v>
      </c>
      <c r="X579" t="s">
        <v>46</v>
      </c>
      <c r="Y579" t="s">
        <v>37</v>
      </c>
      <c r="Z579" t="s">
        <v>80</v>
      </c>
      <c r="AA579">
        <v>4.5</v>
      </c>
      <c r="AB579" t="s">
        <v>57</v>
      </c>
      <c r="AC579" t="s">
        <v>67</v>
      </c>
    </row>
    <row r="580" spans="1:29" x14ac:dyDescent="0.3">
      <c r="A580" t="s">
        <v>704</v>
      </c>
      <c r="B580" s="6">
        <v>45684</v>
      </c>
      <c r="C580" s="6" t="str">
        <f t="shared" si="54"/>
        <v>12 AM - 4 AM</v>
      </c>
      <c r="D580" s="4">
        <v>2.0833333333333332E-2</v>
      </c>
      <c r="E580" t="s">
        <v>23</v>
      </c>
      <c r="F580" t="s">
        <v>24</v>
      </c>
      <c r="G580" t="s">
        <v>42</v>
      </c>
      <c r="H580" t="s">
        <v>113</v>
      </c>
      <c r="I580" t="s">
        <v>125</v>
      </c>
      <c r="J580" t="s">
        <v>35</v>
      </c>
      <c r="K580">
        <v>2</v>
      </c>
      <c r="L580" s="8">
        <v>34050</v>
      </c>
      <c r="M580" s="8" t="str">
        <f t="shared" si="55"/>
        <v>21-30%</v>
      </c>
      <c r="N580">
        <v>25</v>
      </c>
      <c r="O580" t="str">
        <f t="shared" si="56"/>
        <v>Valid</v>
      </c>
      <c r="P580" t="str">
        <f t="shared" si="57"/>
        <v>Match</v>
      </c>
      <c r="Q580" s="8">
        <v>68100</v>
      </c>
      <c r="R580" s="8">
        <v>17025</v>
      </c>
      <c r="S580" s="8">
        <v>51075</v>
      </c>
      <c r="T580" s="8">
        <v>45119.88</v>
      </c>
      <c r="U580" s="8">
        <v>5955.12</v>
      </c>
      <c r="V580" s="8" t="b">
        <f t="shared" si="58"/>
        <v>0</v>
      </c>
      <c r="W580" s="8">
        <f t="shared" si="59"/>
        <v>0</v>
      </c>
      <c r="X580" t="s">
        <v>55</v>
      </c>
      <c r="Y580" t="s">
        <v>37</v>
      </c>
      <c r="Z580" t="s">
        <v>45</v>
      </c>
      <c r="AA580">
        <v>5</v>
      </c>
      <c r="AB580" t="s">
        <v>151</v>
      </c>
      <c r="AC580" t="s">
        <v>49</v>
      </c>
    </row>
    <row r="581" spans="1:29" x14ac:dyDescent="0.3">
      <c r="A581" t="s">
        <v>705</v>
      </c>
      <c r="B581" s="6">
        <v>45990</v>
      </c>
      <c r="C581" s="6" t="str">
        <f t="shared" si="54"/>
        <v>12 AM - 4 AM</v>
      </c>
      <c r="D581" s="4">
        <v>4.5138888888888888E-2</v>
      </c>
      <c r="E581" t="s">
        <v>77</v>
      </c>
      <c r="F581" t="s">
        <v>24</v>
      </c>
      <c r="G581" t="s">
        <v>33</v>
      </c>
      <c r="H581" t="s">
        <v>62</v>
      </c>
      <c r="I581" t="s">
        <v>92</v>
      </c>
      <c r="J581" t="s">
        <v>35</v>
      </c>
      <c r="K581">
        <v>3</v>
      </c>
      <c r="L581" s="8">
        <v>1850</v>
      </c>
      <c r="M581" s="8" t="str">
        <f t="shared" si="55"/>
        <v>0%</v>
      </c>
      <c r="N581">
        <v>0</v>
      </c>
      <c r="O581" t="str">
        <f t="shared" si="56"/>
        <v>Valid</v>
      </c>
      <c r="P581" t="str">
        <f t="shared" si="57"/>
        <v>Match</v>
      </c>
      <c r="Q581" s="8">
        <v>5550</v>
      </c>
      <c r="R581" s="8">
        <v>0</v>
      </c>
      <c r="S581" s="8">
        <v>5550</v>
      </c>
      <c r="T581" s="8">
        <v>3684.21</v>
      </c>
      <c r="U581" s="8">
        <v>1865.79</v>
      </c>
      <c r="V581" s="8" t="b">
        <f t="shared" si="58"/>
        <v>0</v>
      </c>
      <c r="W581" s="8">
        <f t="shared" si="59"/>
        <v>0</v>
      </c>
      <c r="X581" t="s">
        <v>36</v>
      </c>
      <c r="Y581" t="s">
        <v>37</v>
      </c>
      <c r="Z581" t="s">
        <v>38</v>
      </c>
      <c r="AA581">
        <v>5</v>
      </c>
      <c r="AB581" t="s">
        <v>75</v>
      </c>
      <c r="AC581" t="s">
        <v>71</v>
      </c>
    </row>
    <row r="582" spans="1:29" x14ac:dyDescent="0.3">
      <c r="A582" t="s">
        <v>706</v>
      </c>
      <c r="B582" s="6">
        <v>46013</v>
      </c>
      <c r="C582" s="6" t="str">
        <f t="shared" si="54"/>
        <v>4 AM - 8 AM</v>
      </c>
      <c r="D582" s="4">
        <v>0.27013888888888887</v>
      </c>
      <c r="E582" t="s">
        <v>77</v>
      </c>
      <c r="F582" t="s">
        <v>24</v>
      </c>
      <c r="G582" t="s">
        <v>110</v>
      </c>
      <c r="H582" t="s">
        <v>74</v>
      </c>
      <c r="I582" t="s">
        <v>82</v>
      </c>
      <c r="J582" t="s">
        <v>35</v>
      </c>
      <c r="K582">
        <v>2</v>
      </c>
      <c r="L582" s="8">
        <v>1700</v>
      </c>
      <c r="M582" s="8" t="str">
        <f t="shared" si="55"/>
        <v>21-30%</v>
      </c>
      <c r="N582">
        <v>30</v>
      </c>
      <c r="O582" t="str">
        <f t="shared" si="56"/>
        <v>Valid</v>
      </c>
      <c r="P582" t="str">
        <f t="shared" si="57"/>
        <v>Match</v>
      </c>
      <c r="Q582" s="8">
        <v>3400</v>
      </c>
      <c r="R582" s="8">
        <v>1020</v>
      </c>
      <c r="S582" s="8">
        <v>2380</v>
      </c>
      <c r="T582" s="8">
        <v>2163.8000000000002</v>
      </c>
      <c r="U582" s="8">
        <v>216.2</v>
      </c>
      <c r="V582" s="8" t="b">
        <f t="shared" si="58"/>
        <v>0</v>
      </c>
      <c r="W582" s="8">
        <f t="shared" si="59"/>
        <v>0</v>
      </c>
      <c r="X582" t="s">
        <v>55</v>
      </c>
      <c r="Y582" t="s">
        <v>94</v>
      </c>
      <c r="Z582" t="s">
        <v>38</v>
      </c>
      <c r="AA582">
        <v>4</v>
      </c>
      <c r="AB582" t="s">
        <v>39</v>
      </c>
      <c r="AC582" t="s">
        <v>49</v>
      </c>
    </row>
    <row r="583" spans="1:29" x14ac:dyDescent="0.3">
      <c r="A583" t="s">
        <v>707</v>
      </c>
      <c r="B583" s="6">
        <v>45909</v>
      </c>
      <c r="C583" s="6" t="str">
        <f t="shared" si="54"/>
        <v>8 PM - 12 AM</v>
      </c>
      <c r="D583" s="4">
        <v>0.94513888888888886</v>
      </c>
      <c r="E583" t="s">
        <v>23</v>
      </c>
      <c r="F583" t="s">
        <v>24</v>
      </c>
      <c r="G583" t="s">
        <v>110</v>
      </c>
      <c r="H583" t="s">
        <v>113</v>
      </c>
      <c r="I583" t="s">
        <v>98</v>
      </c>
      <c r="J583" t="s">
        <v>35</v>
      </c>
      <c r="K583">
        <v>2</v>
      </c>
      <c r="L583" s="8">
        <v>1650</v>
      </c>
      <c r="M583" s="8" t="str">
        <f t="shared" si="55"/>
        <v>1-10%</v>
      </c>
      <c r="N583">
        <v>10</v>
      </c>
      <c r="O583" t="str">
        <f t="shared" si="56"/>
        <v>Valid</v>
      </c>
      <c r="P583" t="str">
        <f t="shared" si="57"/>
        <v>Match</v>
      </c>
      <c r="Q583" s="8">
        <v>3300</v>
      </c>
      <c r="R583" s="8">
        <v>330</v>
      </c>
      <c r="S583" s="8">
        <v>2970</v>
      </c>
      <c r="T583" s="8">
        <v>2018.86</v>
      </c>
      <c r="U583" s="8">
        <v>951.14</v>
      </c>
      <c r="V583" s="8" t="b">
        <f t="shared" si="58"/>
        <v>0</v>
      </c>
      <c r="W583" s="8">
        <f t="shared" si="59"/>
        <v>0</v>
      </c>
      <c r="X583" t="s">
        <v>55</v>
      </c>
      <c r="Y583" t="s">
        <v>104</v>
      </c>
      <c r="Z583" t="s">
        <v>80</v>
      </c>
      <c r="AA583">
        <v>3</v>
      </c>
      <c r="AB583" t="s">
        <v>155</v>
      </c>
      <c r="AC583" t="s">
        <v>86</v>
      </c>
    </row>
    <row r="584" spans="1:29" x14ac:dyDescent="0.3">
      <c r="A584" t="s">
        <v>708</v>
      </c>
      <c r="B584" s="6">
        <v>46010</v>
      </c>
      <c r="C584" s="6" t="str">
        <f t="shared" si="54"/>
        <v>12 AM - 4 AM</v>
      </c>
      <c r="D584" s="4">
        <v>3.125E-2</v>
      </c>
      <c r="E584" t="s">
        <v>60</v>
      </c>
      <c r="F584" t="s">
        <v>24</v>
      </c>
      <c r="G584" t="s">
        <v>120</v>
      </c>
      <c r="H584" t="s">
        <v>74</v>
      </c>
      <c r="I584" t="s">
        <v>27</v>
      </c>
      <c r="J584" t="s">
        <v>35</v>
      </c>
      <c r="K584">
        <v>2</v>
      </c>
      <c r="L584" s="8">
        <v>7150</v>
      </c>
      <c r="M584" s="8" t="str">
        <f t="shared" si="55"/>
        <v>0%</v>
      </c>
      <c r="N584">
        <v>0</v>
      </c>
      <c r="O584" t="str">
        <f t="shared" si="56"/>
        <v>Valid</v>
      </c>
      <c r="P584" t="str">
        <f t="shared" si="57"/>
        <v>Match</v>
      </c>
      <c r="Q584" s="8">
        <v>14300</v>
      </c>
      <c r="R584" s="8">
        <v>0</v>
      </c>
      <c r="S584" s="8">
        <v>14300</v>
      </c>
      <c r="T584" s="8">
        <v>7466.31</v>
      </c>
      <c r="U584" s="8">
        <v>6833.69</v>
      </c>
      <c r="V584" s="8" t="b">
        <f t="shared" si="58"/>
        <v>0</v>
      </c>
      <c r="W584" s="8">
        <f t="shared" si="59"/>
        <v>0</v>
      </c>
      <c r="X584" t="s">
        <v>28</v>
      </c>
      <c r="Y584" t="s">
        <v>89</v>
      </c>
      <c r="Z584" t="s">
        <v>80</v>
      </c>
      <c r="AA584">
        <v>3.5</v>
      </c>
      <c r="AB584" t="s">
        <v>39</v>
      </c>
      <c r="AC584" t="s">
        <v>58</v>
      </c>
    </row>
    <row r="585" spans="1:29" x14ac:dyDescent="0.3">
      <c r="A585" t="s">
        <v>709</v>
      </c>
      <c r="B585" s="6">
        <v>45821</v>
      </c>
      <c r="C585" s="6" t="str">
        <f t="shared" si="54"/>
        <v>12 PM - 4 PM</v>
      </c>
      <c r="D585" s="4">
        <v>0.55972222222222223</v>
      </c>
      <c r="E585" t="s">
        <v>60</v>
      </c>
      <c r="F585" t="s">
        <v>24</v>
      </c>
      <c r="G585" t="s">
        <v>61</v>
      </c>
      <c r="H585" t="s">
        <v>34</v>
      </c>
      <c r="I585" t="s">
        <v>125</v>
      </c>
      <c r="J585" t="s">
        <v>35</v>
      </c>
      <c r="K585">
        <v>3</v>
      </c>
      <c r="L585" s="8">
        <v>14000</v>
      </c>
      <c r="M585" s="8" t="str">
        <f t="shared" si="55"/>
        <v>1-10%</v>
      </c>
      <c r="N585">
        <v>5</v>
      </c>
      <c r="O585" t="str">
        <f t="shared" si="56"/>
        <v>Valid</v>
      </c>
      <c r="P585" t="str">
        <f t="shared" si="57"/>
        <v>Match</v>
      </c>
      <c r="Q585" s="8">
        <v>42000</v>
      </c>
      <c r="R585" s="8">
        <v>2100</v>
      </c>
      <c r="S585" s="8">
        <v>39900</v>
      </c>
      <c r="T585" s="8">
        <v>28558.21</v>
      </c>
      <c r="U585" s="8">
        <v>11341.79</v>
      </c>
      <c r="V585" s="8" t="b">
        <f t="shared" si="58"/>
        <v>0</v>
      </c>
      <c r="W585" s="8">
        <f t="shared" si="59"/>
        <v>0</v>
      </c>
      <c r="X585" t="s">
        <v>46</v>
      </c>
      <c r="Y585" t="s">
        <v>70</v>
      </c>
      <c r="Z585" t="s">
        <v>85</v>
      </c>
      <c r="AA585">
        <v>3.5</v>
      </c>
      <c r="AB585" t="s">
        <v>48</v>
      </c>
      <c r="AC585" t="s">
        <v>58</v>
      </c>
    </row>
    <row r="586" spans="1:29" x14ac:dyDescent="0.3">
      <c r="A586" t="s">
        <v>710</v>
      </c>
      <c r="B586" s="6">
        <v>45792</v>
      </c>
      <c r="C586" s="6" t="str">
        <f t="shared" si="54"/>
        <v>4 AM - 8 AM</v>
      </c>
      <c r="D586" s="4">
        <v>0.24097222222222223</v>
      </c>
      <c r="E586" t="s">
        <v>77</v>
      </c>
      <c r="F586" t="s">
        <v>24</v>
      </c>
      <c r="G586" t="s">
        <v>25</v>
      </c>
      <c r="H586" t="s">
        <v>74</v>
      </c>
      <c r="I586" t="s">
        <v>92</v>
      </c>
      <c r="J586" t="s">
        <v>163</v>
      </c>
      <c r="K586">
        <v>1</v>
      </c>
      <c r="L586" s="8">
        <v>2100</v>
      </c>
      <c r="M586" s="8" t="str">
        <f t="shared" si="55"/>
        <v>1-10%</v>
      </c>
      <c r="N586">
        <v>5</v>
      </c>
      <c r="O586" t="str">
        <f t="shared" si="56"/>
        <v>Valid</v>
      </c>
      <c r="P586" t="str">
        <f t="shared" si="57"/>
        <v>Match</v>
      </c>
      <c r="Q586" s="8">
        <v>2100</v>
      </c>
      <c r="R586" s="8">
        <v>105</v>
      </c>
      <c r="S586" s="8">
        <v>1995</v>
      </c>
      <c r="T586" s="8">
        <v>1386.35</v>
      </c>
      <c r="U586" s="8">
        <v>608.65</v>
      </c>
      <c r="V586" s="8" t="b">
        <f t="shared" si="58"/>
        <v>0</v>
      </c>
      <c r="W586" s="8">
        <f t="shared" si="59"/>
        <v>0</v>
      </c>
      <c r="X586" t="s">
        <v>36</v>
      </c>
      <c r="Y586" t="s">
        <v>47</v>
      </c>
      <c r="Z586" t="s">
        <v>45</v>
      </c>
      <c r="AA586">
        <v>3</v>
      </c>
      <c r="AB586" t="s">
        <v>111</v>
      </c>
      <c r="AC586" t="s">
        <v>67</v>
      </c>
    </row>
    <row r="587" spans="1:29" x14ac:dyDescent="0.3">
      <c r="A587" t="s">
        <v>711</v>
      </c>
      <c r="B587" s="6">
        <v>45948</v>
      </c>
      <c r="C587" s="6" t="str">
        <f t="shared" si="54"/>
        <v>12 PM - 4 PM</v>
      </c>
      <c r="D587" s="4">
        <v>0.55000000000000004</v>
      </c>
      <c r="E587" t="s">
        <v>60</v>
      </c>
      <c r="F587" t="s">
        <v>96</v>
      </c>
      <c r="G587" t="s">
        <v>97</v>
      </c>
      <c r="H587" t="s">
        <v>53</v>
      </c>
      <c r="I587" t="s">
        <v>103</v>
      </c>
      <c r="J587" t="s">
        <v>85</v>
      </c>
      <c r="K587">
        <v>2</v>
      </c>
      <c r="L587" s="8">
        <v>4750</v>
      </c>
      <c r="M587" s="8" t="str">
        <f t="shared" si="55"/>
        <v>21-30%</v>
      </c>
      <c r="N587">
        <v>30</v>
      </c>
      <c r="O587" t="str">
        <f t="shared" si="56"/>
        <v>Valid</v>
      </c>
      <c r="P587" t="str">
        <f t="shared" si="57"/>
        <v>Match</v>
      </c>
      <c r="Q587" s="8">
        <v>9500</v>
      </c>
      <c r="R587" s="8">
        <v>2850</v>
      </c>
      <c r="S587" s="8">
        <v>6650</v>
      </c>
      <c r="T587" s="8">
        <v>5519.12</v>
      </c>
      <c r="U587" s="8">
        <v>1130.8800000000001</v>
      </c>
      <c r="V587" s="8" t="b">
        <f t="shared" si="58"/>
        <v>0</v>
      </c>
      <c r="W587" s="8">
        <f t="shared" si="59"/>
        <v>0</v>
      </c>
      <c r="X587" t="s">
        <v>79</v>
      </c>
      <c r="Y587" t="s">
        <v>37</v>
      </c>
      <c r="Z587" t="s">
        <v>85</v>
      </c>
      <c r="AA587">
        <v>4</v>
      </c>
      <c r="AB587" t="s">
        <v>57</v>
      </c>
      <c r="AC587" t="s">
        <v>71</v>
      </c>
    </row>
    <row r="588" spans="1:29" x14ac:dyDescent="0.3">
      <c r="A588" t="s">
        <v>712</v>
      </c>
      <c r="B588" s="6">
        <v>45966</v>
      </c>
      <c r="C588" s="6" t="str">
        <f t="shared" si="54"/>
        <v>12 AM - 4 AM</v>
      </c>
      <c r="D588" s="4">
        <v>0.15069444444444444</v>
      </c>
      <c r="E588" t="s">
        <v>108</v>
      </c>
      <c r="F588" t="s">
        <v>24</v>
      </c>
      <c r="G588" t="s">
        <v>88</v>
      </c>
      <c r="H588" t="s">
        <v>113</v>
      </c>
      <c r="I588" t="s">
        <v>98</v>
      </c>
      <c r="J588" t="s">
        <v>64</v>
      </c>
      <c r="K588">
        <v>3</v>
      </c>
      <c r="L588" s="8">
        <v>3250</v>
      </c>
      <c r="M588" s="8" t="str">
        <f t="shared" si="55"/>
        <v>21-30%</v>
      </c>
      <c r="N588">
        <v>25</v>
      </c>
      <c r="O588" t="str">
        <f t="shared" si="56"/>
        <v>Valid</v>
      </c>
      <c r="P588" t="str">
        <f t="shared" si="57"/>
        <v>Match</v>
      </c>
      <c r="Q588" s="8">
        <v>9750</v>
      </c>
      <c r="R588" s="8">
        <v>2437.5</v>
      </c>
      <c r="S588" s="8">
        <v>7312.5</v>
      </c>
      <c r="T588" s="8">
        <v>5890.65</v>
      </c>
      <c r="U588" s="8">
        <v>1421.85</v>
      </c>
      <c r="V588" s="8" t="b">
        <f t="shared" si="58"/>
        <v>0</v>
      </c>
      <c r="W588" s="8">
        <f t="shared" si="59"/>
        <v>0</v>
      </c>
      <c r="X588" t="s">
        <v>55</v>
      </c>
      <c r="Y588" t="s">
        <v>65</v>
      </c>
      <c r="Z588" t="s">
        <v>64</v>
      </c>
      <c r="AA588">
        <v>3</v>
      </c>
      <c r="AB588" t="s">
        <v>75</v>
      </c>
      <c r="AC588" t="s">
        <v>40</v>
      </c>
    </row>
    <row r="589" spans="1:29" x14ac:dyDescent="0.3">
      <c r="A589" t="s">
        <v>713</v>
      </c>
      <c r="B589" s="6">
        <v>45887</v>
      </c>
      <c r="C589" s="6" t="str">
        <f t="shared" si="54"/>
        <v>4 PM - 8 PM</v>
      </c>
      <c r="D589" s="4">
        <v>0.7368055555555556</v>
      </c>
      <c r="E589" t="s">
        <v>622</v>
      </c>
      <c r="F589" t="s">
        <v>24</v>
      </c>
      <c r="G589" t="s">
        <v>110</v>
      </c>
      <c r="H589" t="s">
        <v>74</v>
      </c>
      <c r="I589" t="s">
        <v>54</v>
      </c>
      <c r="J589" t="s">
        <v>93</v>
      </c>
      <c r="K589">
        <v>1</v>
      </c>
      <c r="L589" s="8">
        <v>3950</v>
      </c>
      <c r="M589" s="8" t="str">
        <f t="shared" si="55"/>
        <v>1-10%</v>
      </c>
      <c r="N589">
        <v>5</v>
      </c>
      <c r="O589" t="str">
        <f t="shared" si="56"/>
        <v>Valid</v>
      </c>
      <c r="P589" t="str">
        <f t="shared" si="57"/>
        <v>Match</v>
      </c>
      <c r="Q589" s="8">
        <v>3950</v>
      </c>
      <c r="R589" s="8">
        <v>197.5</v>
      </c>
      <c r="S589" s="8">
        <v>3752.5</v>
      </c>
      <c r="T589" s="8">
        <v>2073.2199999999998</v>
      </c>
      <c r="U589" s="8">
        <v>1679.28</v>
      </c>
      <c r="V589" s="8" t="b">
        <f t="shared" si="58"/>
        <v>0</v>
      </c>
      <c r="W589" s="8">
        <f t="shared" si="59"/>
        <v>0</v>
      </c>
      <c r="X589" t="s">
        <v>79</v>
      </c>
      <c r="Y589" t="s">
        <v>37</v>
      </c>
      <c r="Z589" t="s">
        <v>64</v>
      </c>
      <c r="AA589">
        <v>3.5</v>
      </c>
      <c r="AB589" t="s">
        <v>90</v>
      </c>
      <c r="AC589" t="s">
        <v>49</v>
      </c>
    </row>
    <row r="590" spans="1:29" x14ac:dyDescent="0.3">
      <c r="A590" t="s">
        <v>714</v>
      </c>
      <c r="B590" s="6">
        <v>45756</v>
      </c>
      <c r="C590" s="6" t="str">
        <f t="shared" si="54"/>
        <v>8 AM - 12 PM</v>
      </c>
      <c r="D590" s="4">
        <v>0.38194444444444442</v>
      </c>
      <c r="E590" t="s">
        <v>108</v>
      </c>
      <c r="F590" t="s">
        <v>24</v>
      </c>
      <c r="G590" t="s">
        <v>61</v>
      </c>
      <c r="H590" t="s">
        <v>43</v>
      </c>
      <c r="I590" t="s">
        <v>44</v>
      </c>
      <c r="J590" t="s">
        <v>35</v>
      </c>
      <c r="K590">
        <v>2</v>
      </c>
      <c r="L590" s="8">
        <v>10750</v>
      </c>
      <c r="M590" s="8" t="str">
        <f t="shared" si="55"/>
        <v>0%</v>
      </c>
      <c r="N590">
        <v>0</v>
      </c>
      <c r="O590" t="str">
        <f t="shared" si="56"/>
        <v>Valid</v>
      </c>
      <c r="P590" t="str">
        <f t="shared" si="57"/>
        <v>Match</v>
      </c>
      <c r="Q590" s="8">
        <v>21500</v>
      </c>
      <c r="R590" s="8">
        <v>0</v>
      </c>
      <c r="S590" s="8">
        <v>21500</v>
      </c>
      <c r="T590" s="8">
        <v>13681.41</v>
      </c>
      <c r="U590" s="8">
        <v>7818.59</v>
      </c>
      <c r="V590" s="8" t="b">
        <f t="shared" si="58"/>
        <v>0</v>
      </c>
      <c r="W590" s="8">
        <f t="shared" si="59"/>
        <v>0</v>
      </c>
      <c r="X590" t="s">
        <v>79</v>
      </c>
      <c r="Y590" t="s">
        <v>65</v>
      </c>
      <c r="Z590" t="s">
        <v>80</v>
      </c>
      <c r="AA590">
        <v>3.5</v>
      </c>
      <c r="AB590" t="s">
        <v>99</v>
      </c>
      <c r="AC590" t="s">
        <v>40</v>
      </c>
    </row>
    <row r="591" spans="1:29" x14ac:dyDescent="0.3">
      <c r="A591" t="s">
        <v>715</v>
      </c>
      <c r="B591" s="6">
        <v>45833</v>
      </c>
      <c r="C591" s="6" t="str">
        <f t="shared" si="54"/>
        <v>8 AM - 12 PM</v>
      </c>
      <c r="D591" s="4">
        <v>0.45277777777777778</v>
      </c>
      <c r="E591" t="s">
        <v>23</v>
      </c>
      <c r="F591" t="s">
        <v>96</v>
      </c>
      <c r="G591" t="s">
        <v>97</v>
      </c>
      <c r="H591" t="s">
        <v>62</v>
      </c>
      <c r="I591" t="s">
        <v>103</v>
      </c>
      <c r="J591" t="s">
        <v>78</v>
      </c>
      <c r="K591">
        <v>0</v>
      </c>
      <c r="L591" s="8">
        <v>4100</v>
      </c>
      <c r="M591" s="8" t="str">
        <f t="shared" si="55"/>
        <v>1-10%</v>
      </c>
      <c r="N591">
        <v>10</v>
      </c>
      <c r="O591" t="str">
        <f t="shared" si="56"/>
        <v>Valid</v>
      </c>
      <c r="P591" t="str">
        <f t="shared" si="57"/>
        <v>Match</v>
      </c>
      <c r="Q591" s="8">
        <v>8200</v>
      </c>
      <c r="R591" s="8">
        <v>820</v>
      </c>
      <c r="S591" s="8">
        <v>7380</v>
      </c>
      <c r="T591" s="8">
        <v>4932.8999999999996</v>
      </c>
      <c r="U591" s="8">
        <v>2447.1</v>
      </c>
      <c r="V591" s="8" t="b">
        <f t="shared" si="58"/>
        <v>0</v>
      </c>
      <c r="W591" s="8">
        <f t="shared" si="59"/>
        <v>0</v>
      </c>
      <c r="X591" t="s">
        <v>79</v>
      </c>
      <c r="Y591" t="s">
        <v>94</v>
      </c>
      <c r="Z591" t="s">
        <v>56</v>
      </c>
      <c r="AA591">
        <v>4.5</v>
      </c>
      <c r="AB591" t="s">
        <v>48</v>
      </c>
      <c r="AC591" t="s">
        <v>40</v>
      </c>
    </row>
    <row r="592" spans="1:29" x14ac:dyDescent="0.3">
      <c r="A592" t="s">
        <v>716</v>
      </c>
      <c r="B592" s="6">
        <v>46017</v>
      </c>
      <c r="C592" s="6" t="str">
        <f t="shared" si="54"/>
        <v>8 AM - 12 PM</v>
      </c>
      <c r="D592" s="4">
        <v>0.3576388888888889</v>
      </c>
      <c r="E592" t="s">
        <v>622</v>
      </c>
      <c r="F592" t="s">
        <v>24</v>
      </c>
      <c r="G592" t="s">
        <v>33</v>
      </c>
      <c r="H592" t="s">
        <v>53</v>
      </c>
      <c r="I592" t="s">
        <v>63</v>
      </c>
      <c r="J592" t="s">
        <v>35</v>
      </c>
      <c r="K592">
        <v>1</v>
      </c>
      <c r="L592" s="8">
        <v>2050</v>
      </c>
      <c r="M592" s="8" t="str">
        <f t="shared" si="55"/>
        <v>1-10%</v>
      </c>
      <c r="N592">
        <v>10</v>
      </c>
      <c r="O592" t="str">
        <f t="shared" si="56"/>
        <v>Valid</v>
      </c>
      <c r="P592" t="str">
        <f t="shared" si="57"/>
        <v>Match</v>
      </c>
      <c r="Q592" s="8">
        <v>2050</v>
      </c>
      <c r="R592" s="8">
        <v>205</v>
      </c>
      <c r="S592" s="8">
        <v>1845</v>
      </c>
      <c r="T592" s="8">
        <v>1463.02</v>
      </c>
      <c r="U592" s="8">
        <v>381.98</v>
      </c>
      <c r="V592" s="8" t="b">
        <f t="shared" si="58"/>
        <v>0</v>
      </c>
      <c r="W592" s="8">
        <f t="shared" si="59"/>
        <v>0</v>
      </c>
      <c r="X592" t="s">
        <v>28</v>
      </c>
      <c r="Y592" t="s">
        <v>47</v>
      </c>
      <c r="Z592" t="s">
        <v>85</v>
      </c>
      <c r="AA592">
        <v>5</v>
      </c>
      <c r="AB592" t="s">
        <v>39</v>
      </c>
      <c r="AC592" t="s">
        <v>58</v>
      </c>
    </row>
    <row r="593" spans="1:29" x14ac:dyDescent="0.3">
      <c r="A593" t="s">
        <v>717</v>
      </c>
      <c r="B593" s="6">
        <v>45804</v>
      </c>
      <c r="C593" s="6" t="str">
        <f t="shared" si="54"/>
        <v>8 PM - 12 AM</v>
      </c>
      <c r="D593" s="4">
        <v>0.86458333333333337</v>
      </c>
      <c r="E593" t="s">
        <v>69</v>
      </c>
      <c r="F593" t="s">
        <v>24</v>
      </c>
      <c r="G593" t="s">
        <v>33</v>
      </c>
      <c r="H593" t="s">
        <v>26</v>
      </c>
      <c r="I593" t="s">
        <v>98</v>
      </c>
      <c r="J593" t="s">
        <v>64</v>
      </c>
      <c r="K593">
        <v>1</v>
      </c>
      <c r="L593" s="8">
        <v>850</v>
      </c>
      <c r="M593" s="8" t="str">
        <f t="shared" si="55"/>
        <v>21-30%</v>
      </c>
      <c r="N593">
        <v>30</v>
      </c>
      <c r="O593" t="str">
        <f t="shared" si="56"/>
        <v>Valid</v>
      </c>
      <c r="P593" t="str">
        <f t="shared" si="57"/>
        <v>Match</v>
      </c>
      <c r="Q593" s="8">
        <v>850</v>
      </c>
      <c r="R593" s="8">
        <v>255</v>
      </c>
      <c r="S593" s="8">
        <v>595</v>
      </c>
      <c r="T593" s="8">
        <v>516.41999999999996</v>
      </c>
      <c r="U593" s="8">
        <v>78.58</v>
      </c>
      <c r="V593" s="8" t="b">
        <f t="shared" si="58"/>
        <v>0</v>
      </c>
      <c r="W593" s="8">
        <f t="shared" si="59"/>
        <v>0</v>
      </c>
      <c r="X593" t="s">
        <v>79</v>
      </c>
      <c r="Y593" t="s">
        <v>37</v>
      </c>
      <c r="Z593" t="s">
        <v>56</v>
      </c>
      <c r="AA593">
        <v>3</v>
      </c>
      <c r="AB593" t="s">
        <v>111</v>
      </c>
      <c r="AC593" t="s">
        <v>86</v>
      </c>
    </row>
    <row r="594" spans="1:29" x14ac:dyDescent="0.3">
      <c r="A594" t="s">
        <v>718</v>
      </c>
      <c r="B594" s="6">
        <v>45769</v>
      </c>
      <c r="C594" s="6" t="str">
        <f t="shared" si="54"/>
        <v>4 PM - 8 PM</v>
      </c>
      <c r="D594" s="4">
        <v>0.81458333333333333</v>
      </c>
      <c r="E594" t="s">
        <v>77</v>
      </c>
      <c r="F594" t="s">
        <v>24</v>
      </c>
      <c r="G594" t="s">
        <v>33</v>
      </c>
      <c r="H594" t="s">
        <v>74</v>
      </c>
      <c r="I594" t="s">
        <v>54</v>
      </c>
      <c r="J594" t="s">
        <v>78</v>
      </c>
      <c r="K594">
        <v>2</v>
      </c>
      <c r="L594" s="8">
        <v>4050</v>
      </c>
      <c r="M594" s="8" t="str">
        <f t="shared" si="55"/>
        <v>1-10%</v>
      </c>
      <c r="N594">
        <v>10</v>
      </c>
      <c r="O594" t="str">
        <f t="shared" si="56"/>
        <v>Valid</v>
      </c>
      <c r="P594" t="str">
        <f t="shared" si="57"/>
        <v>Match</v>
      </c>
      <c r="Q594" s="8">
        <v>8100</v>
      </c>
      <c r="R594" s="8">
        <v>810</v>
      </c>
      <c r="S594" s="8">
        <v>7290</v>
      </c>
      <c r="T594" s="8">
        <v>4854.9399999999996</v>
      </c>
      <c r="U594" s="8">
        <v>2435.06</v>
      </c>
      <c r="V594" s="8" t="b">
        <f t="shared" si="58"/>
        <v>0</v>
      </c>
      <c r="W594" s="8">
        <f t="shared" si="59"/>
        <v>0</v>
      </c>
      <c r="X594" t="s">
        <v>79</v>
      </c>
      <c r="Y594" t="s">
        <v>104</v>
      </c>
      <c r="Z594" t="s">
        <v>85</v>
      </c>
      <c r="AA594">
        <v>3</v>
      </c>
      <c r="AB594" t="s">
        <v>99</v>
      </c>
      <c r="AC594" t="s">
        <v>86</v>
      </c>
    </row>
    <row r="595" spans="1:29" x14ac:dyDescent="0.3">
      <c r="A595" t="s">
        <v>719</v>
      </c>
      <c r="B595" s="6">
        <v>45805</v>
      </c>
      <c r="C595" s="6" t="str">
        <f t="shared" si="54"/>
        <v>4 PM - 8 PM</v>
      </c>
      <c r="D595" s="4">
        <v>0.71527777777777779</v>
      </c>
      <c r="E595" t="s">
        <v>23</v>
      </c>
      <c r="F595" t="s">
        <v>51</v>
      </c>
      <c r="G595" t="s">
        <v>52</v>
      </c>
      <c r="H595" t="s">
        <v>74</v>
      </c>
      <c r="I595" t="s">
        <v>44</v>
      </c>
      <c r="J595" t="s">
        <v>35</v>
      </c>
      <c r="K595">
        <v>1</v>
      </c>
      <c r="L595" s="8">
        <v>40100</v>
      </c>
      <c r="M595" s="8" t="str">
        <f t="shared" si="55"/>
        <v>1-10%</v>
      </c>
      <c r="N595">
        <v>5</v>
      </c>
      <c r="O595" t="str">
        <f t="shared" si="56"/>
        <v>Valid</v>
      </c>
      <c r="P595" t="str">
        <f t="shared" si="57"/>
        <v>Match</v>
      </c>
      <c r="Q595" s="8">
        <v>40100</v>
      </c>
      <c r="R595" s="8">
        <v>2005</v>
      </c>
      <c r="S595" s="8">
        <v>38095</v>
      </c>
      <c r="T595" s="8">
        <v>26159.84</v>
      </c>
      <c r="U595" s="8">
        <v>11935.16</v>
      </c>
      <c r="V595" s="8" t="b">
        <f t="shared" si="58"/>
        <v>0</v>
      </c>
      <c r="W595" s="8">
        <f t="shared" si="59"/>
        <v>0</v>
      </c>
      <c r="X595" t="s">
        <v>493</v>
      </c>
      <c r="Y595" t="s">
        <v>47</v>
      </c>
      <c r="Z595" t="s">
        <v>80</v>
      </c>
      <c r="AA595">
        <v>5</v>
      </c>
      <c r="AB595" t="s">
        <v>111</v>
      </c>
      <c r="AC595" t="s">
        <v>40</v>
      </c>
    </row>
    <row r="596" spans="1:29" x14ac:dyDescent="0.3">
      <c r="A596" t="s">
        <v>720</v>
      </c>
      <c r="B596" s="6">
        <v>45902</v>
      </c>
      <c r="C596" s="6" t="str">
        <f t="shared" si="54"/>
        <v>4 AM - 8 AM</v>
      </c>
      <c r="D596" s="4">
        <v>0.24236111111111111</v>
      </c>
      <c r="E596" t="s">
        <v>622</v>
      </c>
      <c r="F596" t="s">
        <v>96</v>
      </c>
      <c r="G596" t="s">
        <v>115</v>
      </c>
      <c r="H596" t="s">
        <v>26</v>
      </c>
      <c r="I596" t="s">
        <v>44</v>
      </c>
      <c r="J596" t="s">
        <v>45</v>
      </c>
      <c r="K596">
        <v>1</v>
      </c>
      <c r="L596" s="8">
        <v>9700</v>
      </c>
      <c r="M596" s="8" t="str">
        <f t="shared" si="55"/>
        <v>11-20%</v>
      </c>
      <c r="N596">
        <v>15</v>
      </c>
      <c r="O596" t="str">
        <f t="shared" si="56"/>
        <v>Valid</v>
      </c>
      <c r="P596" t="str">
        <f t="shared" si="57"/>
        <v>Match</v>
      </c>
      <c r="Q596" s="8">
        <v>9700</v>
      </c>
      <c r="R596" s="8">
        <v>1455</v>
      </c>
      <c r="S596" s="8">
        <v>8245</v>
      </c>
      <c r="T596" s="8">
        <v>6052.98</v>
      </c>
      <c r="U596" s="8">
        <v>2192.02</v>
      </c>
      <c r="V596" s="8" t="b">
        <f t="shared" si="58"/>
        <v>0</v>
      </c>
      <c r="W596" s="8">
        <f t="shared" si="59"/>
        <v>0</v>
      </c>
      <c r="X596" t="s">
        <v>28</v>
      </c>
      <c r="Y596" t="s">
        <v>37</v>
      </c>
      <c r="Z596" t="s">
        <v>38</v>
      </c>
      <c r="AA596">
        <v>4</v>
      </c>
      <c r="AB596" t="s">
        <v>155</v>
      </c>
      <c r="AC596" t="s">
        <v>86</v>
      </c>
    </row>
    <row r="597" spans="1:29" x14ac:dyDescent="0.3">
      <c r="A597" t="s">
        <v>721</v>
      </c>
      <c r="B597" s="6">
        <v>45901</v>
      </c>
      <c r="C597" s="6" t="str">
        <f t="shared" si="54"/>
        <v>8 PM - 12 AM</v>
      </c>
      <c r="D597" s="4">
        <v>0.93611111111111112</v>
      </c>
      <c r="E597" t="s">
        <v>32</v>
      </c>
      <c r="F597" t="s">
        <v>24</v>
      </c>
      <c r="G597" t="s">
        <v>25</v>
      </c>
      <c r="H597" t="s">
        <v>26</v>
      </c>
      <c r="I597" t="s">
        <v>54</v>
      </c>
      <c r="J597" t="s">
        <v>35</v>
      </c>
      <c r="K597">
        <v>2</v>
      </c>
      <c r="L597" s="8">
        <v>4000</v>
      </c>
      <c r="M597" s="8" t="str">
        <f t="shared" si="55"/>
        <v>11-20%</v>
      </c>
      <c r="N597">
        <v>20</v>
      </c>
      <c r="O597" t="str">
        <f t="shared" si="56"/>
        <v>Valid</v>
      </c>
      <c r="P597" t="str">
        <f t="shared" si="57"/>
        <v>Match</v>
      </c>
      <c r="Q597" s="8">
        <v>8000</v>
      </c>
      <c r="R597" s="8">
        <v>1600</v>
      </c>
      <c r="S597" s="8">
        <v>6400</v>
      </c>
      <c r="T597" s="8">
        <v>5275.65</v>
      </c>
      <c r="U597" s="8">
        <v>1124.3499999999999</v>
      </c>
      <c r="V597" s="8" t="b">
        <f t="shared" si="58"/>
        <v>0</v>
      </c>
      <c r="W597" s="8">
        <f t="shared" si="59"/>
        <v>0</v>
      </c>
      <c r="X597" t="s">
        <v>55</v>
      </c>
      <c r="Y597" t="s">
        <v>89</v>
      </c>
      <c r="Z597" t="s">
        <v>38</v>
      </c>
      <c r="AA597">
        <v>3.5</v>
      </c>
      <c r="AB597" t="s">
        <v>155</v>
      </c>
      <c r="AC597" t="s">
        <v>49</v>
      </c>
    </row>
    <row r="598" spans="1:29" x14ac:dyDescent="0.3">
      <c r="A598" t="s">
        <v>722</v>
      </c>
      <c r="B598" s="6">
        <f ca="1">DATE(VALUE(RIGHT(Table1[[#This Row],[Order_Date]],4)),VALUE(LEFT(Table1[[#This Row],[Order_Date]],2)),VALUE(MID(Table1[[#This Row],[Order_Date]],4,2)))</f>
        <v>45731</v>
      </c>
      <c r="C598" s="6" t="str">
        <f t="shared" si="54"/>
        <v>12 AM - 4 AM</v>
      </c>
      <c r="E598" t="s">
        <v>108</v>
      </c>
      <c r="F598" t="s">
        <v>24</v>
      </c>
      <c r="G598" t="s">
        <v>110</v>
      </c>
      <c r="H598" t="s">
        <v>26</v>
      </c>
      <c r="I598" t="s">
        <v>54</v>
      </c>
      <c r="J598" t="s">
        <v>35</v>
      </c>
      <c r="K598">
        <v>1</v>
      </c>
      <c r="L598" s="8">
        <v>3300</v>
      </c>
      <c r="M598" s="8" t="str">
        <f t="shared" si="55"/>
        <v>21-30%</v>
      </c>
      <c r="N598">
        <v>30</v>
      </c>
      <c r="O598" t="str">
        <f t="shared" si="56"/>
        <v>Valid</v>
      </c>
      <c r="P598" t="str">
        <f t="shared" si="57"/>
        <v>Match</v>
      </c>
      <c r="Q598" s="8">
        <v>3300</v>
      </c>
      <c r="R598" s="8">
        <v>990</v>
      </c>
      <c r="S598" s="8">
        <v>2310</v>
      </c>
      <c r="T598" s="8">
        <v>1916.53</v>
      </c>
      <c r="U598" s="8">
        <v>393.47</v>
      </c>
      <c r="V598" s="8" t="b">
        <f t="shared" si="58"/>
        <v>0</v>
      </c>
      <c r="W598" s="8">
        <f t="shared" si="59"/>
        <v>0</v>
      </c>
      <c r="X598" t="s">
        <v>79</v>
      </c>
      <c r="Y598" t="s">
        <v>89</v>
      </c>
      <c r="Z598" t="s">
        <v>38</v>
      </c>
      <c r="AA598">
        <v>4</v>
      </c>
      <c r="AB598" t="s">
        <v>127</v>
      </c>
      <c r="AC598" t="s">
        <v>71</v>
      </c>
    </row>
    <row r="599" spans="1:29" x14ac:dyDescent="0.3">
      <c r="A599" t="s">
        <v>723</v>
      </c>
      <c r="B599" s="6">
        <v>45989</v>
      </c>
      <c r="C599" s="6" t="str">
        <f t="shared" si="54"/>
        <v>4 PM - 8 PM</v>
      </c>
      <c r="D599" s="4">
        <v>0.79305555555555551</v>
      </c>
      <c r="E599" t="s">
        <v>69</v>
      </c>
      <c r="F599" t="s">
        <v>24</v>
      </c>
      <c r="G599" t="s">
        <v>61</v>
      </c>
      <c r="H599" t="s">
        <v>53</v>
      </c>
      <c r="I599" t="s">
        <v>63</v>
      </c>
      <c r="J599" t="s">
        <v>78</v>
      </c>
      <c r="K599">
        <v>1</v>
      </c>
      <c r="L599" s="8">
        <v>11150</v>
      </c>
      <c r="M599" s="8" t="str">
        <f t="shared" si="55"/>
        <v>21-30%</v>
      </c>
      <c r="N599">
        <v>25</v>
      </c>
      <c r="O599" t="str">
        <f t="shared" si="56"/>
        <v>Valid</v>
      </c>
      <c r="P599" t="str">
        <f t="shared" si="57"/>
        <v>Match</v>
      </c>
      <c r="Q599" s="8">
        <v>11150</v>
      </c>
      <c r="R599" s="8">
        <v>2787.5</v>
      </c>
      <c r="S599" s="8">
        <v>8362.5</v>
      </c>
      <c r="T599" s="8">
        <v>6668.84</v>
      </c>
      <c r="U599" s="8">
        <v>1693.66</v>
      </c>
      <c r="V599" s="8" t="b">
        <f t="shared" si="58"/>
        <v>0</v>
      </c>
      <c r="W599" s="8">
        <f t="shared" si="59"/>
        <v>0</v>
      </c>
      <c r="X599" t="s">
        <v>46</v>
      </c>
      <c r="Y599" t="s">
        <v>37</v>
      </c>
      <c r="Z599" t="s">
        <v>45</v>
      </c>
      <c r="AA599">
        <v>4</v>
      </c>
      <c r="AB599" t="s">
        <v>75</v>
      </c>
      <c r="AC599" t="s">
        <v>58</v>
      </c>
    </row>
    <row r="600" spans="1:29" x14ac:dyDescent="0.3">
      <c r="A600" t="s">
        <v>724</v>
      </c>
      <c r="B600" s="6">
        <v>45960</v>
      </c>
      <c r="C600" s="6" t="str">
        <f t="shared" si="54"/>
        <v>4 PM - 8 PM</v>
      </c>
      <c r="D600" s="4">
        <v>0.81180555555555556</v>
      </c>
      <c r="E600" t="s">
        <v>32</v>
      </c>
      <c r="F600" t="s">
        <v>96</v>
      </c>
      <c r="G600" t="s">
        <v>134</v>
      </c>
      <c r="H600" t="s">
        <v>102</v>
      </c>
      <c r="I600" t="s">
        <v>63</v>
      </c>
      <c r="J600" t="s">
        <v>64</v>
      </c>
      <c r="K600">
        <v>4</v>
      </c>
      <c r="L600" s="8">
        <v>3650</v>
      </c>
      <c r="M600" s="8" t="str">
        <f t="shared" si="55"/>
        <v>21-30%</v>
      </c>
      <c r="N600">
        <v>25</v>
      </c>
      <c r="O600" t="str">
        <f t="shared" si="56"/>
        <v>Valid</v>
      </c>
      <c r="P600" t="str">
        <f t="shared" si="57"/>
        <v>Match</v>
      </c>
      <c r="Q600" s="8">
        <v>14600</v>
      </c>
      <c r="R600" s="8">
        <v>3650</v>
      </c>
      <c r="S600" s="8">
        <v>10950</v>
      </c>
      <c r="T600" s="8">
        <v>9324.19</v>
      </c>
      <c r="U600" s="8">
        <v>1625.81</v>
      </c>
      <c r="V600" s="8" t="b">
        <f t="shared" si="58"/>
        <v>0</v>
      </c>
      <c r="W600" s="8">
        <f t="shared" si="59"/>
        <v>0</v>
      </c>
      <c r="X600" t="s">
        <v>79</v>
      </c>
      <c r="Y600" t="s">
        <v>104</v>
      </c>
      <c r="Z600" t="s">
        <v>80</v>
      </c>
      <c r="AA600">
        <v>4.5</v>
      </c>
      <c r="AB600" t="s">
        <v>57</v>
      </c>
      <c r="AC600" t="s">
        <v>67</v>
      </c>
    </row>
    <row r="601" spans="1:29" x14ac:dyDescent="0.3">
      <c r="A601" t="s">
        <v>725</v>
      </c>
      <c r="B601" s="6">
        <v>45743</v>
      </c>
      <c r="C601" s="6" t="str">
        <f t="shared" si="54"/>
        <v>4 PM - 8 PM</v>
      </c>
      <c r="D601" s="4">
        <v>0.80833333333333335</v>
      </c>
      <c r="E601" t="s">
        <v>23</v>
      </c>
      <c r="F601" t="s">
        <v>24</v>
      </c>
      <c r="G601" t="s">
        <v>33</v>
      </c>
      <c r="H601" t="s">
        <v>113</v>
      </c>
      <c r="I601" t="s">
        <v>54</v>
      </c>
      <c r="J601" t="s">
        <v>35</v>
      </c>
      <c r="K601">
        <v>1</v>
      </c>
      <c r="L601" s="8">
        <v>3550</v>
      </c>
      <c r="M601" s="8" t="str">
        <f t="shared" si="55"/>
        <v>21-30%</v>
      </c>
      <c r="N601">
        <v>25</v>
      </c>
      <c r="O601" t="str">
        <f t="shared" si="56"/>
        <v>Valid</v>
      </c>
      <c r="P601" t="str">
        <f t="shared" si="57"/>
        <v>Match</v>
      </c>
      <c r="Q601" s="8">
        <v>3550</v>
      </c>
      <c r="R601" s="8">
        <v>887.5</v>
      </c>
      <c r="S601" s="8">
        <v>2662.5</v>
      </c>
      <c r="T601" s="8">
        <v>2272.4899999999998</v>
      </c>
      <c r="U601" s="8">
        <v>390.01</v>
      </c>
      <c r="V601" s="8" t="b">
        <f t="shared" si="58"/>
        <v>0</v>
      </c>
      <c r="W601" s="8">
        <f t="shared" si="59"/>
        <v>0</v>
      </c>
      <c r="X601" t="s">
        <v>230</v>
      </c>
      <c r="Y601" t="s">
        <v>37</v>
      </c>
      <c r="Z601" t="s">
        <v>56</v>
      </c>
      <c r="AA601">
        <v>4.5</v>
      </c>
      <c r="AB601" t="s">
        <v>127</v>
      </c>
      <c r="AC601" t="s">
        <v>67</v>
      </c>
    </row>
    <row r="602" spans="1:29" x14ac:dyDescent="0.3">
      <c r="A602" t="s">
        <v>726</v>
      </c>
      <c r="B602" s="6">
        <v>45729</v>
      </c>
      <c r="C602" s="6" t="str">
        <f t="shared" si="54"/>
        <v>8 AM - 12 PM</v>
      </c>
      <c r="D602" s="4">
        <v>0.4909722222222222</v>
      </c>
      <c r="E602" t="s">
        <v>77</v>
      </c>
      <c r="F602" t="s">
        <v>24</v>
      </c>
      <c r="G602" t="s">
        <v>25</v>
      </c>
      <c r="H602" t="s">
        <v>62</v>
      </c>
      <c r="I602" t="s">
        <v>54</v>
      </c>
      <c r="J602" t="s">
        <v>35</v>
      </c>
      <c r="K602">
        <v>1</v>
      </c>
      <c r="L602" s="8">
        <v>2600</v>
      </c>
      <c r="M602" s="8" t="str">
        <f t="shared" si="55"/>
        <v>21-30%</v>
      </c>
      <c r="N602">
        <v>30</v>
      </c>
      <c r="O602" t="str">
        <f t="shared" si="56"/>
        <v>Valid</v>
      </c>
      <c r="P602" t="str">
        <f t="shared" si="57"/>
        <v>Match</v>
      </c>
      <c r="Q602" s="8">
        <v>2600</v>
      </c>
      <c r="R602" s="8">
        <v>780</v>
      </c>
      <c r="S602" s="8">
        <v>1820</v>
      </c>
      <c r="T602" s="8">
        <v>1603.31</v>
      </c>
      <c r="U602" s="8">
        <v>216.69</v>
      </c>
      <c r="V602" s="8" t="b">
        <f t="shared" si="58"/>
        <v>0</v>
      </c>
      <c r="W602" s="8">
        <f t="shared" si="59"/>
        <v>0</v>
      </c>
      <c r="X602" t="s">
        <v>36</v>
      </c>
      <c r="Y602" t="s">
        <v>104</v>
      </c>
      <c r="Z602" t="s">
        <v>38</v>
      </c>
      <c r="AA602">
        <v>3.5</v>
      </c>
      <c r="AB602" t="s">
        <v>127</v>
      </c>
      <c r="AC602" t="s">
        <v>67</v>
      </c>
    </row>
    <row r="603" spans="1:29" x14ac:dyDescent="0.3">
      <c r="A603" t="s">
        <v>727</v>
      </c>
      <c r="B603" s="6">
        <v>45706</v>
      </c>
      <c r="C603" s="6" t="str">
        <f t="shared" si="54"/>
        <v>4 PM - 8 PM</v>
      </c>
      <c r="D603" s="4">
        <v>0.67777777777777781</v>
      </c>
      <c r="E603" t="s">
        <v>622</v>
      </c>
      <c r="F603" t="s">
        <v>24</v>
      </c>
      <c r="G603" t="s">
        <v>120</v>
      </c>
      <c r="H603" t="s">
        <v>113</v>
      </c>
      <c r="I603" t="s">
        <v>82</v>
      </c>
      <c r="J603" t="s">
        <v>93</v>
      </c>
      <c r="K603">
        <v>2</v>
      </c>
      <c r="L603" s="8">
        <v>14800</v>
      </c>
      <c r="M603" s="8" t="str">
        <f t="shared" si="55"/>
        <v>1-10%</v>
      </c>
      <c r="N603">
        <v>10</v>
      </c>
      <c r="O603" t="str">
        <f t="shared" si="56"/>
        <v>Valid</v>
      </c>
      <c r="P603" t="str">
        <f t="shared" si="57"/>
        <v>Match</v>
      </c>
      <c r="Q603" s="8">
        <v>29600</v>
      </c>
      <c r="R603" s="8">
        <v>2960</v>
      </c>
      <c r="S603" s="8">
        <v>26640</v>
      </c>
      <c r="T603" s="8">
        <v>18333.650000000001</v>
      </c>
      <c r="U603" s="8">
        <v>8306.35</v>
      </c>
      <c r="V603" s="8" t="b">
        <f t="shared" si="58"/>
        <v>0</v>
      </c>
      <c r="W603" s="8">
        <f t="shared" si="59"/>
        <v>0</v>
      </c>
      <c r="X603" t="s">
        <v>347</v>
      </c>
      <c r="Y603" t="s">
        <v>70</v>
      </c>
      <c r="Z603" t="s">
        <v>45</v>
      </c>
      <c r="AA603">
        <v>3</v>
      </c>
      <c r="AB603" t="s">
        <v>66</v>
      </c>
      <c r="AC603" t="s">
        <v>86</v>
      </c>
    </row>
    <row r="604" spans="1:29" x14ac:dyDescent="0.3">
      <c r="A604" t="s">
        <v>728</v>
      </c>
      <c r="B604" s="6">
        <v>45836</v>
      </c>
      <c r="C604" s="6" t="str">
        <f t="shared" si="54"/>
        <v>12 AM - 4 AM</v>
      </c>
      <c r="D604" s="4">
        <v>0.12222222222222222</v>
      </c>
      <c r="E604" t="s">
        <v>23</v>
      </c>
      <c r="F604" t="s">
        <v>24</v>
      </c>
      <c r="G604" t="s">
        <v>61</v>
      </c>
      <c r="H604" t="s">
        <v>62</v>
      </c>
      <c r="I604" t="s">
        <v>125</v>
      </c>
      <c r="J604" t="s">
        <v>35</v>
      </c>
      <c r="K604">
        <v>1</v>
      </c>
      <c r="L604" s="8">
        <v>9800</v>
      </c>
      <c r="M604" s="8" t="str">
        <f t="shared" si="55"/>
        <v>1-10%</v>
      </c>
      <c r="N604">
        <v>10</v>
      </c>
      <c r="O604" t="str">
        <f t="shared" si="56"/>
        <v>Valid</v>
      </c>
      <c r="P604" t="str">
        <f t="shared" si="57"/>
        <v>Match</v>
      </c>
      <c r="Q604" s="8">
        <v>9800</v>
      </c>
      <c r="R604" s="8">
        <v>980</v>
      </c>
      <c r="S604" s="8">
        <v>8820</v>
      </c>
      <c r="T604" s="8">
        <v>5381.58</v>
      </c>
      <c r="U604" s="8">
        <v>3438.42</v>
      </c>
      <c r="V604" s="8" t="b">
        <f t="shared" si="58"/>
        <v>0</v>
      </c>
      <c r="W604" s="8">
        <f t="shared" si="59"/>
        <v>0</v>
      </c>
      <c r="X604" t="s">
        <v>55</v>
      </c>
      <c r="Y604" t="s">
        <v>89</v>
      </c>
      <c r="Z604" t="s">
        <v>64</v>
      </c>
      <c r="AA604">
        <v>4.5</v>
      </c>
      <c r="AB604" t="s">
        <v>48</v>
      </c>
      <c r="AC604" t="s">
        <v>71</v>
      </c>
    </row>
    <row r="605" spans="1:29" x14ac:dyDescent="0.3">
      <c r="A605" t="s">
        <v>729</v>
      </c>
      <c r="B605" s="6">
        <v>45919</v>
      </c>
      <c r="C605" s="6" t="str">
        <f t="shared" si="54"/>
        <v>12 PM - 4 PM</v>
      </c>
      <c r="D605" s="4">
        <v>0.61875000000000002</v>
      </c>
      <c r="E605" t="s">
        <v>622</v>
      </c>
      <c r="F605" t="s">
        <v>24</v>
      </c>
      <c r="G605" t="s">
        <v>110</v>
      </c>
      <c r="H605" t="s">
        <v>62</v>
      </c>
      <c r="I605" t="s">
        <v>98</v>
      </c>
      <c r="J605" t="s">
        <v>35</v>
      </c>
      <c r="K605">
        <v>1</v>
      </c>
      <c r="L605" s="8">
        <v>1600</v>
      </c>
      <c r="M605" s="8" t="str">
        <f t="shared" si="55"/>
        <v>11-20%</v>
      </c>
      <c r="N605">
        <v>20</v>
      </c>
      <c r="O605" t="str">
        <f t="shared" si="56"/>
        <v>Valid</v>
      </c>
      <c r="P605" t="str">
        <f t="shared" si="57"/>
        <v>Match</v>
      </c>
      <c r="Q605" s="8">
        <v>1600</v>
      </c>
      <c r="R605" s="8">
        <v>320</v>
      </c>
      <c r="S605" s="8">
        <v>1280</v>
      </c>
      <c r="T605" s="8">
        <v>1004.07</v>
      </c>
      <c r="U605" s="8">
        <v>275.93</v>
      </c>
      <c r="V605" s="8" t="b">
        <f t="shared" si="58"/>
        <v>0</v>
      </c>
      <c r="W605" s="8">
        <f t="shared" si="59"/>
        <v>0</v>
      </c>
      <c r="X605" t="s">
        <v>55</v>
      </c>
      <c r="Y605" t="s">
        <v>104</v>
      </c>
      <c r="Z605" t="s">
        <v>64</v>
      </c>
      <c r="AA605">
        <v>4.5</v>
      </c>
      <c r="AB605" t="s">
        <v>155</v>
      </c>
      <c r="AC605" t="s">
        <v>58</v>
      </c>
    </row>
    <row r="606" spans="1:29" x14ac:dyDescent="0.3">
      <c r="A606" t="s">
        <v>730</v>
      </c>
      <c r="B606" s="6">
        <v>45665</v>
      </c>
      <c r="C606" s="6" t="str">
        <f t="shared" si="54"/>
        <v>8 AM - 12 PM</v>
      </c>
      <c r="D606" s="4">
        <v>0.35138888888888886</v>
      </c>
      <c r="E606" t="s">
        <v>23</v>
      </c>
      <c r="F606" t="s">
        <v>24</v>
      </c>
      <c r="G606" t="s">
        <v>84</v>
      </c>
      <c r="H606" t="s">
        <v>26</v>
      </c>
      <c r="I606" t="s">
        <v>63</v>
      </c>
      <c r="J606" t="s">
        <v>64</v>
      </c>
      <c r="K606">
        <v>1</v>
      </c>
      <c r="L606" s="8">
        <v>7250</v>
      </c>
      <c r="M606" s="8" t="str">
        <f t="shared" si="55"/>
        <v>11-20%</v>
      </c>
      <c r="N606">
        <v>15</v>
      </c>
      <c r="O606" t="str">
        <f t="shared" si="56"/>
        <v>Valid</v>
      </c>
      <c r="P606" t="str">
        <f t="shared" si="57"/>
        <v>Match</v>
      </c>
      <c r="Q606" s="8">
        <v>7250</v>
      </c>
      <c r="R606" s="8">
        <v>1087.5</v>
      </c>
      <c r="S606" s="8">
        <v>6162.5</v>
      </c>
      <c r="T606" s="8">
        <v>4989.4399999999996</v>
      </c>
      <c r="U606" s="8">
        <v>1173.06</v>
      </c>
      <c r="V606" s="8" t="b">
        <f t="shared" si="58"/>
        <v>0</v>
      </c>
      <c r="W606" s="8">
        <f t="shared" si="59"/>
        <v>0</v>
      </c>
      <c r="X606" t="s">
        <v>28</v>
      </c>
      <c r="Y606" t="s">
        <v>94</v>
      </c>
      <c r="Z606" t="s">
        <v>80</v>
      </c>
      <c r="AA606">
        <v>3</v>
      </c>
      <c r="AB606" t="s">
        <v>151</v>
      </c>
      <c r="AC606" t="s">
        <v>40</v>
      </c>
    </row>
    <row r="607" spans="1:29" x14ac:dyDescent="0.3">
      <c r="A607" t="s">
        <v>731</v>
      </c>
      <c r="B607" s="6">
        <v>45713</v>
      </c>
      <c r="C607" s="6" t="str">
        <f t="shared" si="54"/>
        <v>4 AM - 8 AM</v>
      </c>
      <c r="D607" s="4">
        <v>0.23680555555555555</v>
      </c>
      <c r="E607" t="s">
        <v>69</v>
      </c>
      <c r="F607" t="s">
        <v>24</v>
      </c>
      <c r="G607" t="s">
        <v>110</v>
      </c>
      <c r="H607" t="s">
        <v>34</v>
      </c>
      <c r="I607" t="s">
        <v>63</v>
      </c>
      <c r="J607" t="s">
        <v>35</v>
      </c>
      <c r="K607">
        <v>1</v>
      </c>
      <c r="L607" s="8">
        <v>3700</v>
      </c>
      <c r="M607" s="8" t="str">
        <f t="shared" si="55"/>
        <v>1-10%</v>
      </c>
      <c r="N607">
        <v>10</v>
      </c>
      <c r="O607" t="str">
        <f t="shared" si="56"/>
        <v>Valid</v>
      </c>
      <c r="P607" t="str">
        <f t="shared" si="57"/>
        <v>Match</v>
      </c>
      <c r="Q607" s="8">
        <v>3700</v>
      </c>
      <c r="R607" s="8">
        <v>370</v>
      </c>
      <c r="S607" s="8">
        <v>3330</v>
      </c>
      <c r="T607" s="8">
        <v>2320.39</v>
      </c>
      <c r="U607" s="8">
        <v>1009.61</v>
      </c>
      <c r="V607" s="8" t="b">
        <f t="shared" si="58"/>
        <v>0</v>
      </c>
      <c r="W607" s="8">
        <f t="shared" si="59"/>
        <v>0</v>
      </c>
      <c r="X607" t="s">
        <v>79</v>
      </c>
      <c r="Y607" t="s">
        <v>65</v>
      </c>
      <c r="Z607" t="s">
        <v>64</v>
      </c>
      <c r="AA607">
        <v>4.5</v>
      </c>
      <c r="AB607" t="s">
        <v>66</v>
      </c>
      <c r="AC607" t="s">
        <v>86</v>
      </c>
    </row>
    <row r="608" spans="1:29" x14ac:dyDescent="0.3">
      <c r="A608" t="s">
        <v>732</v>
      </c>
      <c r="B608" s="6">
        <v>45928</v>
      </c>
      <c r="C608" s="6" t="str">
        <f t="shared" si="54"/>
        <v>12 PM - 4 PM</v>
      </c>
      <c r="D608" s="4">
        <v>0.55069444444444449</v>
      </c>
      <c r="E608" t="s">
        <v>622</v>
      </c>
      <c r="F608" t="s">
        <v>24</v>
      </c>
      <c r="G608" t="s">
        <v>88</v>
      </c>
      <c r="H608" t="s">
        <v>53</v>
      </c>
      <c r="I608" t="s">
        <v>92</v>
      </c>
      <c r="J608" t="s">
        <v>35</v>
      </c>
      <c r="K608">
        <v>1</v>
      </c>
      <c r="L608" s="8">
        <v>3900</v>
      </c>
      <c r="M608" s="8" t="str">
        <f t="shared" si="55"/>
        <v>21-30%</v>
      </c>
      <c r="N608">
        <v>25</v>
      </c>
      <c r="O608" t="str">
        <f t="shared" si="56"/>
        <v>Valid</v>
      </c>
      <c r="P608" t="str">
        <f t="shared" si="57"/>
        <v>Match</v>
      </c>
      <c r="Q608" s="8">
        <v>3900</v>
      </c>
      <c r="R608" s="8">
        <v>975</v>
      </c>
      <c r="S608" s="8">
        <v>2925</v>
      </c>
      <c r="T608" s="8">
        <v>2650.25</v>
      </c>
      <c r="U608" s="8">
        <v>274.75</v>
      </c>
      <c r="V608" s="8" t="b">
        <f t="shared" si="58"/>
        <v>0</v>
      </c>
      <c r="W608" s="8">
        <f t="shared" si="59"/>
        <v>0</v>
      </c>
      <c r="X608" t="s">
        <v>79</v>
      </c>
      <c r="Y608" t="s">
        <v>65</v>
      </c>
      <c r="Z608" t="s">
        <v>38</v>
      </c>
      <c r="AA608">
        <v>4</v>
      </c>
      <c r="AB608" t="s">
        <v>155</v>
      </c>
      <c r="AC608" t="s">
        <v>30</v>
      </c>
    </row>
    <row r="609" spans="1:29" x14ac:dyDescent="0.3">
      <c r="A609" t="s">
        <v>733</v>
      </c>
      <c r="B609" s="6">
        <v>45759</v>
      </c>
      <c r="C609" s="6" t="str">
        <f t="shared" si="54"/>
        <v>4 AM - 8 AM</v>
      </c>
      <c r="D609" s="4">
        <v>0.17916666666666667</v>
      </c>
      <c r="E609" t="s">
        <v>77</v>
      </c>
      <c r="F609" t="s">
        <v>51</v>
      </c>
      <c r="G609" t="s">
        <v>73</v>
      </c>
      <c r="H609" t="s">
        <v>74</v>
      </c>
      <c r="I609" t="s">
        <v>98</v>
      </c>
      <c r="J609" t="s">
        <v>35</v>
      </c>
      <c r="K609">
        <v>2</v>
      </c>
      <c r="L609" s="8">
        <v>6300</v>
      </c>
      <c r="M609" s="8" t="str">
        <f t="shared" si="55"/>
        <v>1-10%</v>
      </c>
      <c r="N609">
        <v>5</v>
      </c>
      <c r="O609" t="str">
        <f t="shared" si="56"/>
        <v>Valid</v>
      </c>
      <c r="P609" t="str">
        <f t="shared" si="57"/>
        <v>Match</v>
      </c>
      <c r="Q609" s="8">
        <v>12600</v>
      </c>
      <c r="R609" s="8">
        <v>630</v>
      </c>
      <c r="S609" s="8">
        <v>11970</v>
      </c>
      <c r="T609" s="8">
        <v>8845.2099999999991</v>
      </c>
      <c r="U609" s="8">
        <v>3124.79</v>
      </c>
      <c r="V609" s="8" t="b">
        <f t="shared" si="58"/>
        <v>0</v>
      </c>
      <c r="W609" s="8">
        <f t="shared" si="59"/>
        <v>0</v>
      </c>
      <c r="X609" t="s">
        <v>36</v>
      </c>
      <c r="Y609" t="s">
        <v>89</v>
      </c>
      <c r="Z609" t="s">
        <v>64</v>
      </c>
      <c r="AA609">
        <v>3</v>
      </c>
      <c r="AB609" t="s">
        <v>99</v>
      </c>
      <c r="AC609" t="s">
        <v>71</v>
      </c>
    </row>
    <row r="610" spans="1:29" x14ac:dyDescent="0.3">
      <c r="A610" t="s">
        <v>734</v>
      </c>
      <c r="B610" s="6">
        <v>45927</v>
      </c>
      <c r="C610" s="6" t="str">
        <f t="shared" si="54"/>
        <v>4 AM - 8 AM</v>
      </c>
      <c r="D610" s="4">
        <v>0.31944444444444442</v>
      </c>
      <c r="E610" t="s">
        <v>108</v>
      </c>
      <c r="F610" t="s">
        <v>24</v>
      </c>
      <c r="G610" t="s">
        <v>61</v>
      </c>
      <c r="H610" t="s">
        <v>113</v>
      </c>
      <c r="I610" t="s">
        <v>63</v>
      </c>
      <c r="J610" t="s">
        <v>35</v>
      </c>
      <c r="K610">
        <v>1</v>
      </c>
      <c r="L610" s="8">
        <v>17650</v>
      </c>
      <c r="M610" s="8" t="str">
        <f t="shared" si="55"/>
        <v>1-10%</v>
      </c>
      <c r="N610">
        <v>5</v>
      </c>
      <c r="O610" t="str">
        <f t="shared" si="56"/>
        <v>Valid</v>
      </c>
      <c r="P610" t="str">
        <f t="shared" si="57"/>
        <v>Match</v>
      </c>
      <c r="Q610" s="8">
        <v>17650</v>
      </c>
      <c r="R610" s="8">
        <v>882.5</v>
      </c>
      <c r="S610" s="8">
        <v>16767.5</v>
      </c>
      <c r="T610" s="8">
        <v>11673.42</v>
      </c>
      <c r="U610" s="8">
        <v>5094.08</v>
      </c>
      <c r="V610" s="8" t="b">
        <f t="shared" si="58"/>
        <v>0</v>
      </c>
      <c r="W610" s="8">
        <f t="shared" si="59"/>
        <v>0</v>
      </c>
      <c r="X610" t="s">
        <v>28</v>
      </c>
      <c r="Y610" t="s">
        <v>47</v>
      </c>
      <c r="Z610" t="s">
        <v>38</v>
      </c>
      <c r="AA610">
        <v>5</v>
      </c>
      <c r="AB610" t="s">
        <v>155</v>
      </c>
      <c r="AC610" t="s">
        <v>71</v>
      </c>
    </row>
    <row r="611" spans="1:29" x14ac:dyDescent="0.3">
      <c r="A611" t="s">
        <v>735</v>
      </c>
      <c r="B611" s="6">
        <v>46016</v>
      </c>
      <c r="C611" s="6" t="str">
        <f t="shared" si="54"/>
        <v>12 AM - 4 AM</v>
      </c>
      <c r="D611" s="4">
        <v>0.13333333333333333</v>
      </c>
      <c r="E611" t="s">
        <v>622</v>
      </c>
      <c r="F611" t="s">
        <v>24</v>
      </c>
      <c r="G611" t="s">
        <v>88</v>
      </c>
      <c r="H611" t="s">
        <v>34</v>
      </c>
      <c r="I611" t="s">
        <v>98</v>
      </c>
      <c r="J611" t="s">
        <v>35</v>
      </c>
      <c r="K611">
        <v>2</v>
      </c>
      <c r="L611" s="8">
        <v>1150</v>
      </c>
      <c r="M611" s="8" t="str">
        <f t="shared" si="55"/>
        <v>0%</v>
      </c>
      <c r="N611">
        <v>0</v>
      </c>
      <c r="O611" t="str">
        <f t="shared" si="56"/>
        <v>Valid</v>
      </c>
      <c r="P611" t="str">
        <f t="shared" si="57"/>
        <v>Match</v>
      </c>
      <c r="Q611" s="8">
        <v>2300</v>
      </c>
      <c r="R611" s="8">
        <v>0</v>
      </c>
      <c r="S611" s="8">
        <v>2300</v>
      </c>
      <c r="T611" s="8">
        <v>1485.72</v>
      </c>
      <c r="U611" s="8">
        <v>814.28</v>
      </c>
      <c r="V611" s="8" t="b">
        <f t="shared" si="58"/>
        <v>0</v>
      </c>
      <c r="W611" s="8">
        <f t="shared" si="59"/>
        <v>0</v>
      </c>
      <c r="X611" t="s">
        <v>28</v>
      </c>
      <c r="Y611" t="s">
        <v>47</v>
      </c>
      <c r="Z611" t="s">
        <v>80</v>
      </c>
      <c r="AA611">
        <v>5</v>
      </c>
      <c r="AB611" t="s">
        <v>39</v>
      </c>
      <c r="AC611" t="s">
        <v>67</v>
      </c>
    </row>
    <row r="612" spans="1:29" x14ac:dyDescent="0.3">
      <c r="A612" t="s">
        <v>736</v>
      </c>
      <c r="B612" s="6">
        <v>45979</v>
      </c>
      <c r="C612" s="6" t="str">
        <f t="shared" si="54"/>
        <v>8 AM - 12 PM</v>
      </c>
      <c r="D612" s="4">
        <v>0.37013888888888891</v>
      </c>
      <c r="E612" t="s">
        <v>69</v>
      </c>
      <c r="F612" t="s">
        <v>24</v>
      </c>
      <c r="G612" t="s">
        <v>84</v>
      </c>
      <c r="H612" t="s">
        <v>26</v>
      </c>
      <c r="I612" t="s">
        <v>92</v>
      </c>
      <c r="J612" t="s">
        <v>35</v>
      </c>
      <c r="K612">
        <v>2</v>
      </c>
      <c r="L612" s="8">
        <v>18550</v>
      </c>
      <c r="M612" s="8" t="str">
        <f t="shared" si="55"/>
        <v>21-30%</v>
      </c>
      <c r="N612">
        <v>30</v>
      </c>
      <c r="O612" t="str">
        <f t="shared" si="56"/>
        <v>Valid</v>
      </c>
      <c r="P612" t="str">
        <f t="shared" si="57"/>
        <v>Match</v>
      </c>
      <c r="Q612" s="8">
        <v>37100</v>
      </c>
      <c r="R612" s="8">
        <v>11130</v>
      </c>
      <c r="S612" s="8">
        <v>25970</v>
      </c>
      <c r="T612" s="8">
        <v>22491.599999999999</v>
      </c>
      <c r="U612" s="8">
        <v>3478.4</v>
      </c>
      <c r="V612" s="8" t="b">
        <f t="shared" si="58"/>
        <v>0</v>
      </c>
      <c r="W612" s="8">
        <f t="shared" si="59"/>
        <v>0</v>
      </c>
      <c r="X612" t="s">
        <v>46</v>
      </c>
      <c r="Y612" t="s">
        <v>47</v>
      </c>
      <c r="Z612" t="s">
        <v>64</v>
      </c>
      <c r="AA612">
        <v>2.5</v>
      </c>
      <c r="AB612" t="s">
        <v>75</v>
      </c>
      <c r="AC612" t="s">
        <v>86</v>
      </c>
    </row>
    <row r="613" spans="1:29" x14ac:dyDescent="0.3">
      <c r="A613" t="s">
        <v>737</v>
      </c>
      <c r="B613" s="6">
        <v>45987</v>
      </c>
      <c r="C613" s="6" t="str">
        <f t="shared" si="54"/>
        <v>12 AM - 4 AM</v>
      </c>
      <c r="D613" s="4">
        <v>7.4305555555555555E-2</v>
      </c>
      <c r="E613" t="s">
        <v>108</v>
      </c>
      <c r="F613" t="s">
        <v>24</v>
      </c>
      <c r="G613" t="s">
        <v>110</v>
      </c>
      <c r="H613" t="s">
        <v>102</v>
      </c>
      <c r="I613" t="s">
        <v>92</v>
      </c>
      <c r="J613" t="s">
        <v>35</v>
      </c>
      <c r="K613">
        <v>3</v>
      </c>
      <c r="L613" s="8">
        <v>2500</v>
      </c>
      <c r="M613" s="8" t="str">
        <f t="shared" si="55"/>
        <v>21-30%</v>
      </c>
      <c r="N613">
        <v>25</v>
      </c>
      <c r="O613" t="str">
        <f t="shared" si="56"/>
        <v>Valid</v>
      </c>
      <c r="P613" t="str">
        <f t="shared" si="57"/>
        <v>Match</v>
      </c>
      <c r="Q613" s="8">
        <v>7500</v>
      </c>
      <c r="R613" s="8">
        <v>1875</v>
      </c>
      <c r="S613" s="8">
        <v>5625</v>
      </c>
      <c r="T613" s="8">
        <v>3970.41</v>
      </c>
      <c r="U613" s="8">
        <v>1654.59</v>
      </c>
      <c r="V613" s="8" t="b">
        <f t="shared" si="58"/>
        <v>0</v>
      </c>
      <c r="W613" s="8">
        <f t="shared" si="59"/>
        <v>0</v>
      </c>
      <c r="X613" t="s">
        <v>493</v>
      </c>
      <c r="Y613" t="s">
        <v>70</v>
      </c>
      <c r="Z613" t="s">
        <v>80</v>
      </c>
      <c r="AA613">
        <v>3.5</v>
      </c>
      <c r="AB613" t="s">
        <v>75</v>
      </c>
      <c r="AC613" t="s">
        <v>40</v>
      </c>
    </row>
    <row r="614" spans="1:29" x14ac:dyDescent="0.3">
      <c r="A614" t="s">
        <v>738</v>
      </c>
      <c r="B614" s="6">
        <v>45993</v>
      </c>
      <c r="C614" s="6" t="str">
        <f t="shared" si="54"/>
        <v>12 PM - 4 PM</v>
      </c>
      <c r="D614" s="4">
        <v>0.55138888888888893</v>
      </c>
      <c r="E614" t="s">
        <v>60</v>
      </c>
      <c r="F614" t="s">
        <v>96</v>
      </c>
      <c r="G614" t="s">
        <v>145</v>
      </c>
      <c r="H614" t="s">
        <v>74</v>
      </c>
      <c r="I614" t="s">
        <v>44</v>
      </c>
      <c r="J614" t="s">
        <v>35</v>
      </c>
      <c r="K614">
        <v>3</v>
      </c>
      <c r="L614" s="8">
        <v>3300</v>
      </c>
      <c r="M614" s="8" t="str">
        <f t="shared" si="55"/>
        <v>11-20%</v>
      </c>
      <c r="N614">
        <v>20</v>
      </c>
      <c r="O614" t="str">
        <f t="shared" si="56"/>
        <v>Valid</v>
      </c>
      <c r="P614" t="str">
        <f t="shared" si="57"/>
        <v>Match</v>
      </c>
      <c r="Q614" s="8">
        <v>9900</v>
      </c>
      <c r="R614" s="8">
        <v>1980</v>
      </c>
      <c r="S614" s="8">
        <v>7920</v>
      </c>
      <c r="T614" s="8">
        <v>6897.19</v>
      </c>
      <c r="U614" s="8">
        <v>1022.81</v>
      </c>
      <c r="V614" s="8" t="b">
        <f t="shared" si="58"/>
        <v>0</v>
      </c>
      <c r="W614" s="8">
        <f t="shared" si="59"/>
        <v>0</v>
      </c>
      <c r="X614" t="s">
        <v>55</v>
      </c>
      <c r="Y614" t="s">
        <v>89</v>
      </c>
      <c r="Z614" t="s">
        <v>45</v>
      </c>
      <c r="AA614">
        <v>4</v>
      </c>
      <c r="AB614" t="s">
        <v>39</v>
      </c>
      <c r="AC614" t="s">
        <v>86</v>
      </c>
    </row>
    <row r="615" spans="1:29" x14ac:dyDescent="0.3">
      <c r="A615" t="s">
        <v>739</v>
      </c>
      <c r="B615" s="6">
        <v>45968</v>
      </c>
      <c r="C615" s="6" t="str">
        <f t="shared" si="54"/>
        <v>8 PM - 12 AM</v>
      </c>
      <c r="D615" s="4">
        <v>0.9194444444444444</v>
      </c>
      <c r="E615" t="s">
        <v>622</v>
      </c>
      <c r="F615" t="s">
        <v>51</v>
      </c>
      <c r="G615" t="s">
        <v>122</v>
      </c>
      <c r="H615" t="s">
        <v>43</v>
      </c>
      <c r="I615" t="s">
        <v>103</v>
      </c>
      <c r="J615" t="s">
        <v>78</v>
      </c>
      <c r="K615">
        <v>2</v>
      </c>
      <c r="L615" s="8">
        <v>5050</v>
      </c>
      <c r="M615" s="8" t="str">
        <f t="shared" si="55"/>
        <v>0%</v>
      </c>
      <c r="N615">
        <v>0</v>
      </c>
      <c r="O615" t="str">
        <f t="shared" si="56"/>
        <v>Valid</v>
      </c>
      <c r="P615" t="str">
        <f t="shared" si="57"/>
        <v>Match</v>
      </c>
      <c r="Q615" s="8">
        <v>10100</v>
      </c>
      <c r="R615" s="8">
        <v>0</v>
      </c>
      <c r="S615" s="8">
        <v>10100</v>
      </c>
      <c r="T615" s="8">
        <v>6066.04</v>
      </c>
      <c r="U615" s="8">
        <v>4033.96</v>
      </c>
      <c r="V615" s="8" t="b">
        <f t="shared" si="58"/>
        <v>0</v>
      </c>
      <c r="W615" s="8">
        <f t="shared" si="59"/>
        <v>0</v>
      </c>
      <c r="X615" t="s">
        <v>46</v>
      </c>
      <c r="Y615" t="s">
        <v>89</v>
      </c>
      <c r="Z615" t="s">
        <v>80</v>
      </c>
      <c r="AA615">
        <v>3</v>
      </c>
      <c r="AB615" t="s">
        <v>75</v>
      </c>
      <c r="AC615" t="s">
        <v>58</v>
      </c>
    </row>
    <row r="616" spans="1:29" x14ac:dyDescent="0.3">
      <c r="A616" t="s">
        <v>740</v>
      </c>
      <c r="B616" s="6">
        <v>45794</v>
      </c>
      <c r="C616" s="6" t="str">
        <f t="shared" si="54"/>
        <v>4 PM - 8 PM</v>
      </c>
      <c r="D616" s="4">
        <v>0.72013888888888888</v>
      </c>
      <c r="E616" t="s">
        <v>622</v>
      </c>
      <c r="F616" t="s">
        <v>96</v>
      </c>
      <c r="G616" t="s">
        <v>145</v>
      </c>
      <c r="H616" t="s">
        <v>102</v>
      </c>
      <c r="I616" t="s">
        <v>63</v>
      </c>
      <c r="J616" t="s">
        <v>64</v>
      </c>
      <c r="K616">
        <v>1</v>
      </c>
      <c r="L616" s="8">
        <v>2650</v>
      </c>
      <c r="M616" s="8" t="str">
        <f t="shared" si="55"/>
        <v>0%</v>
      </c>
      <c r="N616">
        <v>0</v>
      </c>
      <c r="O616" t="str">
        <f t="shared" si="56"/>
        <v>Valid</v>
      </c>
      <c r="P616" t="str">
        <f t="shared" si="57"/>
        <v>Match</v>
      </c>
      <c r="Q616" s="8">
        <v>2650</v>
      </c>
      <c r="R616" s="8">
        <v>0</v>
      </c>
      <c r="S616" s="8">
        <v>2650</v>
      </c>
      <c r="T616" s="8">
        <v>1948.98</v>
      </c>
      <c r="U616" s="8">
        <v>701.02</v>
      </c>
      <c r="V616" s="8" t="b">
        <f t="shared" si="58"/>
        <v>0</v>
      </c>
      <c r="W616" s="8">
        <f t="shared" si="59"/>
        <v>0</v>
      </c>
      <c r="X616" t="s">
        <v>248</v>
      </c>
      <c r="Y616" t="s">
        <v>70</v>
      </c>
      <c r="Z616" t="s">
        <v>85</v>
      </c>
      <c r="AA616">
        <v>3.5</v>
      </c>
      <c r="AB616" t="s">
        <v>111</v>
      </c>
      <c r="AC616" t="s">
        <v>71</v>
      </c>
    </row>
    <row r="617" spans="1:29" x14ac:dyDescent="0.3">
      <c r="A617" t="s">
        <v>741</v>
      </c>
      <c r="B617" s="6">
        <v>45742</v>
      </c>
      <c r="C617" s="6" t="str">
        <f t="shared" si="54"/>
        <v>12 PM - 4 PM</v>
      </c>
      <c r="D617" s="4">
        <v>0.66319444444444442</v>
      </c>
      <c r="E617" t="s">
        <v>622</v>
      </c>
      <c r="F617" t="s">
        <v>24</v>
      </c>
      <c r="G617" t="s">
        <v>42</v>
      </c>
      <c r="H617" t="s">
        <v>43</v>
      </c>
      <c r="I617" t="s">
        <v>44</v>
      </c>
      <c r="J617" t="s">
        <v>35</v>
      </c>
      <c r="K617">
        <v>2</v>
      </c>
      <c r="L617" s="8">
        <v>101800</v>
      </c>
      <c r="M617" s="8" t="str">
        <f t="shared" si="55"/>
        <v>11-20%</v>
      </c>
      <c r="N617">
        <v>20</v>
      </c>
      <c r="O617" t="str">
        <f t="shared" si="56"/>
        <v>Valid</v>
      </c>
      <c r="P617" t="str">
        <f t="shared" si="57"/>
        <v>Match</v>
      </c>
      <c r="Q617" s="8">
        <v>203600</v>
      </c>
      <c r="R617" s="8">
        <v>40720</v>
      </c>
      <c r="S617" s="8">
        <v>162880</v>
      </c>
      <c r="T617" s="8">
        <v>112433.65</v>
      </c>
      <c r="U617" s="8">
        <v>50446.35</v>
      </c>
      <c r="V617" s="8" t="b">
        <f t="shared" si="58"/>
        <v>0</v>
      </c>
      <c r="W617" s="8">
        <f t="shared" si="59"/>
        <v>0</v>
      </c>
      <c r="X617" t="s">
        <v>28</v>
      </c>
      <c r="Y617" t="s">
        <v>65</v>
      </c>
      <c r="Z617" t="s">
        <v>38</v>
      </c>
      <c r="AA617">
        <v>3.5</v>
      </c>
      <c r="AB617" t="s">
        <v>127</v>
      </c>
      <c r="AC617" t="s">
        <v>40</v>
      </c>
    </row>
    <row r="618" spans="1:29" x14ac:dyDescent="0.3">
      <c r="A618" t="s">
        <v>742</v>
      </c>
      <c r="B618" s="6">
        <v>45949</v>
      </c>
      <c r="C618" s="6" t="str">
        <f t="shared" si="54"/>
        <v>4 AM - 8 AM</v>
      </c>
      <c r="D618" s="4">
        <v>0.28055555555555556</v>
      </c>
      <c r="E618" t="s">
        <v>77</v>
      </c>
      <c r="F618" t="s">
        <v>51</v>
      </c>
      <c r="G618" t="s">
        <v>73</v>
      </c>
      <c r="H618" t="s">
        <v>113</v>
      </c>
      <c r="I618" t="s">
        <v>44</v>
      </c>
      <c r="J618" t="s">
        <v>85</v>
      </c>
      <c r="K618">
        <v>3</v>
      </c>
      <c r="L618" s="8">
        <v>1750</v>
      </c>
      <c r="M618" s="8" t="str">
        <f t="shared" si="55"/>
        <v>11-20%</v>
      </c>
      <c r="N618">
        <v>15</v>
      </c>
      <c r="O618" t="str">
        <f t="shared" si="56"/>
        <v>Valid</v>
      </c>
      <c r="P618" t="str">
        <f t="shared" si="57"/>
        <v>Match</v>
      </c>
      <c r="Q618" s="8">
        <v>5250</v>
      </c>
      <c r="R618" s="8">
        <v>787.5</v>
      </c>
      <c r="S618" s="8">
        <v>4462.5</v>
      </c>
      <c r="T618" s="8">
        <v>2909.84</v>
      </c>
      <c r="U618" s="8">
        <v>1552.66</v>
      </c>
      <c r="V618" s="8" t="b">
        <f t="shared" si="58"/>
        <v>0</v>
      </c>
      <c r="W618" s="8">
        <f t="shared" si="59"/>
        <v>0</v>
      </c>
      <c r="X618" t="s">
        <v>55</v>
      </c>
      <c r="Y618" t="s">
        <v>47</v>
      </c>
      <c r="Z618" t="s">
        <v>64</v>
      </c>
      <c r="AA618">
        <v>3.5</v>
      </c>
      <c r="AB618" t="s">
        <v>57</v>
      </c>
      <c r="AC618" t="s">
        <v>30</v>
      </c>
    </row>
    <row r="619" spans="1:29" x14ac:dyDescent="0.3">
      <c r="A619" t="s">
        <v>743</v>
      </c>
      <c r="B619" s="6">
        <v>45722</v>
      </c>
      <c r="C619" s="6" t="str">
        <f t="shared" si="54"/>
        <v>12 AM - 4 AM</v>
      </c>
      <c r="D619" s="4">
        <v>7.8472222222222221E-2</v>
      </c>
      <c r="E619" t="s">
        <v>77</v>
      </c>
      <c r="F619" t="s">
        <v>24</v>
      </c>
      <c r="G619" t="s">
        <v>88</v>
      </c>
      <c r="H619" t="s">
        <v>53</v>
      </c>
      <c r="I619" t="s">
        <v>92</v>
      </c>
      <c r="J619" t="s">
        <v>35</v>
      </c>
      <c r="K619">
        <v>2</v>
      </c>
      <c r="L619" s="8">
        <v>1700</v>
      </c>
      <c r="M619" s="8" t="str">
        <f t="shared" si="55"/>
        <v>11-20%</v>
      </c>
      <c r="N619">
        <v>15</v>
      </c>
      <c r="O619" t="str">
        <f t="shared" si="56"/>
        <v>Valid</v>
      </c>
      <c r="P619" t="str">
        <f t="shared" si="57"/>
        <v>Match</v>
      </c>
      <c r="Q619" s="8">
        <v>3400</v>
      </c>
      <c r="R619" s="8">
        <v>510</v>
      </c>
      <c r="S619" s="8">
        <v>2890</v>
      </c>
      <c r="T619" s="8">
        <v>2323.65</v>
      </c>
      <c r="U619" s="8">
        <v>566.35</v>
      </c>
      <c r="V619" s="8" t="b">
        <f t="shared" si="58"/>
        <v>0</v>
      </c>
      <c r="W619" s="8">
        <f t="shared" si="59"/>
        <v>0</v>
      </c>
      <c r="X619" t="s">
        <v>28</v>
      </c>
      <c r="Y619" t="s">
        <v>89</v>
      </c>
      <c r="Z619" t="s">
        <v>85</v>
      </c>
      <c r="AA619">
        <v>3.5</v>
      </c>
      <c r="AB619" t="s">
        <v>127</v>
      </c>
      <c r="AC619" t="s">
        <v>67</v>
      </c>
    </row>
    <row r="620" spans="1:29" x14ac:dyDescent="0.3">
      <c r="A620" t="s">
        <v>744</v>
      </c>
      <c r="B620" s="6">
        <v>45832</v>
      </c>
      <c r="C620" s="6" t="str">
        <f t="shared" si="54"/>
        <v>4 AM - 8 AM</v>
      </c>
      <c r="D620" s="4">
        <v>0.23819444444444443</v>
      </c>
      <c r="E620" t="s">
        <v>32</v>
      </c>
      <c r="F620" t="s">
        <v>51</v>
      </c>
      <c r="G620" t="s">
        <v>52</v>
      </c>
      <c r="H620" t="s">
        <v>34</v>
      </c>
      <c r="I620" t="s">
        <v>63</v>
      </c>
      <c r="J620" t="s">
        <v>78</v>
      </c>
      <c r="K620">
        <v>1</v>
      </c>
      <c r="L620" s="8">
        <v>20650</v>
      </c>
      <c r="M620" s="8" t="str">
        <f t="shared" si="55"/>
        <v>11-20%</v>
      </c>
      <c r="N620">
        <v>20</v>
      </c>
      <c r="O620" t="str">
        <f t="shared" si="56"/>
        <v>Valid</v>
      </c>
      <c r="P620" t="str">
        <f t="shared" si="57"/>
        <v>Match</v>
      </c>
      <c r="Q620" s="8">
        <v>20650</v>
      </c>
      <c r="R620" s="8">
        <v>4130</v>
      </c>
      <c r="S620" s="8">
        <v>16520</v>
      </c>
      <c r="T620" s="8">
        <v>14665.38</v>
      </c>
      <c r="U620" s="8">
        <v>1854.62</v>
      </c>
      <c r="V620" s="8" t="b">
        <f t="shared" si="58"/>
        <v>0</v>
      </c>
      <c r="W620" s="8">
        <f t="shared" si="59"/>
        <v>0</v>
      </c>
      <c r="X620" t="s">
        <v>55</v>
      </c>
      <c r="Y620" t="s">
        <v>94</v>
      </c>
      <c r="Z620" t="s">
        <v>38</v>
      </c>
      <c r="AA620">
        <v>3.5</v>
      </c>
      <c r="AB620" t="s">
        <v>48</v>
      </c>
      <c r="AC620" t="s">
        <v>86</v>
      </c>
    </row>
    <row r="621" spans="1:29" x14ac:dyDescent="0.3">
      <c r="A621" t="s">
        <v>745</v>
      </c>
      <c r="B621" s="6">
        <v>46001</v>
      </c>
      <c r="C621" s="6" t="str">
        <f t="shared" si="54"/>
        <v>12 AM - 4 AM</v>
      </c>
      <c r="D621" s="4">
        <v>2.9861111111111113E-2</v>
      </c>
      <c r="E621" t="s">
        <v>60</v>
      </c>
      <c r="F621" t="s">
        <v>24</v>
      </c>
      <c r="G621" t="s">
        <v>84</v>
      </c>
      <c r="H621" t="s">
        <v>62</v>
      </c>
      <c r="I621" t="s">
        <v>63</v>
      </c>
      <c r="J621" t="s">
        <v>35</v>
      </c>
      <c r="K621">
        <v>1</v>
      </c>
      <c r="L621" s="8">
        <v>11550</v>
      </c>
      <c r="M621" s="8" t="str">
        <f t="shared" si="55"/>
        <v>30%+</v>
      </c>
      <c r="N621">
        <v>55</v>
      </c>
      <c r="O621" t="str">
        <f t="shared" si="56"/>
        <v>Valid</v>
      </c>
      <c r="P621" t="str">
        <f t="shared" si="57"/>
        <v>Mismatch</v>
      </c>
      <c r="Q621" s="8">
        <v>11550</v>
      </c>
      <c r="R621" s="8">
        <v>1732.5</v>
      </c>
      <c r="S621" s="8">
        <v>9817.5</v>
      </c>
      <c r="T621" s="8">
        <v>6434.04</v>
      </c>
      <c r="U621" s="8">
        <v>3383.46</v>
      </c>
      <c r="V621" s="8" t="b">
        <f t="shared" si="58"/>
        <v>0</v>
      </c>
      <c r="W621" s="8">
        <f t="shared" si="59"/>
        <v>0</v>
      </c>
      <c r="X621" t="s">
        <v>55</v>
      </c>
      <c r="Y621" t="s">
        <v>70</v>
      </c>
      <c r="Z621" t="s">
        <v>38</v>
      </c>
      <c r="AA621">
        <v>5</v>
      </c>
      <c r="AB621" t="s">
        <v>39</v>
      </c>
      <c r="AC621" t="s">
        <v>40</v>
      </c>
    </row>
    <row r="622" spans="1:29" x14ac:dyDescent="0.3">
      <c r="A622" t="s">
        <v>746</v>
      </c>
      <c r="B622" s="6">
        <v>45773</v>
      </c>
      <c r="C622" s="6" t="str">
        <f t="shared" si="54"/>
        <v>12 AM - 4 AM</v>
      </c>
      <c r="D622" s="4">
        <v>8.0555555555555561E-2</v>
      </c>
      <c r="E622" t="s">
        <v>77</v>
      </c>
      <c r="F622" t="s">
        <v>51</v>
      </c>
      <c r="G622" t="s">
        <v>73</v>
      </c>
      <c r="H622" t="s">
        <v>43</v>
      </c>
      <c r="I622" t="s">
        <v>63</v>
      </c>
      <c r="J622" t="s">
        <v>93</v>
      </c>
      <c r="K622">
        <v>1</v>
      </c>
      <c r="L622" s="8">
        <v>4700</v>
      </c>
      <c r="M622" s="8" t="str">
        <f t="shared" si="55"/>
        <v>21-30%</v>
      </c>
      <c r="N622">
        <v>25</v>
      </c>
      <c r="O622" t="str">
        <f t="shared" si="56"/>
        <v>Valid</v>
      </c>
      <c r="P622" t="str">
        <f t="shared" si="57"/>
        <v>Match</v>
      </c>
      <c r="Q622" s="8">
        <v>4700</v>
      </c>
      <c r="R622" s="8">
        <v>1175</v>
      </c>
      <c r="S622" s="8">
        <v>3525</v>
      </c>
      <c r="T622" s="8">
        <v>2778</v>
      </c>
      <c r="U622" s="8">
        <v>747</v>
      </c>
      <c r="V622" s="8" t="b">
        <f t="shared" si="58"/>
        <v>0</v>
      </c>
      <c r="W622" s="8">
        <f t="shared" si="59"/>
        <v>0</v>
      </c>
      <c r="X622" t="s">
        <v>230</v>
      </c>
      <c r="Y622" t="s">
        <v>104</v>
      </c>
      <c r="Z622" t="s">
        <v>45</v>
      </c>
      <c r="AA622">
        <v>4.5</v>
      </c>
      <c r="AB622" t="s">
        <v>99</v>
      </c>
      <c r="AC622" t="s">
        <v>71</v>
      </c>
    </row>
    <row r="623" spans="1:29" x14ac:dyDescent="0.3">
      <c r="A623" t="s">
        <v>747</v>
      </c>
      <c r="B623" s="6">
        <v>45978</v>
      </c>
      <c r="C623" s="6" t="str">
        <f t="shared" si="54"/>
        <v>4 PM - 8 PM</v>
      </c>
      <c r="D623" s="4">
        <v>0.77916666666666667</v>
      </c>
      <c r="E623" t="s">
        <v>108</v>
      </c>
      <c r="F623" t="s">
        <v>24</v>
      </c>
      <c r="G623" t="s">
        <v>110</v>
      </c>
      <c r="H623" t="s">
        <v>26</v>
      </c>
      <c r="I623" t="s">
        <v>82</v>
      </c>
      <c r="J623" t="s">
        <v>78</v>
      </c>
      <c r="K623">
        <v>1</v>
      </c>
      <c r="L623" s="8">
        <v>1350</v>
      </c>
      <c r="M623" s="8" t="str">
        <f t="shared" si="55"/>
        <v>1-10%</v>
      </c>
      <c r="N623">
        <v>10</v>
      </c>
      <c r="O623" t="str">
        <f t="shared" si="56"/>
        <v>Valid</v>
      </c>
      <c r="P623" t="str">
        <f t="shared" si="57"/>
        <v>Match</v>
      </c>
      <c r="Q623" s="8">
        <v>1350</v>
      </c>
      <c r="R623" s="8">
        <v>135</v>
      </c>
      <c r="S623" s="8">
        <v>1215</v>
      </c>
      <c r="T623" s="8">
        <v>935.98</v>
      </c>
      <c r="U623" s="8">
        <v>279.02</v>
      </c>
      <c r="V623" s="8" t="b">
        <f t="shared" si="58"/>
        <v>0</v>
      </c>
      <c r="W623" s="8">
        <f t="shared" si="59"/>
        <v>0</v>
      </c>
      <c r="X623" t="s">
        <v>79</v>
      </c>
      <c r="Y623" t="s">
        <v>94</v>
      </c>
      <c r="Z623" t="s">
        <v>85</v>
      </c>
      <c r="AA623">
        <v>3.5</v>
      </c>
      <c r="AB623" t="s">
        <v>75</v>
      </c>
      <c r="AC623" t="s">
        <v>49</v>
      </c>
    </row>
    <row r="624" spans="1:29" x14ac:dyDescent="0.3">
      <c r="A624" t="s">
        <v>748</v>
      </c>
      <c r="B624" s="6">
        <v>45941</v>
      </c>
      <c r="C624" s="6" t="str">
        <f t="shared" si="54"/>
        <v>12 AM - 4 AM</v>
      </c>
      <c r="D624" s="4">
        <v>5.2777777777777778E-2</v>
      </c>
      <c r="E624" t="s">
        <v>622</v>
      </c>
      <c r="F624" t="s">
        <v>24</v>
      </c>
      <c r="G624" t="s">
        <v>33</v>
      </c>
      <c r="H624" t="s">
        <v>26</v>
      </c>
      <c r="I624" t="s">
        <v>63</v>
      </c>
      <c r="J624" t="s">
        <v>35</v>
      </c>
      <c r="K624">
        <v>3</v>
      </c>
      <c r="L624" s="8">
        <v>1050</v>
      </c>
      <c r="M624" s="8" t="str">
        <f t="shared" si="55"/>
        <v>0%</v>
      </c>
      <c r="N624">
        <v>0</v>
      </c>
      <c r="O624" t="str">
        <f t="shared" si="56"/>
        <v>Valid</v>
      </c>
      <c r="P624" t="str">
        <f t="shared" si="57"/>
        <v>Match</v>
      </c>
      <c r="Q624" s="8">
        <v>3150</v>
      </c>
      <c r="R624" s="8">
        <v>0</v>
      </c>
      <c r="S624" s="8">
        <v>3150</v>
      </c>
      <c r="T624" s="8">
        <v>2064.5100000000002</v>
      </c>
      <c r="U624" s="8">
        <v>1085.49</v>
      </c>
      <c r="V624" s="8" t="b">
        <f t="shared" si="58"/>
        <v>0</v>
      </c>
      <c r="W624" s="8">
        <f t="shared" si="59"/>
        <v>0</v>
      </c>
      <c r="X624" t="s">
        <v>28</v>
      </c>
      <c r="Y624" t="s">
        <v>89</v>
      </c>
      <c r="Z624" t="s">
        <v>85</v>
      </c>
      <c r="AA624">
        <v>4</v>
      </c>
      <c r="AB624" t="s">
        <v>57</v>
      </c>
      <c r="AC624" t="s">
        <v>71</v>
      </c>
    </row>
    <row r="625" spans="1:29" x14ac:dyDescent="0.3">
      <c r="A625" t="s">
        <v>749</v>
      </c>
      <c r="B625" s="6">
        <v>45747</v>
      </c>
      <c r="C625" s="6" t="str">
        <f t="shared" si="54"/>
        <v>4 PM - 8 PM</v>
      </c>
      <c r="D625" s="4">
        <v>0.71527777777777779</v>
      </c>
      <c r="E625" t="s">
        <v>60</v>
      </c>
      <c r="F625" t="s">
        <v>51</v>
      </c>
      <c r="G625" t="s">
        <v>153</v>
      </c>
      <c r="H625" t="s">
        <v>26</v>
      </c>
      <c r="I625" t="s">
        <v>98</v>
      </c>
      <c r="J625" t="s">
        <v>45</v>
      </c>
      <c r="K625">
        <v>3</v>
      </c>
      <c r="L625" s="8">
        <v>3350</v>
      </c>
      <c r="M625" s="8" t="str">
        <f t="shared" si="55"/>
        <v>21-30%</v>
      </c>
      <c r="N625">
        <v>25</v>
      </c>
      <c r="O625" t="str">
        <f t="shared" si="56"/>
        <v>Valid</v>
      </c>
      <c r="P625" t="str">
        <f t="shared" si="57"/>
        <v>Match</v>
      </c>
      <c r="Q625" s="8">
        <v>10050</v>
      </c>
      <c r="R625" s="8">
        <v>2512.5</v>
      </c>
      <c r="S625" s="8">
        <v>7537.5</v>
      </c>
      <c r="T625" s="8">
        <v>5765.29</v>
      </c>
      <c r="U625" s="8">
        <v>1772.21</v>
      </c>
      <c r="V625" s="8" t="b">
        <f t="shared" si="58"/>
        <v>0</v>
      </c>
      <c r="W625" s="8">
        <f t="shared" si="59"/>
        <v>0</v>
      </c>
      <c r="X625" t="s">
        <v>28</v>
      </c>
      <c r="Y625" t="s">
        <v>104</v>
      </c>
      <c r="Z625" t="s">
        <v>45</v>
      </c>
      <c r="AA625">
        <v>4</v>
      </c>
      <c r="AB625" t="s">
        <v>127</v>
      </c>
      <c r="AC625" t="s">
        <v>49</v>
      </c>
    </row>
    <row r="626" spans="1:29" x14ac:dyDescent="0.3">
      <c r="A626" t="s">
        <v>750</v>
      </c>
      <c r="B626" s="6">
        <v>45803</v>
      </c>
      <c r="C626" s="6" t="str">
        <f t="shared" si="54"/>
        <v>4 PM - 8 PM</v>
      </c>
      <c r="D626" s="4">
        <v>0.74097222222222225</v>
      </c>
      <c r="E626" t="s">
        <v>77</v>
      </c>
      <c r="F626" t="s">
        <v>51</v>
      </c>
      <c r="G626" t="s">
        <v>122</v>
      </c>
      <c r="H626" t="s">
        <v>74</v>
      </c>
      <c r="I626" t="s">
        <v>98</v>
      </c>
      <c r="J626" t="s">
        <v>78</v>
      </c>
      <c r="K626">
        <v>5</v>
      </c>
      <c r="L626" s="8">
        <v>4050</v>
      </c>
      <c r="M626" s="8" t="str">
        <f t="shared" si="55"/>
        <v>0%</v>
      </c>
      <c r="N626">
        <v>0</v>
      </c>
      <c r="O626" t="str">
        <f t="shared" si="56"/>
        <v>Valid</v>
      </c>
      <c r="P626" t="str">
        <f t="shared" si="57"/>
        <v>Match</v>
      </c>
      <c r="Q626" s="8">
        <v>20250</v>
      </c>
      <c r="R626" s="8">
        <v>0</v>
      </c>
      <c r="S626" s="8">
        <v>20250</v>
      </c>
      <c r="T626" s="8">
        <v>13877.44</v>
      </c>
      <c r="U626" s="8">
        <v>6372.56</v>
      </c>
      <c r="V626" s="8" t="b">
        <f t="shared" si="58"/>
        <v>0</v>
      </c>
      <c r="W626" s="8">
        <f t="shared" si="59"/>
        <v>0</v>
      </c>
      <c r="X626" t="s">
        <v>46</v>
      </c>
      <c r="Y626" t="s">
        <v>104</v>
      </c>
      <c r="Z626" t="s">
        <v>85</v>
      </c>
      <c r="AA626">
        <v>4</v>
      </c>
      <c r="AB626" t="s">
        <v>111</v>
      </c>
      <c r="AC626" t="s">
        <v>49</v>
      </c>
    </row>
    <row r="627" spans="1:29" x14ac:dyDescent="0.3">
      <c r="A627" t="s">
        <v>751</v>
      </c>
      <c r="B627" s="6">
        <v>45726</v>
      </c>
      <c r="C627" s="6" t="str">
        <f t="shared" si="54"/>
        <v>8 PM - 12 AM</v>
      </c>
      <c r="D627" s="4">
        <v>0.86319444444444449</v>
      </c>
      <c r="E627" t="s">
        <v>23</v>
      </c>
      <c r="F627" t="s">
        <v>24</v>
      </c>
      <c r="G627" t="s">
        <v>61</v>
      </c>
      <c r="H627" t="s">
        <v>113</v>
      </c>
      <c r="I627" t="s">
        <v>54</v>
      </c>
      <c r="J627" t="s">
        <v>35</v>
      </c>
      <c r="K627">
        <v>1</v>
      </c>
      <c r="L627" s="8">
        <v>10900</v>
      </c>
      <c r="M627" s="8" t="str">
        <f t="shared" si="55"/>
        <v>1-10%</v>
      </c>
      <c r="N627">
        <v>10</v>
      </c>
      <c r="O627" t="str">
        <f t="shared" si="56"/>
        <v>Valid</v>
      </c>
      <c r="P627" t="str">
        <f t="shared" si="57"/>
        <v>Match</v>
      </c>
      <c r="Q627" s="8">
        <v>10900</v>
      </c>
      <c r="R627" s="8">
        <v>1090</v>
      </c>
      <c r="S627" s="8">
        <v>9810</v>
      </c>
      <c r="T627" s="8">
        <v>5996.84</v>
      </c>
      <c r="U627" s="8">
        <v>3813.16</v>
      </c>
      <c r="V627" s="8" t="b">
        <f t="shared" si="58"/>
        <v>0</v>
      </c>
      <c r="W627" s="8">
        <f t="shared" si="59"/>
        <v>0</v>
      </c>
      <c r="X627" t="s">
        <v>36</v>
      </c>
      <c r="Y627" t="s">
        <v>65</v>
      </c>
      <c r="Z627" t="s">
        <v>64</v>
      </c>
      <c r="AA627">
        <v>4</v>
      </c>
      <c r="AB627" t="s">
        <v>127</v>
      </c>
      <c r="AC627" t="s">
        <v>49</v>
      </c>
    </row>
    <row r="628" spans="1:29" x14ac:dyDescent="0.3">
      <c r="A628" t="s">
        <v>752</v>
      </c>
      <c r="B628" s="6">
        <v>45791</v>
      </c>
      <c r="C628" s="6" t="str">
        <f t="shared" si="54"/>
        <v>4 AM - 8 AM</v>
      </c>
      <c r="D628" s="4">
        <v>0.27916666666666667</v>
      </c>
      <c r="E628" t="s">
        <v>32</v>
      </c>
      <c r="F628" t="s">
        <v>24</v>
      </c>
      <c r="G628" t="s">
        <v>61</v>
      </c>
      <c r="H628" t="s">
        <v>102</v>
      </c>
      <c r="I628" t="s">
        <v>54</v>
      </c>
      <c r="J628" t="s">
        <v>35</v>
      </c>
      <c r="K628">
        <v>2</v>
      </c>
      <c r="L628" s="8">
        <v>22950</v>
      </c>
      <c r="M628" s="8" t="str">
        <f t="shared" si="55"/>
        <v>11-20%</v>
      </c>
      <c r="N628">
        <v>20</v>
      </c>
      <c r="O628" t="str">
        <f t="shared" si="56"/>
        <v>Valid</v>
      </c>
      <c r="P628" t="str">
        <f t="shared" si="57"/>
        <v>Match</v>
      </c>
      <c r="Q628" s="8">
        <v>45900</v>
      </c>
      <c r="R628" s="8">
        <v>9180</v>
      </c>
      <c r="S628" s="8">
        <v>36720</v>
      </c>
      <c r="T628" s="8">
        <v>27062.7</v>
      </c>
      <c r="U628" s="8">
        <v>9657.2999999999993</v>
      </c>
      <c r="V628" s="8" t="b">
        <f t="shared" si="58"/>
        <v>0</v>
      </c>
      <c r="W628" s="8">
        <f t="shared" si="59"/>
        <v>0</v>
      </c>
      <c r="X628" t="s">
        <v>28</v>
      </c>
      <c r="Y628" t="s">
        <v>89</v>
      </c>
      <c r="Z628" t="s">
        <v>45</v>
      </c>
      <c r="AA628">
        <v>5</v>
      </c>
      <c r="AB628" t="s">
        <v>111</v>
      </c>
      <c r="AC628" t="s">
        <v>40</v>
      </c>
    </row>
    <row r="629" spans="1:29" x14ac:dyDescent="0.3">
      <c r="A629" t="s">
        <v>753</v>
      </c>
      <c r="B629" s="6">
        <v>45816</v>
      </c>
      <c r="C629" s="6" t="str">
        <f t="shared" si="54"/>
        <v>12 PM - 4 PM</v>
      </c>
      <c r="D629" s="4">
        <v>0.57777777777777772</v>
      </c>
      <c r="E629" t="s">
        <v>32</v>
      </c>
      <c r="F629" t="s">
        <v>51</v>
      </c>
      <c r="G629" t="s">
        <v>101</v>
      </c>
      <c r="H629" t="s">
        <v>34</v>
      </c>
      <c r="I629" t="s">
        <v>44</v>
      </c>
      <c r="J629" t="s">
        <v>45</v>
      </c>
      <c r="K629">
        <v>3</v>
      </c>
      <c r="L629" s="8">
        <v>17350</v>
      </c>
      <c r="M629" s="8" t="str">
        <f t="shared" si="55"/>
        <v>1-10%</v>
      </c>
      <c r="N629">
        <v>5</v>
      </c>
      <c r="O629" t="str">
        <f t="shared" si="56"/>
        <v>Valid</v>
      </c>
      <c r="P629" t="str">
        <f t="shared" si="57"/>
        <v>Match</v>
      </c>
      <c r="Q629" s="8">
        <v>52050</v>
      </c>
      <c r="R629" s="8">
        <v>2602.5</v>
      </c>
      <c r="S629" s="8">
        <v>49447.5</v>
      </c>
      <c r="T629" s="8">
        <v>37033.51</v>
      </c>
      <c r="U629" s="8">
        <v>12413.99</v>
      </c>
      <c r="V629" s="8" t="b">
        <f t="shared" si="58"/>
        <v>0</v>
      </c>
      <c r="W629" s="8">
        <f t="shared" si="59"/>
        <v>0</v>
      </c>
      <c r="X629" t="s">
        <v>55</v>
      </c>
      <c r="Y629" t="s">
        <v>65</v>
      </c>
      <c r="Z629" t="s">
        <v>64</v>
      </c>
      <c r="AA629">
        <v>4.5</v>
      </c>
      <c r="AB629" t="s">
        <v>48</v>
      </c>
      <c r="AC629" t="s">
        <v>30</v>
      </c>
    </row>
    <row r="630" spans="1:29" x14ac:dyDescent="0.3">
      <c r="A630" t="s">
        <v>754</v>
      </c>
      <c r="B630" s="6">
        <v>45704</v>
      </c>
      <c r="C630" s="6" t="str">
        <f t="shared" si="54"/>
        <v>12 PM - 4 PM</v>
      </c>
      <c r="D630" s="4">
        <v>0.64027777777777772</v>
      </c>
      <c r="E630" t="s">
        <v>77</v>
      </c>
      <c r="F630" t="s">
        <v>96</v>
      </c>
      <c r="G630" t="s">
        <v>145</v>
      </c>
      <c r="H630" t="s">
        <v>43</v>
      </c>
      <c r="I630" t="s">
        <v>98</v>
      </c>
      <c r="J630" t="s">
        <v>35</v>
      </c>
      <c r="K630">
        <v>1</v>
      </c>
      <c r="L630" s="8">
        <v>3500</v>
      </c>
      <c r="M630" s="8" t="str">
        <f t="shared" si="55"/>
        <v>21-30%</v>
      </c>
      <c r="N630">
        <v>30</v>
      </c>
      <c r="O630" t="str">
        <f t="shared" si="56"/>
        <v>Valid</v>
      </c>
      <c r="P630" t="str">
        <f t="shared" si="57"/>
        <v>Match</v>
      </c>
      <c r="Q630" s="8">
        <v>3500</v>
      </c>
      <c r="R630" s="8">
        <v>1050</v>
      </c>
      <c r="S630" s="8">
        <v>2450</v>
      </c>
      <c r="T630" s="8">
        <v>2198.63</v>
      </c>
      <c r="U630" s="8">
        <v>251.37</v>
      </c>
      <c r="V630" s="8" t="b">
        <f t="shared" si="58"/>
        <v>0</v>
      </c>
      <c r="W630" s="8">
        <f t="shared" si="59"/>
        <v>0</v>
      </c>
      <c r="X630" t="s">
        <v>79</v>
      </c>
      <c r="Y630" t="s">
        <v>65</v>
      </c>
      <c r="Z630" t="s">
        <v>38</v>
      </c>
      <c r="AA630">
        <v>4</v>
      </c>
      <c r="AB630" t="s">
        <v>66</v>
      </c>
      <c r="AC630" t="s">
        <v>30</v>
      </c>
    </row>
    <row r="631" spans="1:29" x14ac:dyDescent="0.3">
      <c r="A631" t="s">
        <v>755</v>
      </c>
      <c r="B631" s="6">
        <v>45998</v>
      </c>
      <c r="C631" s="6" t="str">
        <f t="shared" si="54"/>
        <v>8 PM - 12 AM</v>
      </c>
      <c r="D631" s="4">
        <v>0.91736111111111107</v>
      </c>
      <c r="E631" t="s">
        <v>108</v>
      </c>
      <c r="F631" t="s">
        <v>51</v>
      </c>
      <c r="G631" t="s">
        <v>140</v>
      </c>
      <c r="H631" t="s">
        <v>74</v>
      </c>
      <c r="I631" t="s">
        <v>44</v>
      </c>
      <c r="J631" t="s">
        <v>93</v>
      </c>
      <c r="K631">
        <v>2</v>
      </c>
      <c r="L631" s="8">
        <v>1950</v>
      </c>
      <c r="M631" s="8" t="str">
        <f t="shared" si="55"/>
        <v>21-30%</v>
      </c>
      <c r="N631">
        <v>30</v>
      </c>
      <c r="O631" t="str">
        <f t="shared" si="56"/>
        <v>Valid</v>
      </c>
      <c r="P631" t="str">
        <f t="shared" si="57"/>
        <v>Match</v>
      </c>
      <c r="Q631" s="8">
        <v>3900</v>
      </c>
      <c r="R631" s="8">
        <v>1170</v>
      </c>
      <c r="S631" s="8">
        <v>2730</v>
      </c>
      <c r="T631" s="8">
        <v>2051.44</v>
      </c>
      <c r="U631" s="8">
        <v>678.56</v>
      </c>
      <c r="V631" s="8" t="b">
        <f t="shared" si="58"/>
        <v>0</v>
      </c>
      <c r="W631" s="8">
        <f t="shared" si="59"/>
        <v>0</v>
      </c>
      <c r="X631" t="s">
        <v>46</v>
      </c>
      <c r="Y631" t="s">
        <v>65</v>
      </c>
      <c r="Z631" t="s">
        <v>85</v>
      </c>
      <c r="AA631">
        <v>3.5</v>
      </c>
      <c r="AB631" t="s">
        <v>39</v>
      </c>
      <c r="AC631" t="s">
        <v>30</v>
      </c>
    </row>
    <row r="632" spans="1:29" x14ac:dyDescent="0.3">
      <c r="A632" t="s">
        <v>756</v>
      </c>
      <c r="B632" s="6">
        <v>45693</v>
      </c>
      <c r="C632" s="6" t="str">
        <f t="shared" si="54"/>
        <v>4 AM - 8 AM</v>
      </c>
      <c r="D632" s="4">
        <v>0.21388888888888888</v>
      </c>
      <c r="E632" t="s">
        <v>69</v>
      </c>
      <c r="F632" t="s">
        <v>96</v>
      </c>
      <c r="G632" t="s">
        <v>134</v>
      </c>
      <c r="H632" t="s">
        <v>34</v>
      </c>
      <c r="I632" t="s">
        <v>54</v>
      </c>
      <c r="J632" t="s">
        <v>85</v>
      </c>
      <c r="K632">
        <v>1</v>
      </c>
      <c r="L632" s="8" t="s">
        <v>757</v>
      </c>
      <c r="M632" s="8" t="str">
        <f t="shared" si="55"/>
        <v>0%</v>
      </c>
      <c r="N632">
        <v>0</v>
      </c>
      <c r="O632" t="str">
        <f t="shared" si="56"/>
        <v>Valid</v>
      </c>
      <c r="P632" t="str">
        <f t="shared" si="57"/>
        <v>Match</v>
      </c>
      <c r="Q632" s="8">
        <v>3250</v>
      </c>
      <c r="R632" s="8">
        <v>0</v>
      </c>
      <c r="S632" s="8">
        <v>3250</v>
      </c>
      <c r="T632" s="8">
        <v>2323.84</v>
      </c>
      <c r="U632" s="8">
        <v>926.16</v>
      </c>
      <c r="V632" s="8" t="b">
        <f t="shared" si="58"/>
        <v>0</v>
      </c>
      <c r="W632" s="8">
        <f t="shared" si="59"/>
        <v>0</v>
      </c>
      <c r="X632" t="s">
        <v>79</v>
      </c>
      <c r="Y632" t="s">
        <v>89</v>
      </c>
      <c r="Z632" t="s">
        <v>64</v>
      </c>
      <c r="AA632">
        <v>3</v>
      </c>
      <c r="AB632" t="s">
        <v>66</v>
      </c>
      <c r="AC632" t="s">
        <v>40</v>
      </c>
    </row>
    <row r="633" spans="1:29" x14ac:dyDescent="0.3">
      <c r="A633" t="s">
        <v>758</v>
      </c>
      <c r="B633" s="6">
        <v>45787</v>
      </c>
      <c r="C633" s="6" t="str">
        <f t="shared" si="54"/>
        <v>4 AM - 8 AM</v>
      </c>
      <c r="D633" s="4">
        <v>0.2722222222222222</v>
      </c>
      <c r="E633" t="s">
        <v>622</v>
      </c>
      <c r="F633" t="s">
        <v>24</v>
      </c>
      <c r="G633" t="s">
        <v>61</v>
      </c>
      <c r="H633" t="s">
        <v>113</v>
      </c>
      <c r="I633" t="s">
        <v>63</v>
      </c>
      <c r="J633" t="s">
        <v>35</v>
      </c>
      <c r="K633">
        <v>2</v>
      </c>
      <c r="L633" s="8">
        <v>26150</v>
      </c>
      <c r="M633" s="8" t="str">
        <f t="shared" si="55"/>
        <v>11-20%</v>
      </c>
      <c r="N633">
        <v>15</v>
      </c>
      <c r="O633" t="str">
        <f t="shared" si="56"/>
        <v>Valid</v>
      </c>
      <c r="P633" t="str">
        <f t="shared" si="57"/>
        <v>Match</v>
      </c>
      <c r="Q633" s="8">
        <v>52300</v>
      </c>
      <c r="R633" s="8">
        <v>7845</v>
      </c>
      <c r="S633" s="8">
        <v>44455</v>
      </c>
      <c r="T633" s="8">
        <v>32384.47</v>
      </c>
      <c r="U633" s="8">
        <v>12070.53</v>
      </c>
      <c r="V633" s="8" t="b">
        <f t="shared" si="58"/>
        <v>0</v>
      </c>
      <c r="W633" s="8">
        <f t="shared" si="59"/>
        <v>0</v>
      </c>
      <c r="X633" t="s">
        <v>28</v>
      </c>
      <c r="Y633" t="s">
        <v>94</v>
      </c>
      <c r="Z633" t="s">
        <v>85</v>
      </c>
      <c r="AA633">
        <v>4</v>
      </c>
      <c r="AB633" t="s">
        <v>111</v>
      </c>
      <c r="AC633" t="s">
        <v>71</v>
      </c>
    </row>
    <row r="634" spans="1:29" x14ac:dyDescent="0.3">
      <c r="A634" t="s">
        <v>759</v>
      </c>
      <c r="B634" s="6">
        <v>45755</v>
      </c>
      <c r="C634" s="6" t="str">
        <f t="shared" si="54"/>
        <v>12 PM - 4 PM</v>
      </c>
      <c r="D634" s="4">
        <v>0.63611111111111107</v>
      </c>
      <c r="E634" t="s">
        <v>69</v>
      </c>
      <c r="F634" t="s">
        <v>96</v>
      </c>
      <c r="G634" t="s">
        <v>97</v>
      </c>
      <c r="H634" t="s">
        <v>43</v>
      </c>
      <c r="I634" t="s">
        <v>63</v>
      </c>
      <c r="J634" t="s">
        <v>35</v>
      </c>
      <c r="K634">
        <v>1</v>
      </c>
      <c r="L634" s="8">
        <v>3800</v>
      </c>
      <c r="M634" s="8" t="str">
        <f t="shared" si="55"/>
        <v>11-20%</v>
      </c>
      <c r="N634">
        <v>15</v>
      </c>
      <c r="O634" t="str">
        <f t="shared" si="56"/>
        <v>Valid</v>
      </c>
      <c r="P634" t="str">
        <f t="shared" si="57"/>
        <v>Match</v>
      </c>
      <c r="Q634" s="8">
        <v>3800</v>
      </c>
      <c r="R634" s="8">
        <v>570</v>
      </c>
      <c r="S634" s="8">
        <v>3230</v>
      </c>
      <c r="T634" s="8">
        <v>2291.2800000000002</v>
      </c>
      <c r="U634" s="8">
        <v>938.72</v>
      </c>
      <c r="V634" s="8" t="b">
        <f t="shared" si="58"/>
        <v>0</v>
      </c>
      <c r="W634" s="8">
        <f t="shared" si="59"/>
        <v>0</v>
      </c>
      <c r="X634" t="s">
        <v>36</v>
      </c>
      <c r="Y634" t="s">
        <v>65</v>
      </c>
      <c r="Z634" t="s">
        <v>64</v>
      </c>
      <c r="AA634">
        <v>5</v>
      </c>
      <c r="AB634" t="s">
        <v>99</v>
      </c>
      <c r="AC634" t="s">
        <v>86</v>
      </c>
    </row>
    <row r="635" spans="1:29" x14ac:dyDescent="0.3">
      <c r="A635" t="s">
        <v>760</v>
      </c>
      <c r="B635" s="6">
        <v>45975</v>
      </c>
      <c r="C635" s="6" t="str">
        <f t="shared" si="54"/>
        <v>8 AM - 12 PM</v>
      </c>
      <c r="D635" s="4">
        <v>0.40347222222222223</v>
      </c>
      <c r="E635" t="s">
        <v>23</v>
      </c>
      <c r="F635" t="s">
        <v>96</v>
      </c>
      <c r="G635" t="s">
        <v>134</v>
      </c>
      <c r="H635" t="s">
        <v>102</v>
      </c>
      <c r="I635" t="s">
        <v>63</v>
      </c>
      <c r="J635" t="s">
        <v>35</v>
      </c>
      <c r="K635">
        <v>1</v>
      </c>
      <c r="L635" s="8">
        <v>3700</v>
      </c>
      <c r="M635" s="8" t="str">
        <f t="shared" si="55"/>
        <v>11-20%</v>
      </c>
      <c r="N635">
        <v>15</v>
      </c>
      <c r="O635" t="str">
        <f t="shared" si="56"/>
        <v>Valid</v>
      </c>
      <c r="P635" t="str">
        <f t="shared" si="57"/>
        <v>Match</v>
      </c>
      <c r="Q635" s="8">
        <v>3700</v>
      </c>
      <c r="R635" s="8">
        <v>555</v>
      </c>
      <c r="S635" s="8">
        <v>3145</v>
      </c>
      <c r="T635" s="8">
        <v>2706.35</v>
      </c>
      <c r="U635" s="8">
        <v>438.65</v>
      </c>
      <c r="V635" s="8" t="b">
        <f t="shared" si="58"/>
        <v>0</v>
      </c>
      <c r="W635" s="8">
        <f t="shared" si="59"/>
        <v>0</v>
      </c>
      <c r="X635" t="s">
        <v>28</v>
      </c>
      <c r="Y635" t="s">
        <v>89</v>
      </c>
      <c r="Z635" t="s">
        <v>64</v>
      </c>
      <c r="AA635">
        <v>4</v>
      </c>
      <c r="AB635" t="s">
        <v>75</v>
      </c>
      <c r="AC635" t="s">
        <v>58</v>
      </c>
    </row>
    <row r="636" spans="1:29" x14ac:dyDescent="0.3">
      <c r="A636" t="s">
        <v>761</v>
      </c>
      <c r="B636" s="6">
        <v>45743</v>
      </c>
      <c r="C636" s="6" t="str">
        <f t="shared" si="54"/>
        <v>8 PM - 12 AM</v>
      </c>
      <c r="D636" s="4">
        <v>0.86875000000000002</v>
      </c>
      <c r="E636" t="s">
        <v>60</v>
      </c>
      <c r="F636" t="s">
        <v>24</v>
      </c>
      <c r="G636" t="s">
        <v>61</v>
      </c>
      <c r="H636" t="s">
        <v>34</v>
      </c>
      <c r="I636" t="s">
        <v>63</v>
      </c>
      <c r="J636" t="s">
        <v>35</v>
      </c>
      <c r="K636">
        <v>1</v>
      </c>
      <c r="L636" s="8">
        <v>21500</v>
      </c>
      <c r="M636" s="8" t="str">
        <f t="shared" si="55"/>
        <v>21-30%</v>
      </c>
      <c r="N636">
        <v>25</v>
      </c>
      <c r="O636" t="str">
        <f t="shared" si="56"/>
        <v>Valid</v>
      </c>
      <c r="P636" t="str">
        <f t="shared" si="57"/>
        <v>Match</v>
      </c>
      <c r="Q636" s="8">
        <v>21500</v>
      </c>
      <c r="R636" s="8">
        <v>5375</v>
      </c>
      <c r="S636" s="8">
        <v>16125</v>
      </c>
      <c r="T636" s="8">
        <v>15704.69</v>
      </c>
      <c r="U636" s="8">
        <v>420.31</v>
      </c>
      <c r="V636" s="8" t="b">
        <f t="shared" si="58"/>
        <v>0</v>
      </c>
      <c r="W636" s="8">
        <f t="shared" si="59"/>
        <v>0</v>
      </c>
      <c r="X636" t="s">
        <v>79</v>
      </c>
      <c r="Y636" t="s">
        <v>89</v>
      </c>
      <c r="Z636" t="s">
        <v>64</v>
      </c>
      <c r="AA636">
        <v>3.5</v>
      </c>
      <c r="AB636" t="s">
        <v>127</v>
      </c>
      <c r="AC636" t="s">
        <v>67</v>
      </c>
    </row>
    <row r="637" spans="1:29" x14ac:dyDescent="0.3">
      <c r="A637" t="s">
        <v>762</v>
      </c>
      <c r="B637" s="6">
        <v>45972</v>
      </c>
      <c r="C637" s="6" t="str">
        <f t="shared" si="54"/>
        <v>12 AM - 4 AM</v>
      </c>
      <c r="D637" s="4">
        <v>1.4583333333333334E-2</v>
      </c>
      <c r="E637" t="s">
        <v>108</v>
      </c>
      <c r="F637" t="s">
        <v>24</v>
      </c>
      <c r="G637" t="s">
        <v>61</v>
      </c>
      <c r="H637" t="s">
        <v>113</v>
      </c>
      <c r="I637" t="s">
        <v>54</v>
      </c>
      <c r="J637" t="s">
        <v>45</v>
      </c>
      <c r="K637">
        <v>1</v>
      </c>
      <c r="L637" s="8">
        <v>39600</v>
      </c>
      <c r="M637" s="8" t="str">
        <f t="shared" si="55"/>
        <v>21-30%</v>
      </c>
      <c r="N637">
        <v>30</v>
      </c>
      <c r="O637" t="str">
        <f t="shared" si="56"/>
        <v>Valid</v>
      </c>
      <c r="P637" t="str">
        <f t="shared" si="57"/>
        <v>Match</v>
      </c>
      <c r="Q637" s="8">
        <v>39600</v>
      </c>
      <c r="R637" s="8">
        <v>11880</v>
      </c>
      <c r="S637" s="8">
        <v>27720</v>
      </c>
      <c r="T637" s="8">
        <v>22283.72</v>
      </c>
      <c r="U637" s="8">
        <v>5436.28</v>
      </c>
      <c r="V637" s="8" t="b">
        <f t="shared" si="58"/>
        <v>0</v>
      </c>
      <c r="W637" s="8">
        <f t="shared" si="59"/>
        <v>0</v>
      </c>
      <c r="X637" t="s">
        <v>55</v>
      </c>
      <c r="Y637" t="s">
        <v>37</v>
      </c>
      <c r="Z637" t="s">
        <v>64</v>
      </c>
      <c r="AA637">
        <v>4.5</v>
      </c>
      <c r="AB637" t="s">
        <v>75</v>
      </c>
      <c r="AC637" t="s">
        <v>86</v>
      </c>
    </row>
    <row r="638" spans="1:29" x14ac:dyDescent="0.3">
      <c r="A638" t="s">
        <v>763</v>
      </c>
      <c r="B638" s="6">
        <v>45969</v>
      </c>
      <c r="C638" s="6" t="str">
        <f t="shared" si="54"/>
        <v>4 AM - 8 AM</v>
      </c>
      <c r="D638" s="4">
        <v>0.28541666666666665</v>
      </c>
      <c r="E638" t="s">
        <v>60</v>
      </c>
      <c r="F638" t="s">
        <v>24</v>
      </c>
      <c r="G638" t="s">
        <v>120</v>
      </c>
      <c r="H638" t="s">
        <v>113</v>
      </c>
      <c r="I638" t="s">
        <v>82</v>
      </c>
      <c r="J638" t="s">
        <v>35</v>
      </c>
      <c r="K638">
        <v>3</v>
      </c>
      <c r="L638" s="8">
        <v>3050</v>
      </c>
      <c r="M638" s="8" t="str">
        <f t="shared" si="55"/>
        <v>11-20%</v>
      </c>
      <c r="N638">
        <v>20</v>
      </c>
      <c r="O638" t="str">
        <f t="shared" si="56"/>
        <v>Valid</v>
      </c>
      <c r="P638" t="str">
        <f t="shared" si="57"/>
        <v>Match</v>
      </c>
      <c r="Q638" s="8">
        <v>9150</v>
      </c>
      <c r="R638" s="8">
        <v>1830</v>
      </c>
      <c r="S638" s="8">
        <v>7320</v>
      </c>
      <c r="T638" s="8">
        <v>4809.3999999999996</v>
      </c>
      <c r="U638" s="8">
        <v>2510.6</v>
      </c>
      <c r="V638" s="8" t="b">
        <f t="shared" si="58"/>
        <v>0</v>
      </c>
      <c r="W638" s="8">
        <f t="shared" si="59"/>
        <v>0</v>
      </c>
      <c r="X638" t="s">
        <v>36</v>
      </c>
      <c r="Y638" t="s">
        <v>104</v>
      </c>
      <c r="Z638" t="s">
        <v>80</v>
      </c>
      <c r="AA638">
        <v>4.5</v>
      </c>
      <c r="AB638" t="s">
        <v>75</v>
      </c>
      <c r="AC638" t="s">
        <v>71</v>
      </c>
    </row>
    <row r="639" spans="1:29" x14ac:dyDescent="0.3">
      <c r="A639" t="s">
        <v>764</v>
      </c>
      <c r="B639" s="6">
        <v>45904</v>
      </c>
      <c r="C639" s="6" t="str">
        <f t="shared" si="54"/>
        <v>8 AM - 12 PM</v>
      </c>
      <c r="D639" s="4">
        <v>0.42708333333333331</v>
      </c>
      <c r="E639" t="s">
        <v>622</v>
      </c>
      <c r="F639" t="s">
        <v>51</v>
      </c>
      <c r="G639" t="s">
        <v>140</v>
      </c>
      <c r="H639" t="s">
        <v>43</v>
      </c>
      <c r="I639" t="s">
        <v>63</v>
      </c>
      <c r="J639" t="s">
        <v>35</v>
      </c>
      <c r="K639">
        <v>2</v>
      </c>
      <c r="L639" s="8">
        <v>2700</v>
      </c>
      <c r="M639" s="8" t="str">
        <f t="shared" si="55"/>
        <v>1-10%</v>
      </c>
      <c r="N639">
        <v>5</v>
      </c>
      <c r="O639" t="str">
        <f t="shared" si="56"/>
        <v>Valid</v>
      </c>
      <c r="P639" t="str">
        <f t="shared" si="57"/>
        <v>Match</v>
      </c>
      <c r="Q639" s="8">
        <v>5400</v>
      </c>
      <c r="R639" s="8">
        <v>270</v>
      </c>
      <c r="S639" s="8">
        <v>5130</v>
      </c>
      <c r="T639" s="8">
        <v>3625.59</v>
      </c>
      <c r="U639" s="8">
        <v>1504.41</v>
      </c>
      <c r="V639" s="8" t="b">
        <f t="shared" si="58"/>
        <v>0</v>
      </c>
      <c r="W639" s="8">
        <f t="shared" si="59"/>
        <v>0</v>
      </c>
      <c r="X639" t="s">
        <v>36</v>
      </c>
      <c r="Y639" t="s">
        <v>37</v>
      </c>
      <c r="Z639" t="s">
        <v>80</v>
      </c>
      <c r="AA639">
        <v>4.5</v>
      </c>
      <c r="AB639" t="s">
        <v>155</v>
      </c>
      <c r="AC639" t="s">
        <v>67</v>
      </c>
    </row>
    <row r="640" spans="1:29" x14ac:dyDescent="0.3">
      <c r="A640" t="s">
        <v>765</v>
      </c>
      <c r="B640" s="6">
        <v>45744</v>
      </c>
      <c r="C640" s="6" t="str">
        <f t="shared" si="54"/>
        <v>8 PM - 12 AM</v>
      </c>
      <c r="D640" s="4">
        <v>0.87847222222222221</v>
      </c>
      <c r="E640" t="s">
        <v>60</v>
      </c>
      <c r="F640" t="s">
        <v>24</v>
      </c>
      <c r="G640" t="s">
        <v>120</v>
      </c>
      <c r="H640" t="s">
        <v>34</v>
      </c>
      <c r="I640" t="s">
        <v>27</v>
      </c>
      <c r="J640" t="s">
        <v>35</v>
      </c>
      <c r="K640">
        <v>1</v>
      </c>
      <c r="L640" s="8">
        <v>8300</v>
      </c>
      <c r="M640" s="8" t="str">
        <f t="shared" si="55"/>
        <v>1-10%</v>
      </c>
      <c r="N640">
        <v>5</v>
      </c>
      <c r="O640" t="str">
        <f t="shared" si="56"/>
        <v>Valid</v>
      </c>
      <c r="P640" t="str">
        <f t="shared" si="57"/>
        <v>Match</v>
      </c>
      <c r="Q640" s="8">
        <v>8300</v>
      </c>
      <c r="R640" s="8">
        <v>415</v>
      </c>
      <c r="S640" s="8">
        <v>7885</v>
      </c>
      <c r="T640" s="8">
        <v>5249.4</v>
      </c>
      <c r="U640" s="8">
        <v>2635.6</v>
      </c>
      <c r="V640" s="8" t="b">
        <f t="shared" si="58"/>
        <v>0</v>
      </c>
      <c r="W640" s="8">
        <f t="shared" si="59"/>
        <v>0</v>
      </c>
      <c r="X640" t="s">
        <v>79</v>
      </c>
      <c r="Y640" t="s">
        <v>70</v>
      </c>
      <c r="Z640" t="s">
        <v>85</v>
      </c>
      <c r="AA640">
        <v>3</v>
      </c>
      <c r="AB640" t="s">
        <v>127</v>
      </c>
      <c r="AC640" t="s">
        <v>58</v>
      </c>
    </row>
    <row r="641" spans="1:29" x14ac:dyDescent="0.3">
      <c r="A641" t="s">
        <v>766</v>
      </c>
      <c r="B641" s="6">
        <v>45851</v>
      </c>
      <c r="C641" s="6" t="str">
        <f t="shared" si="54"/>
        <v>4 PM - 8 PM</v>
      </c>
      <c r="D641" s="4">
        <v>0.82361111111111107</v>
      </c>
      <c r="E641" t="s">
        <v>69</v>
      </c>
      <c r="F641" t="s">
        <v>24</v>
      </c>
      <c r="G641" t="s">
        <v>110</v>
      </c>
      <c r="H641" t="s">
        <v>74</v>
      </c>
      <c r="I641" t="s">
        <v>27</v>
      </c>
      <c r="J641" t="s">
        <v>35</v>
      </c>
      <c r="K641">
        <v>3</v>
      </c>
      <c r="L641" s="8">
        <v>1100</v>
      </c>
      <c r="M641" s="8" t="str">
        <f t="shared" si="55"/>
        <v>11-20%</v>
      </c>
      <c r="N641">
        <v>15</v>
      </c>
      <c r="O641" t="str">
        <f t="shared" si="56"/>
        <v>Valid</v>
      </c>
      <c r="P641" t="str">
        <f t="shared" si="57"/>
        <v>Match</v>
      </c>
      <c r="Q641" s="8">
        <v>3300</v>
      </c>
      <c r="R641" s="8">
        <v>495</v>
      </c>
      <c r="S641" s="8">
        <v>2805</v>
      </c>
      <c r="T641" s="8">
        <v>1749.76</v>
      </c>
      <c r="U641" s="8">
        <v>1055.24</v>
      </c>
      <c r="V641" s="8" t="b">
        <f t="shared" si="58"/>
        <v>0</v>
      </c>
      <c r="W641" s="8">
        <f t="shared" si="59"/>
        <v>0</v>
      </c>
      <c r="X641" t="s">
        <v>28</v>
      </c>
      <c r="Y641" t="s">
        <v>37</v>
      </c>
      <c r="Z641" t="s">
        <v>45</v>
      </c>
      <c r="AA641">
        <v>3.5</v>
      </c>
      <c r="AB641" t="s">
        <v>29</v>
      </c>
      <c r="AC641" t="s">
        <v>30</v>
      </c>
    </row>
    <row r="642" spans="1:29" x14ac:dyDescent="0.3">
      <c r="A642" t="s">
        <v>767</v>
      </c>
      <c r="B642" s="6">
        <v>46020</v>
      </c>
      <c r="C642" s="6" t="str">
        <f t="shared" ref="C642:C705" si="60">IF(D642&lt;TIME(4,0,0),"12 AM - 4 AM",IF(D642&lt;TIME(8,0,0),"4 AM - 8 AM",IF(D642&lt;TIME(12,0,0),"8 AM - 12 PM",IF(D642&lt;TIME(16,0,0),"12 PM - 4 PM",IF(D642&lt;TIME(20,0,0),"4 PM - 8 PM","8 PM - 12 AM")))))</f>
        <v>12 PM - 4 PM</v>
      </c>
      <c r="D642" s="4">
        <v>0.57430555555555551</v>
      </c>
      <c r="E642" t="s">
        <v>69</v>
      </c>
      <c r="F642" t="s">
        <v>24</v>
      </c>
      <c r="G642" t="s">
        <v>120</v>
      </c>
      <c r="H642" t="s">
        <v>113</v>
      </c>
      <c r="I642" t="s">
        <v>92</v>
      </c>
      <c r="J642" t="s">
        <v>35</v>
      </c>
      <c r="K642">
        <v>1</v>
      </c>
      <c r="L642" s="8">
        <v>14700</v>
      </c>
      <c r="M642" s="8" t="str">
        <f t="shared" ref="M642:M705" si="61">IF(N642&lt;0,"Invalid",IF(N642=0,"0%",IF(N642&lt;=10,"1-10%",IF(N642&lt;=20,"11-20%",IF(N642&lt;=30,"21-30%","30%+")))))</f>
        <v>1-10%</v>
      </c>
      <c r="N642">
        <v>5</v>
      </c>
      <c r="O642" t="str">
        <f t="shared" ref="O642:O705" si="62">IF(OR(N642&lt;0,N642&gt;100),"Invalid Discount","Valid")</f>
        <v>Valid</v>
      </c>
      <c r="P642" t="str">
        <f t="shared" ref="P642:P705" si="63">IF(ROUND(R642,2)=ROUND(Q642*N642/100,2),"Match","Mismatch")</f>
        <v>Match</v>
      </c>
      <c r="Q642" s="8">
        <v>14700</v>
      </c>
      <c r="R642" s="8">
        <v>735</v>
      </c>
      <c r="S642" s="8">
        <v>13965</v>
      </c>
      <c r="T642" s="8">
        <v>9950.93</v>
      </c>
      <c r="U642" s="8">
        <v>4014.07</v>
      </c>
      <c r="V642" s="8" t="b">
        <f t="shared" ref="V642:V705" si="64">IF(AND(S642-T642&lt;0,U642=S642-T642),TRUE,FALSE)</f>
        <v>0</v>
      </c>
      <c r="W642" s="8">
        <f t="shared" ref="W642:W705" si="65">IF(V642=TRUE,ABS(U642),0)</f>
        <v>0</v>
      </c>
      <c r="X642" t="s">
        <v>36</v>
      </c>
      <c r="Y642" t="s">
        <v>104</v>
      </c>
      <c r="Z642" t="s">
        <v>56</v>
      </c>
      <c r="AA642">
        <v>3</v>
      </c>
      <c r="AB642" t="s">
        <v>39</v>
      </c>
      <c r="AC642" t="s">
        <v>49</v>
      </c>
    </row>
    <row r="643" spans="1:29" x14ac:dyDescent="0.3">
      <c r="A643" t="s">
        <v>768</v>
      </c>
      <c r="B643" s="6">
        <v>45960</v>
      </c>
      <c r="C643" s="6" t="str">
        <f t="shared" si="60"/>
        <v>12 PM - 4 PM</v>
      </c>
      <c r="D643" s="4">
        <v>0.58194444444444449</v>
      </c>
      <c r="E643" t="s">
        <v>69</v>
      </c>
      <c r="F643" t="s">
        <v>51</v>
      </c>
      <c r="G643" t="s">
        <v>73</v>
      </c>
      <c r="H643" t="s">
        <v>53</v>
      </c>
      <c r="I643" t="s">
        <v>63</v>
      </c>
      <c r="J643" t="s">
        <v>35</v>
      </c>
      <c r="K643">
        <v>1</v>
      </c>
      <c r="L643" s="8">
        <v>6850</v>
      </c>
      <c r="M643" s="8" t="str">
        <f t="shared" si="61"/>
        <v>1-10%</v>
      </c>
      <c r="N643">
        <v>5</v>
      </c>
      <c r="O643" t="str">
        <f t="shared" si="62"/>
        <v>Valid</v>
      </c>
      <c r="P643" t="str">
        <f t="shared" si="63"/>
        <v>Match</v>
      </c>
      <c r="Q643" s="8">
        <v>6850</v>
      </c>
      <c r="R643" s="8">
        <v>342.5</v>
      </c>
      <c r="S643" s="8">
        <v>6507.5</v>
      </c>
      <c r="T643" s="8">
        <v>4171.6099999999997</v>
      </c>
      <c r="U643" s="8">
        <v>2335.89</v>
      </c>
      <c r="V643" s="8" t="b">
        <f t="shared" si="64"/>
        <v>0</v>
      </c>
      <c r="W643" s="8">
        <f t="shared" si="65"/>
        <v>0</v>
      </c>
      <c r="X643" t="s">
        <v>79</v>
      </c>
      <c r="Y643" t="s">
        <v>65</v>
      </c>
      <c r="Z643" t="s">
        <v>80</v>
      </c>
      <c r="AA643">
        <v>5</v>
      </c>
      <c r="AB643" t="s">
        <v>57</v>
      </c>
      <c r="AC643" t="s">
        <v>67</v>
      </c>
    </row>
    <row r="644" spans="1:29" x14ac:dyDescent="0.3">
      <c r="A644" t="s">
        <v>769</v>
      </c>
      <c r="B644" s="6">
        <v>45693</v>
      </c>
      <c r="C644" s="6" t="str">
        <f t="shared" si="60"/>
        <v>12 PM - 4 PM</v>
      </c>
      <c r="D644" s="4">
        <v>0.66597222222222219</v>
      </c>
      <c r="E644" t="s">
        <v>23</v>
      </c>
      <c r="F644" t="s">
        <v>24</v>
      </c>
      <c r="G644" t="s">
        <v>42</v>
      </c>
      <c r="H644" t="s">
        <v>26</v>
      </c>
      <c r="I644" t="s">
        <v>63</v>
      </c>
      <c r="J644" t="s">
        <v>45</v>
      </c>
      <c r="K644">
        <v>1</v>
      </c>
      <c r="L644" s="8">
        <v>58950</v>
      </c>
      <c r="M644" s="8" t="str">
        <f t="shared" si="61"/>
        <v>1-10%</v>
      </c>
      <c r="N644">
        <v>10</v>
      </c>
      <c r="O644" t="str">
        <f t="shared" si="62"/>
        <v>Valid</v>
      </c>
      <c r="P644" t="str">
        <f t="shared" si="63"/>
        <v>Match</v>
      </c>
      <c r="Q644" s="8">
        <v>58950</v>
      </c>
      <c r="R644" s="8">
        <v>5895</v>
      </c>
      <c r="S644" s="8">
        <v>53055</v>
      </c>
      <c r="T644" s="8">
        <v>32961.57</v>
      </c>
      <c r="U644" s="8">
        <v>20093.43</v>
      </c>
      <c r="V644" s="8" t="b">
        <f t="shared" si="64"/>
        <v>0</v>
      </c>
      <c r="W644" s="8">
        <f t="shared" si="65"/>
        <v>0</v>
      </c>
      <c r="X644" t="s">
        <v>55</v>
      </c>
      <c r="Y644" t="s">
        <v>94</v>
      </c>
      <c r="Z644" t="s">
        <v>38</v>
      </c>
      <c r="AA644">
        <v>3</v>
      </c>
      <c r="AB644" t="s">
        <v>66</v>
      </c>
      <c r="AC644" t="s">
        <v>40</v>
      </c>
    </row>
    <row r="645" spans="1:29" x14ac:dyDescent="0.3">
      <c r="A645" t="s">
        <v>770</v>
      </c>
      <c r="B645" s="6">
        <v>45724</v>
      </c>
      <c r="C645" s="6" t="str">
        <f t="shared" si="60"/>
        <v>12 PM - 4 PM</v>
      </c>
      <c r="D645" s="4">
        <v>0.66527777777777775</v>
      </c>
      <c r="E645" t="s">
        <v>77</v>
      </c>
      <c r="F645" t="s">
        <v>24</v>
      </c>
      <c r="G645" t="s">
        <v>88</v>
      </c>
      <c r="H645" t="s">
        <v>62</v>
      </c>
      <c r="I645" t="s">
        <v>92</v>
      </c>
      <c r="J645" t="s">
        <v>35</v>
      </c>
      <c r="K645">
        <v>2</v>
      </c>
      <c r="L645" s="8">
        <v>4000</v>
      </c>
      <c r="M645" s="8" t="str">
        <f t="shared" si="61"/>
        <v>21-30%</v>
      </c>
      <c r="N645">
        <v>30</v>
      </c>
      <c r="O645" t="str">
        <f t="shared" si="62"/>
        <v>Valid</v>
      </c>
      <c r="P645" t="str">
        <f t="shared" si="63"/>
        <v>Match</v>
      </c>
      <c r="Q645" s="8">
        <v>8000</v>
      </c>
      <c r="R645" s="8">
        <v>2400</v>
      </c>
      <c r="S645" s="8">
        <v>5600</v>
      </c>
      <c r="T645" s="8">
        <v>5364.66</v>
      </c>
      <c r="U645" s="8">
        <v>235.34</v>
      </c>
      <c r="V645" s="8" t="b">
        <f t="shared" si="64"/>
        <v>0</v>
      </c>
      <c r="W645" s="8">
        <f t="shared" si="65"/>
        <v>0</v>
      </c>
      <c r="X645" t="s">
        <v>55</v>
      </c>
      <c r="Y645" t="s">
        <v>94</v>
      </c>
      <c r="Z645" t="s">
        <v>64</v>
      </c>
      <c r="AA645">
        <v>3.5</v>
      </c>
      <c r="AB645" t="s">
        <v>127</v>
      </c>
      <c r="AC645" t="s">
        <v>71</v>
      </c>
    </row>
    <row r="646" spans="1:29" x14ac:dyDescent="0.3">
      <c r="A646" t="s">
        <v>771</v>
      </c>
      <c r="B646" s="6">
        <v>45783</v>
      </c>
      <c r="C646" s="6" t="str">
        <f t="shared" si="60"/>
        <v>12 AM - 4 AM</v>
      </c>
      <c r="D646" s="4">
        <v>9.5138888888888884E-2</v>
      </c>
      <c r="E646" t="s">
        <v>77</v>
      </c>
      <c r="F646" t="s">
        <v>51</v>
      </c>
      <c r="G646" t="s">
        <v>101</v>
      </c>
      <c r="H646" t="s">
        <v>62</v>
      </c>
      <c r="I646" t="s">
        <v>103</v>
      </c>
      <c r="J646" t="s">
        <v>35</v>
      </c>
      <c r="K646">
        <v>2</v>
      </c>
      <c r="L646" s="8">
        <v>10100</v>
      </c>
      <c r="M646" s="8" t="str">
        <f t="shared" si="61"/>
        <v>1-10%</v>
      </c>
      <c r="N646">
        <v>10</v>
      </c>
      <c r="O646" t="str">
        <f t="shared" si="62"/>
        <v>Valid</v>
      </c>
      <c r="P646" t="str">
        <f t="shared" si="63"/>
        <v>Match</v>
      </c>
      <c r="Q646" s="8">
        <v>20200</v>
      </c>
      <c r="R646" s="8">
        <v>2020</v>
      </c>
      <c r="S646" s="8">
        <v>18180</v>
      </c>
      <c r="T646" s="8">
        <v>11936.32</v>
      </c>
      <c r="U646" s="8">
        <v>6243.68</v>
      </c>
      <c r="V646" s="8" t="b">
        <f t="shared" si="64"/>
        <v>0</v>
      </c>
      <c r="W646" s="8">
        <f t="shared" si="65"/>
        <v>0</v>
      </c>
      <c r="X646" t="s">
        <v>28</v>
      </c>
      <c r="Y646" t="s">
        <v>94</v>
      </c>
      <c r="Z646" t="s">
        <v>56</v>
      </c>
      <c r="AA646">
        <v>4</v>
      </c>
      <c r="AB646" t="s">
        <v>111</v>
      </c>
      <c r="AC646" t="s">
        <v>86</v>
      </c>
    </row>
    <row r="647" spans="1:29" x14ac:dyDescent="0.3">
      <c r="A647" t="s">
        <v>772</v>
      </c>
      <c r="B647" s="6">
        <v>45739</v>
      </c>
      <c r="C647" s="6" t="str">
        <f t="shared" si="60"/>
        <v>12 PM - 4 PM</v>
      </c>
      <c r="D647" s="4">
        <v>0.64166666666666672</v>
      </c>
      <c r="E647" t="s">
        <v>622</v>
      </c>
      <c r="F647" t="s">
        <v>51</v>
      </c>
      <c r="G647" t="s">
        <v>140</v>
      </c>
      <c r="H647" t="s">
        <v>53</v>
      </c>
      <c r="I647" t="s">
        <v>98</v>
      </c>
      <c r="J647" t="s">
        <v>35</v>
      </c>
      <c r="K647">
        <v>1</v>
      </c>
      <c r="L647" s="8">
        <v>6550</v>
      </c>
      <c r="M647" s="8" t="str">
        <f t="shared" si="61"/>
        <v>21-30%</v>
      </c>
      <c r="N647">
        <v>25</v>
      </c>
      <c r="O647" t="str">
        <f t="shared" si="62"/>
        <v>Valid</v>
      </c>
      <c r="P647" t="str">
        <f t="shared" si="63"/>
        <v>Match</v>
      </c>
      <c r="Q647" s="8">
        <v>6550</v>
      </c>
      <c r="R647" s="8">
        <v>1637.5</v>
      </c>
      <c r="S647" s="8">
        <v>4912.5</v>
      </c>
      <c r="T647" s="8">
        <v>3497.17</v>
      </c>
      <c r="U647" s="8">
        <v>1415.33</v>
      </c>
      <c r="V647" s="8" t="b">
        <f t="shared" si="64"/>
        <v>0</v>
      </c>
      <c r="W647" s="8">
        <f t="shared" si="65"/>
        <v>0</v>
      </c>
      <c r="X647" t="s">
        <v>248</v>
      </c>
      <c r="Y647" t="s">
        <v>37</v>
      </c>
      <c r="Z647" t="s">
        <v>1138</v>
      </c>
      <c r="AA647">
        <v>5</v>
      </c>
      <c r="AB647" t="s">
        <v>127</v>
      </c>
      <c r="AC647" t="s">
        <v>30</v>
      </c>
    </row>
    <row r="648" spans="1:29" x14ac:dyDescent="0.3">
      <c r="A648" t="s">
        <v>773</v>
      </c>
      <c r="B648" s="6">
        <v>45901</v>
      </c>
      <c r="C648" s="6" t="str">
        <f t="shared" si="60"/>
        <v>8 PM - 12 AM</v>
      </c>
      <c r="D648" s="4">
        <v>0.92222222222222228</v>
      </c>
      <c r="E648" t="s">
        <v>23</v>
      </c>
      <c r="F648" t="s">
        <v>24</v>
      </c>
      <c r="G648" t="s">
        <v>61</v>
      </c>
      <c r="H648" t="s">
        <v>34</v>
      </c>
      <c r="I648" t="s">
        <v>63</v>
      </c>
      <c r="J648" t="s">
        <v>35</v>
      </c>
      <c r="K648">
        <v>2</v>
      </c>
      <c r="L648" s="8">
        <v>33850</v>
      </c>
      <c r="M648" s="8" t="str">
        <f t="shared" si="61"/>
        <v>1-10%</v>
      </c>
      <c r="N648">
        <v>10</v>
      </c>
      <c r="O648" t="str">
        <f t="shared" si="62"/>
        <v>Valid</v>
      </c>
      <c r="P648" t="str">
        <f t="shared" si="63"/>
        <v>Match</v>
      </c>
      <c r="Q648" s="8">
        <v>67700</v>
      </c>
      <c r="R648" s="8">
        <v>6770</v>
      </c>
      <c r="S648" s="8">
        <v>60930</v>
      </c>
      <c r="T648" s="8">
        <v>41403.21</v>
      </c>
      <c r="U648" s="8">
        <v>19526.79</v>
      </c>
      <c r="V648" s="8" t="b">
        <f t="shared" si="64"/>
        <v>0</v>
      </c>
      <c r="W648" s="8">
        <f t="shared" si="65"/>
        <v>0</v>
      </c>
      <c r="X648" t="s">
        <v>36</v>
      </c>
      <c r="Y648" t="s">
        <v>47</v>
      </c>
      <c r="Z648" t="s">
        <v>64</v>
      </c>
      <c r="AA648">
        <v>4</v>
      </c>
      <c r="AB648" t="s">
        <v>155</v>
      </c>
      <c r="AC648" t="s">
        <v>49</v>
      </c>
    </row>
    <row r="649" spans="1:29" x14ac:dyDescent="0.3">
      <c r="A649" t="s">
        <v>774</v>
      </c>
      <c r="B649" s="6">
        <v>45957</v>
      </c>
      <c r="C649" s="6" t="str">
        <f t="shared" si="60"/>
        <v>12 PM - 4 PM</v>
      </c>
      <c r="D649" s="4">
        <v>0.65277777777777779</v>
      </c>
      <c r="E649" t="s">
        <v>77</v>
      </c>
      <c r="F649" t="s">
        <v>24</v>
      </c>
      <c r="G649" t="s">
        <v>88</v>
      </c>
      <c r="H649" t="s">
        <v>53</v>
      </c>
      <c r="I649" t="s">
        <v>98</v>
      </c>
      <c r="J649" t="s">
        <v>78</v>
      </c>
      <c r="K649">
        <v>1</v>
      </c>
      <c r="L649" s="8">
        <v>3150</v>
      </c>
      <c r="M649" s="8" t="str">
        <f t="shared" si="61"/>
        <v>11-20%</v>
      </c>
      <c r="N649">
        <v>15</v>
      </c>
      <c r="O649" t="str">
        <f t="shared" si="62"/>
        <v>Valid</v>
      </c>
      <c r="P649" t="str">
        <f t="shared" si="63"/>
        <v>Match</v>
      </c>
      <c r="Q649" s="8">
        <v>3150</v>
      </c>
      <c r="R649" s="8">
        <v>472.5</v>
      </c>
      <c r="S649" s="8">
        <v>2677.5</v>
      </c>
      <c r="T649" s="8">
        <v>2242.31</v>
      </c>
      <c r="U649" s="8">
        <v>435.19</v>
      </c>
      <c r="V649" s="8" t="b">
        <f t="shared" si="64"/>
        <v>0</v>
      </c>
      <c r="W649" s="8">
        <f t="shared" si="65"/>
        <v>0</v>
      </c>
      <c r="X649" t="s">
        <v>36</v>
      </c>
      <c r="Y649" t="s">
        <v>70</v>
      </c>
      <c r="Z649" t="s">
        <v>80</v>
      </c>
      <c r="AA649">
        <v>5</v>
      </c>
      <c r="AB649" t="s">
        <v>57</v>
      </c>
      <c r="AC649" t="s">
        <v>49</v>
      </c>
    </row>
    <row r="650" spans="1:29" x14ac:dyDescent="0.3">
      <c r="A650" t="s">
        <v>775</v>
      </c>
      <c r="B650" s="6">
        <v>45885</v>
      </c>
      <c r="C650" s="6" t="str">
        <f t="shared" si="60"/>
        <v>8 AM - 12 PM</v>
      </c>
      <c r="D650" s="4">
        <v>0.34722222222222221</v>
      </c>
      <c r="E650" t="s">
        <v>60</v>
      </c>
      <c r="F650" t="s">
        <v>24</v>
      </c>
      <c r="G650" t="s">
        <v>33</v>
      </c>
      <c r="H650" t="s">
        <v>53</v>
      </c>
      <c r="I650" t="s">
        <v>92</v>
      </c>
      <c r="J650" t="s">
        <v>45</v>
      </c>
      <c r="K650">
        <v>1</v>
      </c>
      <c r="L650" s="8">
        <v>4300</v>
      </c>
      <c r="M650" s="8" t="str">
        <f t="shared" si="61"/>
        <v>11-20%</v>
      </c>
      <c r="N650">
        <v>20</v>
      </c>
      <c r="O650" t="str">
        <f t="shared" si="62"/>
        <v>Valid</v>
      </c>
      <c r="P650" t="str">
        <f t="shared" si="63"/>
        <v>Match</v>
      </c>
      <c r="Q650" s="8">
        <v>4300</v>
      </c>
      <c r="R650" s="8">
        <v>860</v>
      </c>
      <c r="S650" s="8">
        <v>3440</v>
      </c>
      <c r="T650" s="8">
        <v>3027.51</v>
      </c>
      <c r="U650" s="8">
        <v>412.49</v>
      </c>
      <c r="V650" s="8" t="b">
        <f t="shared" si="64"/>
        <v>0</v>
      </c>
      <c r="W650" s="8">
        <f t="shared" si="65"/>
        <v>0</v>
      </c>
      <c r="X650" t="s">
        <v>79</v>
      </c>
      <c r="Y650" t="s">
        <v>104</v>
      </c>
      <c r="Z650" t="s">
        <v>80</v>
      </c>
      <c r="AA650">
        <v>3.5</v>
      </c>
      <c r="AB650" t="s">
        <v>90</v>
      </c>
      <c r="AC650" t="s">
        <v>71</v>
      </c>
    </row>
    <row r="651" spans="1:29" x14ac:dyDescent="0.3">
      <c r="A651" t="s">
        <v>776</v>
      </c>
      <c r="B651" s="6">
        <v>45846</v>
      </c>
      <c r="C651" s="6" t="str">
        <f t="shared" si="60"/>
        <v>12 PM - 4 PM</v>
      </c>
      <c r="D651" s="4">
        <v>0.61944444444444446</v>
      </c>
      <c r="E651" t="s">
        <v>77</v>
      </c>
      <c r="F651" t="s">
        <v>51</v>
      </c>
      <c r="G651" t="s">
        <v>153</v>
      </c>
      <c r="H651" t="s">
        <v>26</v>
      </c>
      <c r="I651" t="s">
        <v>44</v>
      </c>
      <c r="J651" t="s">
        <v>35</v>
      </c>
      <c r="K651">
        <v>1</v>
      </c>
      <c r="L651" s="8">
        <v>3500</v>
      </c>
      <c r="M651" s="8" t="str">
        <f t="shared" si="61"/>
        <v>1-10%</v>
      </c>
      <c r="N651">
        <v>10</v>
      </c>
      <c r="O651" t="str">
        <f t="shared" si="62"/>
        <v>Valid</v>
      </c>
      <c r="P651" t="str">
        <f t="shared" si="63"/>
        <v>Match</v>
      </c>
      <c r="Q651" s="8">
        <v>3500</v>
      </c>
      <c r="R651" s="8">
        <v>350</v>
      </c>
      <c r="S651" s="8">
        <v>3150</v>
      </c>
      <c r="T651" s="8">
        <v>1888.08</v>
      </c>
      <c r="U651" s="8">
        <v>1261.92</v>
      </c>
      <c r="V651" s="8" t="b">
        <f t="shared" si="64"/>
        <v>0</v>
      </c>
      <c r="W651" s="8">
        <f t="shared" si="65"/>
        <v>0</v>
      </c>
      <c r="X651" t="s">
        <v>79</v>
      </c>
      <c r="Y651" t="s">
        <v>65</v>
      </c>
      <c r="Z651" t="s">
        <v>64</v>
      </c>
      <c r="AA651">
        <v>5</v>
      </c>
      <c r="AB651" t="s">
        <v>29</v>
      </c>
      <c r="AC651" t="s">
        <v>86</v>
      </c>
    </row>
    <row r="652" spans="1:29" x14ac:dyDescent="0.3">
      <c r="A652" t="s">
        <v>777</v>
      </c>
      <c r="B652" s="6">
        <v>45861</v>
      </c>
      <c r="C652" s="6" t="str">
        <f t="shared" si="60"/>
        <v>4 AM - 8 AM</v>
      </c>
      <c r="D652" s="4">
        <v>0.31111111111111112</v>
      </c>
      <c r="E652" t="s">
        <v>157</v>
      </c>
      <c r="F652" t="s">
        <v>96</v>
      </c>
      <c r="G652" t="s">
        <v>134</v>
      </c>
      <c r="H652" t="s">
        <v>26</v>
      </c>
      <c r="I652" t="s">
        <v>125</v>
      </c>
      <c r="J652" t="s">
        <v>35</v>
      </c>
      <c r="K652">
        <v>1</v>
      </c>
      <c r="L652" s="8">
        <v>4800</v>
      </c>
      <c r="M652" s="8" t="str">
        <f t="shared" si="61"/>
        <v>11-20%</v>
      </c>
      <c r="N652">
        <v>20</v>
      </c>
      <c r="O652" t="str">
        <f t="shared" si="62"/>
        <v>Valid</v>
      </c>
      <c r="P652" t="str">
        <f t="shared" si="63"/>
        <v>Match</v>
      </c>
      <c r="Q652" s="8">
        <v>4800</v>
      </c>
      <c r="R652" s="8">
        <v>960</v>
      </c>
      <c r="S652" s="8">
        <v>3840</v>
      </c>
      <c r="T652" s="8">
        <v>3525.8</v>
      </c>
      <c r="U652" s="8">
        <v>314.2</v>
      </c>
      <c r="V652" s="8" t="b">
        <f t="shared" si="64"/>
        <v>0</v>
      </c>
      <c r="W652" s="8">
        <f t="shared" si="65"/>
        <v>0</v>
      </c>
      <c r="X652" t="s">
        <v>347</v>
      </c>
      <c r="Y652" t="s">
        <v>37</v>
      </c>
      <c r="Z652" t="s">
        <v>80</v>
      </c>
      <c r="AA652">
        <v>4</v>
      </c>
      <c r="AB652" t="s">
        <v>29</v>
      </c>
      <c r="AC652" t="s">
        <v>40</v>
      </c>
    </row>
    <row r="653" spans="1:29" x14ac:dyDescent="0.3">
      <c r="A653" t="s">
        <v>778</v>
      </c>
      <c r="B653" s="6">
        <v>45662</v>
      </c>
      <c r="C653" s="6" t="str">
        <f t="shared" si="60"/>
        <v>4 AM - 8 AM</v>
      </c>
      <c r="D653" s="4">
        <v>0.22638888888888889</v>
      </c>
      <c r="E653" t="s">
        <v>77</v>
      </c>
      <c r="F653" t="s">
        <v>51</v>
      </c>
      <c r="G653" t="s">
        <v>52</v>
      </c>
      <c r="H653" t="s">
        <v>113</v>
      </c>
      <c r="I653" t="s">
        <v>44</v>
      </c>
      <c r="J653" t="s">
        <v>35</v>
      </c>
      <c r="K653">
        <v>1</v>
      </c>
      <c r="L653" s="8">
        <v>19250</v>
      </c>
      <c r="M653" s="8" t="str">
        <f t="shared" si="61"/>
        <v>1-10%</v>
      </c>
      <c r="N653">
        <v>10</v>
      </c>
      <c r="O653" t="str">
        <f t="shared" si="62"/>
        <v>Valid</v>
      </c>
      <c r="P653" t="str">
        <f t="shared" si="63"/>
        <v>Match</v>
      </c>
      <c r="Q653" s="8">
        <v>19250</v>
      </c>
      <c r="R653" s="8">
        <v>1925</v>
      </c>
      <c r="S653" s="8">
        <v>17325</v>
      </c>
      <c r="T653" s="8">
        <v>13691.61</v>
      </c>
      <c r="U653" s="8">
        <v>3633.39</v>
      </c>
      <c r="V653" s="8" t="b">
        <f t="shared" si="64"/>
        <v>0</v>
      </c>
      <c r="W653" s="8">
        <f t="shared" si="65"/>
        <v>0</v>
      </c>
      <c r="X653" t="s">
        <v>79</v>
      </c>
      <c r="Y653" t="s">
        <v>70</v>
      </c>
      <c r="Z653" t="s">
        <v>38</v>
      </c>
      <c r="AA653">
        <v>3.5</v>
      </c>
      <c r="AB653" t="s">
        <v>151</v>
      </c>
      <c r="AC653" t="s">
        <v>30</v>
      </c>
    </row>
    <row r="654" spans="1:29" x14ac:dyDescent="0.3">
      <c r="A654" t="s">
        <v>779</v>
      </c>
      <c r="B654" s="6">
        <v>45823</v>
      </c>
      <c r="C654" s="6" t="str">
        <f t="shared" si="60"/>
        <v>12 AM - 4 AM</v>
      </c>
      <c r="D654" s="4">
        <v>4.2361111111111113E-2</v>
      </c>
      <c r="E654" t="s">
        <v>23</v>
      </c>
      <c r="F654" t="s">
        <v>24</v>
      </c>
      <c r="G654" t="s">
        <v>84</v>
      </c>
      <c r="H654" t="s">
        <v>74</v>
      </c>
      <c r="I654" t="s">
        <v>92</v>
      </c>
      <c r="J654" t="s">
        <v>45</v>
      </c>
      <c r="K654">
        <v>1</v>
      </c>
      <c r="L654" s="8">
        <v>13100</v>
      </c>
      <c r="M654" s="8" t="str">
        <f t="shared" si="61"/>
        <v>21-30%</v>
      </c>
      <c r="N654">
        <v>30</v>
      </c>
      <c r="O654" t="str">
        <f t="shared" si="62"/>
        <v>Valid</v>
      </c>
      <c r="P654" t="str">
        <f t="shared" si="63"/>
        <v>Match</v>
      </c>
      <c r="Q654" s="8">
        <v>13100</v>
      </c>
      <c r="R654" s="8">
        <v>3930</v>
      </c>
      <c r="S654" s="8">
        <v>9170</v>
      </c>
      <c r="T654" s="8">
        <v>9245.23</v>
      </c>
      <c r="U654" s="8">
        <v>-75.23</v>
      </c>
      <c r="V654" s="8" t="b">
        <f t="shared" si="64"/>
        <v>0</v>
      </c>
      <c r="W654" s="8">
        <f t="shared" si="65"/>
        <v>0</v>
      </c>
      <c r="X654" t="s">
        <v>79</v>
      </c>
      <c r="Y654" t="s">
        <v>65</v>
      </c>
      <c r="Z654" t="s">
        <v>64</v>
      </c>
      <c r="AA654">
        <v>4.5</v>
      </c>
      <c r="AB654" t="s">
        <v>48</v>
      </c>
      <c r="AC654" t="s">
        <v>30</v>
      </c>
    </row>
    <row r="655" spans="1:29" x14ac:dyDescent="0.3">
      <c r="A655" t="s">
        <v>780</v>
      </c>
      <c r="B655" s="6">
        <v>45764</v>
      </c>
      <c r="C655" s="6" t="str">
        <f t="shared" si="60"/>
        <v>12 PM - 4 PM</v>
      </c>
      <c r="D655" s="4">
        <v>0.59027777777777779</v>
      </c>
      <c r="E655" t="s">
        <v>622</v>
      </c>
      <c r="F655" t="s">
        <v>24</v>
      </c>
      <c r="G655" t="s">
        <v>42</v>
      </c>
      <c r="H655" t="s">
        <v>62</v>
      </c>
      <c r="I655" t="s">
        <v>54</v>
      </c>
      <c r="J655" t="s">
        <v>64</v>
      </c>
      <c r="K655">
        <v>1</v>
      </c>
      <c r="L655" s="8">
        <v>74150</v>
      </c>
      <c r="M655" s="8" t="str">
        <f t="shared" si="61"/>
        <v>11-20%</v>
      </c>
      <c r="N655">
        <v>20</v>
      </c>
      <c r="O655" t="str">
        <f t="shared" si="62"/>
        <v>Valid</v>
      </c>
      <c r="P655" t="str">
        <f t="shared" si="63"/>
        <v>Match</v>
      </c>
      <c r="Q655" s="8">
        <v>74150</v>
      </c>
      <c r="R655" s="8">
        <v>14830</v>
      </c>
      <c r="S655" s="8">
        <v>59320</v>
      </c>
      <c r="T655" s="8">
        <v>51981.09</v>
      </c>
      <c r="U655" s="8">
        <v>7338.91</v>
      </c>
      <c r="V655" s="8" t="b">
        <f t="shared" si="64"/>
        <v>0</v>
      </c>
      <c r="W655" s="8">
        <f t="shared" si="65"/>
        <v>0</v>
      </c>
      <c r="X655" t="s">
        <v>55</v>
      </c>
      <c r="Y655" t="s">
        <v>37</v>
      </c>
      <c r="Z655" t="s">
        <v>45</v>
      </c>
      <c r="AA655" t="s">
        <v>1139</v>
      </c>
      <c r="AB655" t="s">
        <v>99</v>
      </c>
      <c r="AC655" t="s">
        <v>67</v>
      </c>
    </row>
    <row r="656" spans="1:29" x14ac:dyDescent="0.3">
      <c r="A656" t="s">
        <v>781</v>
      </c>
      <c r="B656" s="6">
        <v>45912</v>
      </c>
      <c r="C656" s="6" t="str">
        <f t="shared" si="60"/>
        <v>8 AM - 12 PM</v>
      </c>
      <c r="D656" s="4">
        <v>0.4284722222222222</v>
      </c>
      <c r="E656" t="s">
        <v>77</v>
      </c>
      <c r="F656" t="s">
        <v>24</v>
      </c>
      <c r="G656" t="s">
        <v>42</v>
      </c>
      <c r="H656" t="s">
        <v>74</v>
      </c>
      <c r="I656" t="s">
        <v>125</v>
      </c>
      <c r="J656" t="s">
        <v>35</v>
      </c>
      <c r="K656">
        <v>1</v>
      </c>
      <c r="L656" s="8">
        <v>67800</v>
      </c>
      <c r="M656" s="8" t="str">
        <f t="shared" si="61"/>
        <v>11-20%</v>
      </c>
      <c r="N656">
        <v>15</v>
      </c>
      <c r="O656" t="str">
        <f t="shared" si="62"/>
        <v>Valid</v>
      </c>
      <c r="P656" t="str">
        <f t="shared" si="63"/>
        <v>Match</v>
      </c>
      <c r="Q656" s="8">
        <v>67800</v>
      </c>
      <c r="R656" s="8">
        <v>10170</v>
      </c>
      <c r="S656" s="8">
        <v>57630</v>
      </c>
      <c r="T656" s="8">
        <v>41355.94</v>
      </c>
      <c r="U656" s="8">
        <v>16274.06</v>
      </c>
      <c r="V656" s="8" t="b">
        <f t="shared" si="64"/>
        <v>0</v>
      </c>
      <c r="W656" s="8">
        <f t="shared" si="65"/>
        <v>0</v>
      </c>
      <c r="X656" t="s">
        <v>79</v>
      </c>
      <c r="Y656" t="s">
        <v>37</v>
      </c>
      <c r="Z656" t="s">
        <v>56</v>
      </c>
      <c r="AA656">
        <v>5</v>
      </c>
      <c r="AB656" t="s">
        <v>155</v>
      </c>
      <c r="AC656" t="s">
        <v>58</v>
      </c>
    </row>
    <row r="657" spans="1:29" x14ac:dyDescent="0.3">
      <c r="A657" t="s">
        <v>782</v>
      </c>
      <c r="B657" s="6">
        <v>45968</v>
      </c>
      <c r="C657" s="6" t="str">
        <f t="shared" si="60"/>
        <v>4 PM - 8 PM</v>
      </c>
      <c r="D657" s="4">
        <v>0.74722222222222223</v>
      </c>
      <c r="E657" t="s">
        <v>622</v>
      </c>
      <c r="F657" t="s">
        <v>24</v>
      </c>
      <c r="G657" t="s">
        <v>33</v>
      </c>
      <c r="H657" t="s">
        <v>74</v>
      </c>
      <c r="I657" t="s">
        <v>27</v>
      </c>
      <c r="J657" t="s">
        <v>35</v>
      </c>
      <c r="K657">
        <v>1</v>
      </c>
      <c r="L657" s="8">
        <v>3750</v>
      </c>
      <c r="M657" s="8" t="str">
        <f t="shared" si="61"/>
        <v>0%</v>
      </c>
      <c r="N657">
        <v>0</v>
      </c>
      <c r="O657" t="str">
        <f t="shared" si="62"/>
        <v>Valid</v>
      </c>
      <c r="P657" t="str">
        <f t="shared" si="63"/>
        <v>Match</v>
      </c>
      <c r="Q657" s="8">
        <v>3750</v>
      </c>
      <c r="R657" s="8">
        <v>0</v>
      </c>
      <c r="S657" s="8">
        <v>3750</v>
      </c>
      <c r="T657" s="8">
        <v>2369.44</v>
      </c>
      <c r="U657" s="8">
        <v>1380.56</v>
      </c>
      <c r="V657" s="8" t="b">
        <f t="shared" si="64"/>
        <v>0</v>
      </c>
      <c r="W657" s="8">
        <f t="shared" si="65"/>
        <v>0</v>
      </c>
      <c r="X657" t="s">
        <v>79</v>
      </c>
      <c r="Y657" t="s">
        <v>89</v>
      </c>
      <c r="Z657" t="s">
        <v>56</v>
      </c>
      <c r="AA657">
        <v>4.5</v>
      </c>
      <c r="AB657" t="s">
        <v>75</v>
      </c>
      <c r="AC657" t="s">
        <v>58</v>
      </c>
    </row>
    <row r="658" spans="1:29" x14ac:dyDescent="0.3">
      <c r="A658" t="s">
        <v>783</v>
      </c>
      <c r="B658" s="6">
        <v>45988</v>
      </c>
      <c r="C658" s="6" t="str">
        <f t="shared" si="60"/>
        <v>12 PM - 4 PM</v>
      </c>
      <c r="D658" s="4">
        <v>0.51249999999999996</v>
      </c>
      <c r="E658" t="s">
        <v>32</v>
      </c>
      <c r="F658" t="s">
        <v>24</v>
      </c>
      <c r="G658" t="s">
        <v>61</v>
      </c>
      <c r="H658" t="s">
        <v>43</v>
      </c>
      <c r="I658" t="s">
        <v>54</v>
      </c>
      <c r="J658" t="s">
        <v>45</v>
      </c>
      <c r="K658">
        <v>3</v>
      </c>
      <c r="L658" s="8">
        <v>7750</v>
      </c>
      <c r="M658" s="8" t="str">
        <f t="shared" si="61"/>
        <v>11-20%</v>
      </c>
      <c r="N658">
        <v>15</v>
      </c>
      <c r="O658" t="str">
        <f t="shared" si="62"/>
        <v>Valid</v>
      </c>
      <c r="P658" t="str">
        <f t="shared" si="63"/>
        <v>Match</v>
      </c>
      <c r="Q658" s="8">
        <v>23250</v>
      </c>
      <c r="R658" s="8">
        <v>3487.5</v>
      </c>
      <c r="S658" s="8">
        <v>19762.5</v>
      </c>
      <c r="T658" s="8">
        <v>16883.830000000002</v>
      </c>
      <c r="U658" s="8">
        <v>2878.67</v>
      </c>
      <c r="V658" s="8" t="b">
        <f t="shared" si="64"/>
        <v>0</v>
      </c>
      <c r="W658" s="8">
        <f t="shared" si="65"/>
        <v>0</v>
      </c>
      <c r="X658" t="s">
        <v>55</v>
      </c>
      <c r="Y658" t="s">
        <v>89</v>
      </c>
      <c r="Z658" t="s">
        <v>56</v>
      </c>
      <c r="AA658">
        <v>5</v>
      </c>
      <c r="AB658" t="s">
        <v>75</v>
      </c>
      <c r="AC658" t="s">
        <v>67</v>
      </c>
    </row>
    <row r="659" spans="1:29" x14ac:dyDescent="0.3">
      <c r="A659" t="s">
        <v>784</v>
      </c>
      <c r="B659" s="6">
        <v>45947</v>
      </c>
      <c r="C659" s="6" t="str">
        <f t="shared" si="60"/>
        <v>12 AM - 4 AM</v>
      </c>
      <c r="D659" s="4">
        <v>7.6388888888888895E-2</v>
      </c>
      <c r="E659" t="s">
        <v>32</v>
      </c>
      <c r="F659" t="s">
        <v>51</v>
      </c>
      <c r="G659" t="s">
        <v>73</v>
      </c>
      <c r="H659" t="s">
        <v>74</v>
      </c>
      <c r="I659" t="s">
        <v>103</v>
      </c>
      <c r="J659" t="s">
        <v>35</v>
      </c>
      <c r="K659">
        <v>2</v>
      </c>
      <c r="L659" s="8">
        <v>5400</v>
      </c>
      <c r="M659" s="8" t="str">
        <f t="shared" si="61"/>
        <v>1-10%</v>
      </c>
      <c r="N659">
        <v>5</v>
      </c>
      <c r="O659" t="str">
        <f t="shared" si="62"/>
        <v>Valid</v>
      </c>
      <c r="P659" t="str">
        <f t="shared" si="63"/>
        <v>Match</v>
      </c>
      <c r="Q659" s="8">
        <v>10800</v>
      </c>
      <c r="R659" s="8">
        <v>540</v>
      </c>
      <c r="S659" s="8">
        <v>10260</v>
      </c>
      <c r="T659" s="8">
        <v>6304.22</v>
      </c>
      <c r="U659" s="8">
        <v>3955.78</v>
      </c>
      <c r="V659" s="8" t="b">
        <f t="shared" si="64"/>
        <v>0</v>
      </c>
      <c r="W659" s="8">
        <f t="shared" si="65"/>
        <v>0</v>
      </c>
      <c r="X659" t="s">
        <v>36</v>
      </c>
      <c r="Y659" t="s">
        <v>104</v>
      </c>
      <c r="Z659" t="s">
        <v>80</v>
      </c>
      <c r="AA659">
        <v>5</v>
      </c>
      <c r="AB659" t="s">
        <v>57</v>
      </c>
      <c r="AC659" t="s">
        <v>58</v>
      </c>
    </row>
    <row r="660" spans="1:29" x14ac:dyDescent="0.3">
      <c r="A660" t="s">
        <v>785</v>
      </c>
      <c r="B660" s="6">
        <v>45685</v>
      </c>
      <c r="C660" s="6" t="str">
        <f t="shared" si="60"/>
        <v>4 AM - 8 AM</v>
      </c>
      <c r="D660" s="4">
        <v>0.32430555555555557</v>
      </c>
      <c r="E660" t="s">
        <v>32</v>
      </c>
      <c r="F660" t="s">
        <v>24</v>
      </c>
      <c r="G660" t="s">
        <v>61</v>
      </c>
      <c r="H660" t="s">
        <v>26</v>
      </c>
      <c r="I660" t="s">
        <v>63</v>
      </c>
      <c r="J660" t="s">
        <v>35</v>
      </c>
      <c r="K660">
        <v>1</v>
      </c>
      <c r="L660" s="8">
        <v>40250</v>
      </c>
      <c r="M660" s="8" t="str">
        <f t="shared" si="61"/>
        <v>21-30%</v>
      </c>
      <c r="N660">
        <v>25</v>
      </c>
      <c r="O660" t="str">
        <f t="shared" si="62"/>
        <v>Valid</v>
      </c>
      <c r="P660" t="str">
        <f t="shared" si="63"/>
        <v>Match</v>
      </c>
      <c r="Q660" s="8">
        <v>40250</v>
      </c>
      <c r="R660" s="8">
        <v>10062.5</v>
      </c>
      <c r="S660" s="8">
        <v>30187.5</v>
      </c>
      <c r="T660" s="8">
        <v>22052.63</v>
      </c>
      <c r="U660" s="8">
        <v>8134.87</v>
      </c>
      <c r="V660" s="8" t="b">
        <f t="shared" si="64"/>
        <v>0</v>
      </c>
      <c r="W660" s="8">
        <f t="shared" si="65"/>
        <v>0</v>
      </c>
      <c r="X660" t="s">
        <v>46</v>
      </c>
      <c r="Y660" t="s">
        <v>47</v>
      </c>
      <c r="Z660" t="s">
        <v>85</v>
      </c>
      <c r="AA660">
        <v>4</v>
      </c>
      <c r="AB660" t="s">
        <v>151</v>
      </c>
      <c r="AC660" t="s">
        <v>86</v>
      </c>
    </row>
    <row r="661" spans="1:29" x14ac:dyDescent="0.3">
      <c r="A661" t="s">
        <v>786</v>
      </c>
      <c r="B661" s="6">
        <v>45892</v>
      </c>
      <c r="C661" s="6" t="str">
        <f t="shared" si="60"/>
        <v>4 PM - 8 PM</v>
      </c>
      <c r="D661" s="4">
        <v>0.78263888888888888</v>
      </c>
      <c r="E661" t="s">
        <v>108</v>
      </c>
      <c r="F661" t="s">
        <v>24</v>
      </c>
      <c r="G661" t="s">
        <v>33</v>
      </c>
      <c r="H661" t="s">
        <v>74</v>
      </c>
      <c r="I661" t="s">
        <v>92</v>
      </c>
      <c r="J661" t="s">
        <v>64</v>
      </c>
      <c r="K661">
        <v>1</v>
      </c>
      <c r="L661" s="8">
        <v>1800</v>
      </c>
      <c r="M661" s="8" t="str">
        <f t="shared" si="61"/>
        <v>11-20%</v>
      </c>
      <c r="N661">
        <v>20</v>
      </c>
      <c r="O661" t="str">
        <f t="shared" si="62"/>
        <v>Valid</v>
      </c>
      <c r="P661" t="str">
        <f t="shared" si="63"/>
        <v>Match</v>
      </c>
      <c r="Q661" s="8">
        <v>1800</v>
      </c>
      <c r="R661" s="8">
        <v>360</v>
      </c>
      <c r="S661" s="8">
        <v>1440</v>
      </c>
      <c r="T661" s="8">
        <v>1050.31</v>
      </c>
      <c r="U661" s="8">
        <v>389.69</v>
      </c>
      <c r="V661" s="8" t="b">
        <f t="shared" si="64"/>
        <v>0</v>
      </c>
      <c r="W661" s="8">
        <f t="shared" si="65"/>
        <v>0</v>
      </c>
      <c r="X661" t="s">
        <v>79</v>
      </c>
      <c r="Y661" t="s">
        <v>94</v>
      </c>
      <c r="Z661" t="s">
        <v>80</v>
      </c>
      <c r="AA661">
        <v>4.5</v>
      </c>
      <c r="AB661" t="s">
        <v>90</v>
      </c>
      <c r="AC661" t="s">
        <v>71</v>
      </c>
    </row>
    <row r="662" spans="1:29" x14ac:dyDescent="0.3">
      <c r="A662" t="s">
        <v>787</v>
      </c>
      <c r="B662" s="6">
        <v>45968</v>
      </c>
      <c r="C662" s="6" t="str">
        <f t="shared" si="60"/>
        <v>8 AM - 12 PM</v>
      </c>
      <c r="D662" s="4">
        <v>0.40972222222222221</v>
      </c>
      <c r="E662" t="s">
        <v>60</v>
      </c>
      <c r="F662" t="s">
        <v>24</v>
      </c>
      <c r="G662" t="s">
        <v>84</v>
      </c>
      <c r="H662" t="s">
        <v>43</v>
      </c>
      <c r="I662" t="s">
        <v>27</v>
      </c>
      <c r="J662" t="s">
        <v>35</v>
      </c>
      <c r="K662">
        <v>2</v>
      </c>
      <c r="L662" s="8">
        <v>4950</v>
      </c>
      <c r="M662" s="8" t="str">
        <f t="shared" si="61"/>
        <v>11-20%</v>
      </c>
      <c r="N662">
        <v>15</v>
      </c>
      <c r="O662" t="str">
        <f t="shared" si="62"/>
        <v>Valid</v>
      </c>
      <c r="P662" t="str">
        <f t="shared" si="63"/>
        <v>Match</v>
      </c>
      <c r="Q662" s="8">
        <v>9900</v>
      </c>
      <c r="R662" s="8">
        <v>1485</v>
      </c>
      <c r="S662" s="8">
        <v>8415</v>
      </c>
      <c r="T662" s="8">
        <v>5571.15</v>
      </c>
      <c r="U662" s="8">
        <v>2843.85</v>
      </c>
      <c r="V662" s="8" t="b">
        <f t="shared" si="64"/>
        <v>0</v>
      </c>
      <c r="W662" s="8">
        <f t="shared" si="65"/>
        <v>0</v>
      </c>
      <c r="X662" t="s">
        <v>36</v>
      </c>
      <c r="Y662" t="s">
        <v>37</v>
      </c>
      <c r="Z662" t="s">
        <v>56</v>
      </c>
      <c r="AA662">
        <v>4</v>
      </c>
      <c r="AB662" t="s">
        <v>75</v>
      </c>
      <c r="AC662" t="s">
        <v>58</v>
      </c>
    </row>
    <row r="663" spans="1:29" x14ac:dyDescent="0.3">
      <c r="A663" t="s">
        <v>788</v>
      </c>
      <c r="B663" s="6">
        <v>45671</v>
      </c>
      <c r="C663" s="6" t="str">
        <f t="shared" si="60"/>
        <v>12 PM - 4 PM</v>
      </c>
      <c r="D663" s="4">
        <v>0.61458333333333337</v>
      </c>
      <c r="E663" t="s">
        <v>23</v>
      </c>
      <c r="F663" t="s">
        <v>96</v>
      </c>
      <c r="G663" t="s">
        <v>145</v>
      </c>
      <c r="H663" t="s">
        <v>26</v>
      </c>
      <c r="I663" t="s">
        <v>63</v>
      </c>
      <c r="J663" t="s">
        <v>35</v>
      </c>
      <c r="K663">
        <v>2</v>
      </c>
      <c r="L663" s="8">
        <v>2350</v>
      </c>
      <c r="M663" s="8" t="str">
        <f t="shared" si="61"/>
        <v>21-30%</v>
      </c>
      <c r="N663">
        <v>25</v>
      </c>
      <c r="O663" t="str">
        <f t="shared" si="62"/>
        <v>Valid</v>
      </c>
      <c r="P663" t="str">
        <f t="shared" si="63"/>
        <v>Match</v>
      </c>
      <c r="Q663" s="8">
        <v>4700</v>
      </c>
      <c r="R663" s="8">
        <v>1175</v>
      </c>
      <c r="S663" s="8">
        <v>3525</v>
      </c>
      <c r="T663" s="8">
        <v>3237.72</v>
      </c>
      <c r="U663" s="8">
        <v>287.27999999999997</v>
      </c>
      <c r="V663" s="8" t="b">
        <f t="shared" si="64"/>
        <v>0</v>
      </c>
      <c r="W663" s="8">
        <f t="shared" si="65"/>
        <v>0</v>
      </c>
      <c r="X663" t="s">
        <v>79</v>
      </c>
      <c r="Y663" t="s">
        <v>70</v>
      </c>
      <c r="Z663" t="s">
        <v>56</v>
      </c>
      <c r="AA663">
        <v>4</v>
      </c>
      <c r="AB663" t="s">
        <v>151</v>
      </c>
      <c r="AC663" t="s">
        <v>86</v>
      </c>
    </row>
    <row r="664" spans="1:29" x14ac:dyDescent="0.3">
      <c r="A664" t="s">
        <v>789</v>
      </c>
      <c r="B664" s="6">
        <v>45772</v>
      </c>
      <c r="C664" s="6" t="str">
        <f t="shared" si="60"/>
        <v>4 PM - 8 PM</v>
      </c>
      <c r="D664" s="4">
        <v>0.77222222222222225</v>
      </c>
      <c r="E664" t="s">
        <v>69</v>
      </c>
      <c r="F664" t="s">
        <v>24</v>
      </c>
      <c r="G664" t="s">
        <v>84</v>
      </c>
      <c r="H664" t="s">
        <v>74</v>
      </c>
      <c r="I664" t="s">
        <v>82</v>
      </c>
      <c r="J664" t="s">
        <v>45</v>
      </c>
      <c r="K664">
        <v>5</v>
      </c>
      <c r="L664" s="8">
        <v>14450</v>
      </c>
      <c r="M664" s="8" t="str">
        <f t="shared" si="61"/>
        <v>0%</v>
      </c>
      <c r="N664">
        <v>0</v>
      </c>
      <c r="O664" t="str">
        <f t="shared" si="62"/>
        <v>Valid</v>
      </c>
      <c r="P664" t="str">
        <f t="shared" si="63"/>
        <v>Match</v>
      </c>
      <c r="Q664" s="8">
        <v>72250</v>
      </c>
      <c r="R664" s="8">
        <v>0</v>
      </c>
      <c r="S664" s="8">
        <v>72250</v>
      </c>
      <c r="T664" s="8">
        <v>52752.58</v>
      </c>
      <c r="U664" s="8">
        <v>19497.419999999998</v>
      </c>
      <c r="V664" s="8" t="b">
        <f t="shared" si="64"/>
        <v>0</v>
      </c>
      <c r="W664" s="8">
        <f t="shared" si="65"/>
        <v>0</v>
      </c>
      <c r="X664" t="s">
        <v>55</v>
      </c>
      <c r="Y664" t="s">
        <v>94</v>
      </c>
      <c r="Z664" t="s">
        <v>45</v>
      </c>
      <c r="AA664" t="s">
        <v>1139</v>
      </c>
      <c r="AB664" t="s">
        <v>99</v>
      </c>
      <c r="AC664" t="s">
        <v>58</v>
      </c>
    </row>
    <row r="665" spans="1:29" x14ac:dyDescent="0.3">
      <c r="A665" t="s">
        <v>790</v>
      </c>
      <c r="B665" s="6">
        <v>45676</v>
      </c>
      <c r="C665" s="6" t="str">
        <f t="shared" si="60"/>
        <v>12 AM - 4 AM</v>
      </c>
      <c r="D665" s="4">
        <v>3.3333333333333333E-2</v>
      </c>
      <c r="E665" t="s">
        <v>69</v>
      </c>
      <c r="F665" t="s">
        <v>96</v>
      </c>
      <c r="G665" t="s">
        <v>129</v>
      </c>
      <c r="H665" t="s">
        <v>26</v>
      </c>
      <c r="I665" t="s">
        <v>103</v>
      </c>
      <c r="J665" t="s">
        <v>35</v>
      </c>
      <c r="K665">
        <v>2</v>
      </c>
      <c r="L665" s="8">
        <v>1950</v>
      </c>
      <c r="M665" s="8" t="str">
        <f t="shared" si="61"/>
        <v>1-10%</v>
      </c>
      <c r="N665">
        <v>5</v>
      </c>
      <c r="O665" t="str">
        <f t="shared" si="62"/>
        <v>Valid</v>
      </c>
      <c r="P665" t="str">
        <f t="shared" si="63"/>
        <v>Match</v>
      </c>
      <c r="Q665" s="8">
        <v>3900</v>
      </c>
      <c r="R665" s="8">
        <v>195</v>
      </c>
      <c r="S665" s="8">
        <v>3705</v>
      </c>
      <c r="T665" s="8">
        <v>2834.53</v>
      </c>
      <c r="U665" s="8">
        <v>870.47</v>
      </c>
      <c r="V665" s="8" t="b">
        <f t="shared" si="64"/>
        <v>0</v>
      </c>
      <c r="W665" s="8">
        <f t="shared" si="65"/>
        <v>0</v>
      </c>
      <c r="X665" t="s">
        <v>79</v>
      </c>
      <c r="Y665" t="s">
        <v>89</v>
      </c>
      <c r="Z665" t="s">
        <v>45</v>
      </c>
      <c r="AA665">
        <v>3</v>
      </c>
      <c r="AB665" t="s">
        <v>151</v>
      </c>
      <c r="AC665" t="s">
        <v>30</v>
      </c>
    </row>
    <row r="666" spans="1:29" x14ac:dyDescent="0.3">
      <c r="A666" t="s">
        <v>791</v>
      </c>
      <c r="B666" s="6">
        <v>45664</v>
      </c>
      <c r="C666" s="6" t="str">
        <f t="shared" si="60"/>
        <v>8 AM - 12 PM</v>
      </c>
      <c r="D666" s="4">
        <v>0.34930555555555554</v>
      </c>
      <c r="E666" t="s">
        <v>32</v>
      </c>
      <c r="F666" t="s">
        <v>24</v>
      </c>
      <c r="G666" t="s">
        <v>33</v>
      </c>
      <c r="H666" t="s">
        <v>43</v>
      </c>
      <c r="I666" t="s">
        <v>82</v>
      </c>
      <c r="J666" t="s">
        <v>35</v>
      </c>
      <c r="K666">
        <v>1</v>
      </c>
      <c r="L666" s="8">
        <v>800</v>
      </c>
      <c r="M666" s="8" t="str">
        <f t="shared" si="61"/>
        <v>1-10%</v>
      </c>
      <c r="N666">
        <v>10</v>
      </c>
      <c r="O666" t="str">
        <f t="shared" si="62"/>
        <v>Valid</v>
      </c>
      <c r="P666" t="str">
        <f t="shared" si="63"/>
        <v>Match</v>
      </c>
      <c r="Q666" s="8">
        <v>800</v>
      </c>
      <c r="R666" s="8">
        <v>80</v>
      </c>
      <c r="S666" s="8">
        <v>720</v>
      </c>
      <c r="T666" s="8">
        <v>442.11</v>
      </c>
      <c r="U666" s="8">
        <v>277.89</v>
      </c>
      <c r="V666" s="8" t="b">
        <f t="shared" si="64"/>
        <v>0</v>
      </c>
      <c r="W666" s="8">
        <f t="shared" si="65"/>
        <v>0</v>
      </c>
      <c r="X666" t="s">
        <v>55</v>
      </c>
      <c r="Y666" t="s">
        <v>70</v>
      </c>
      <c r="Z666" t="s">
        <v>56</v>
      </c>
      <c r="AA666">
        <v>4</v>
      </c>
      <c r="AB666" t="s">
        <v>151</v>
      </c>
      <c r="AC666" t="s">
        <v>86</v>
      </c>
    </row>
    <row r="667" spans="1:29" x14ac:dyDescent="0.3">
      <c r="A667" t="s">
        <v>792</v>
      </c>
      <c r="B667" s="6">
        <v>45945</v>
      </c>
      <c r="C667" s="6" t="str">
        <f t="shared" si="60"/>
        <v>4 AM - 8 AM</v>
      </c>
      <c r="D667" s="4">
        <v>0.26597222222222222</v>
      </c>
      <c r="E667" t="s">
        <v>69</v>
      </c>
      <c r="F667" t="s">
        <v>96</v>
      </c>
      <c r="G667" t="s">
        <v>129</v>
      </c>
      <c r="H667" t="s">
        <v>102</v>
      </c>
      <c r="I667" t="s">
        <v>103</v>
      </c>
      <c r="J667" t="s">
        <v>35</v>
      </c>
      <c r="K667">
        <v>1</v>
      </c>
      <c r="L667" s="8">
        <v>2900</v>
      </c>
      <c r="M667" s="8" t="str">
        <f t="shared" si="61"/>
        <v>11-20%</v>
      </c>
      <c r="N667">
        <v>15</v>
      </c>
      <c r="O667" t="str">
        <f t="shared" si="62"/>
        <v>Valid</v>
      </c>
      <c r="P667" t="str">
        <f t="shared" si="63"/>
        <v>Match</v>
      </c>
      <c r="Q667" s="8">
        <v>2900</v>
      </c>
      <c r="R667" s="8">
        <v>435</v>
      </c>
      <c r="S667" s="8">
        <v>2465</v>
      </c>
      <c r="T667" s="8">
        <v>1540.64</v>
      </c>
      <c r="U667" s="8">
        <v>924.36</v>
      </c>
      <c r="V667" s="8" t="b">
        <f t="shared" si="64"/>
        <v>0</v>
      </c>
      <c r="W667" s="8">
        <f t="shared" si="65"/>
        <v>0</v>
      </c>
      <c r="X667" t="s">
        <v>55</v>
      </c>
      <c r="Y667" t="s">
        <v>65</v>
      </c>
      <c r="Z667" t="s">
        <v>80</v>
      </c>
      <c r="AA667">
        <v>4.5</v>
      </c>
      <c r="AB667" t="s">
        <v>57</v>
      </c>
      <c r="AC667" t="s">
        <v>40</v>
      </c>
    </row>
    <row r="668" spans="1:29" x14ac:dyDescent="0.3">
      <c r="A668" t="s">
        <v>793</v>
      </c>
      <c r="B668" s="6">
        <v>45809</v>
      </c>
      <c r="C668" s="6" t="str">
        <f t="shared" si="60"/>
        <v>8 AM - 12 PM</v>
      </c>
      <c r="D668" s="4">
        <v>0.35347222222222224</v>
      </c>
      <c r="E668" t="s">
        <v>622</v>
      </c>
      <c r="F668" t="s">
        <v>24</v>
      </c>
      <c r="G668" t="s">
        <v>61</v>
      </c>
      <c r="H668" t="s">
        <v>113</v>
      </c>
      <c r="I668" t="s">
        <v>44</v>
      </c>
      <c r="J668" t="s">
        <v>35</v>
      </c>
      <c r="K668">
        <v>2</v>
      </c>
      <c r="L668" s="8">
        <v>41400</v>
      </c>
      <c r="M668" s="8" t="str">
        <f t="shared" si="61"/>
        <v>11-20%</v>
      </c>
      <c r="N668">
        <v>15</v>
      </c>
      <c r="O668" t="str">
        <f t="shared" si="62"/>
        <v>Valid</v>
      </c>
      <c r="P668" t="str">
        <f t="shared" si="63"/>
        <v>Match</v>
      </c>
      <c r="Q668" s="8">
        <v>82800</v>
      </c>
      <c r="R668" s="8">
        <v>12420</v>
      </c>
      <c r="S668" s="8">
        <v>70380</v>
      </c>
      <c r="T668" s="8">
        <v>61065.54</v>
      </c>
      <c r="U668" s="8">
        <v>9314.4599999999991</v>
      </c>
      <c r="V668" s="8" t="b">
        <f t="shared" si="64"/>
        <v>0</v>
      </c>
      <c r="W668" s="8">
        <f t="shared" si="65"/>
        <v>0</v>
      </c>
      <c r="X668" t="s">
        <v>79</v>
      </c>
      <c r="Y668" t="s">
        <v>104</v>
      </c>
      <c r="Z668" t="s">
        <v>64</v>
      </c>
      <c r="AA668">
        <v>4</v>
      </c>
      <c r="AB668" t="s">
        <v>48</v>
      </c>
      <c r="AC668" t="s">
        <v>30</v>
      </c>
    </row>
    <row r="669" spans="1:29" x14ac:dyDescent="0.3">
      <c r="A669" t="s">
        <v>794</v>
      </c>
      <c r="B669" s="6">
        <v>45926</v>
      </c>
      <c r="C669" s="6" t="str">
        <f t="shared" si="60"/>
        <v>4 PM - 8 PM</v>
      </c>
      <c r="D669" s="4">
        <v>0.77222222222222225</v>
      </c>
      <c r="E669" t="s">
        <v>108</v>
      </c>
      <c r="F669" t="s">
        <v>24</v>
      </c>
      <c r="G669" t="s">
        <v>61</v>
      </c>
      <c r="H669" t="s">
        <v>26</v>
      </c>
      <c r="I669" t="s">
        <v>63</v>
      </c>
      <c r="J669" t="s">
        <v>78</v>
      </c>
      <c r="K669">
        <v>1</v>
      </c>
      <c r="L669" s="8">
        <v>15850</v>
      </c>
      <c r="M669" s="8" t="str">
        <f t="shared" si="61"/>
        <v>0%</v>
      </c>
      <c r="N669">
        <v>0</v>
      </c>
      <c r="O669" t="str">
        <f t="shared" si="62"/>
        <v>Valid</v>
      </c>
      <c r="P669" t="str">
        <f t="shared" si="63"/>
        <v>Match</v>
      </c>
      <c r="Q669" s="8">
        <v>15850</v>
      </c>
      <c r="R669" s="8">
        <v>0</v>
      </c>
      <c r="S669" s="8">
        <v>15850</v>
      </c>
      <c r="T669" s="8">
        <v>10209.129999999999</v>
      </c>
      <c r="U669" s="8">
        <v>5640.87</v>
      </c>
      <c r="V669" s="8" t="b">
        <f t="shared" si="64"/>
        <v>0</v>
      </c>
      <c r="W669" s="8">
        <f t="shared" si="65"/>
        <v>0</v>
      </c>
      <c r="X669" t="s">
        <v>36</v>
      </c>
      <c r="Y669" t="s">
        <v>37</v>
      </c>
      <c r="Z669" t="s">
        <v>64</v>
      </c>
      <c r="AA669" t="s">
        <v>1139</v>
      </c>
      <c r="AB669" t="s">
        <v>155</v>
      </c>
      <c r="AC669" t="s">
        <v>58</v>
      </c>
    </row>
    <row r="670" spans="1:29" x14ac:dyDescent="0.3">
      <c r="A670" t="s">
        <v>795</v>
      </c>
      <c r="B670" s="6">
        <v>45940</v>
      </c>
      <c r="C670" s="6" t="str">
        <f t="shared" si="60"/>
        <v>4 AM - 8 AM</v>
      </c>
      <c r="D670" s="4">
        <v>0.19375000000000001</v>
      </c>
      <c r="E670" t="s">
        <v>622</v>
      </c>
      <c r="F670" t="s">
        <v>24</v>
      </c>
      <c r="G670" t="s">
        <v>110</v>
      </c>
      <c r="H670" t="s">
        <v>43</v>
      </c>
      <c r="I670" t="s">
        <v>54</v>
      </c>
      <c r="J670" t="s">
        <v>35</v>
      </c>
      <c r="K670">
        <v>2</v>
      </c>
      <c r="L670" s="8">
        <v>1050</v>
      </c>
      <c r="M670" s="8" t="str">
        <f t="shared" si="61"/>
        <v>1-10%</v>
      </c>
      <c r="N670">
        <v>10</v>
      </c>
      <c r="O670" t="str">
        <f t="shared" si="62"/>
        <v>Valid</v>
      </c>
      <c r="P670" t="str">
        <f t="shared" si="63"/>
        <v>Match</v>
      </c>
      <c r="Q670" s="8">
        <v>2100</v>
      </c>
      <c r="R670" s="8">
        <v>210</v>
      </c>
      <c r="S670" s="8">
        <v>1890</v>
      </c>
      <c r="T670" s="8">
        <v>1307.94</v>
      </c>
      <c r="U670" s="8">
        <v>582.05999999999995</v>
      </c>
      <c r="V670" s="8" t="b">
        <f t="shared" si="64"/>
        <v>0</v>
      </c>
      <c r="W670" s="8">
        <f t="shared" si="65"/>
        <v>0</v>
      </c>
      <c r="X670" t="s">
        <v>55</v>
      </c>
      <c r="Y670" t="s">
        <v>104</v>
      </c>
      <c r="Z670" t="s">
        <v>38</v>
      </c>
      <c r="AA670">
        <v>5</v>
      </c>
      <c r="AB670" t="s">
        <v>57</v>
      </c>
      <c r="AC670" t="s">
        <v>58</v>
      </c>
    </row>
    <row r="671" spans="1:29" x14ac:dyDescent="0.3">
      <c r="A671" t="s">
        <v>796</v>
      </c>
      <c r="B671" s="6">
        <v>45934</v>
      </c>
      <c r="C671" s="6" t="str">
        <f t="shared" si="60"/>
        <v>8 AM - 12 PM</v>
      </c>
      <c r="D671" s="4">
        <v>0.42499999999999999</v>
      </c>
      <c r="E671" t="s">
        <v>77</v>
      </c>
      <c r="F671" t="s">
        <v>51</v>
      </c>
      <c r="G671" t="s">
        <v>153</v>
      </c>
      <c r="H671" t="s">
        <v>26</v>
      </c>
      <c r="I671" t="s">
        <v>103</v>
      </c>
      <c r="J671" t="s">
        <v>35</v>
      </c>
      <c r="K671">
        <v>1</v>
      </c>
      <c r="L671" s="8">
        <v>3450</v>
      </c>
      <c r="M671" s="8" t="str">
        <f t="shared" si="61"/>
        <v>1-10%</v>
      </c>
      <c r="N671">
        <v>10</v>
      </c>
      <c r="O671" t="str">
        <f t="shared" si="62"/>
        <v>Valid</v>
      </c>
      <c r="P671" t="str">
        <f t="shared" si="63"/>
        <v>Match</v>
      </c>
      <c r="Q671" s="8">
        <v>3450</v>
      </c>
      <c r="R671" s="8">
        <v>345</v>
      </c>
      <c r="S671" s="8">
        <v>3105</v>
      </c>
      <c r="T671" s="8">
        <v>2122.58</v>
      </c>
      <c r="U671" s="8">
        <v>982.42</v>
      </c>
      <c r="V671" s="8" t="b">
        <f t="shared" si="64"/>
        <v>0</v>
      </c>
      <c r="W671" s="8">
        <f t="shared" si="65"/>
        <v>0</v>
      </c>
      <c r="X671" t="s">
        <v>46</v>
      </c>
      <c r="Y671" t="s">
        <v>65</v>
      </c>
      <c r="Z671" t="s">
        <v>64</v>
      </c>
      <c r="AA671">
        <v>5</v>
      </c>
      <c r="AB671" t="s">
        <v>57</v>
      </c>
      <c r="AC671" t="s">
        <v>71</v>
      </c>
    </row>
    <row r="672" spans="1:29" x14ac:dyDescent="0.3">
      <c r="A672" t="s">
        <v>797</v>
      </c>
      <c r="B672" s="6">
        <v>45999</v>
      </c>
      <c r="C672" s="6" t="str">
        <f t="shared" si="60"/>
        <v>8 AM - 12 PM</v>
      </c>
      <c r="D672" s="4">
        <v>0.4236111111111111</v>
      </c>
      <c r="E672" t="s">
        <v>69</v>
      </c>
      <c r="F672" t="s">
        <v>51</v>
      </c>
      <c r="G672" t="s">
        <v>52</v>
      </c>
      <c r="H672" t="s">
        <v>74</v>
      </c>
      <c r="I672" t="s">
        <v>54</v>
      </c>
      <c r="J672" t="s">
        <v>35</v>
      </c>
      <c r="K672">
        <v>1</v>
      </c>
      <c r="L672" s="8">
        <v>33250</v>
      </c>
      <c r="M672" s="8" t="str">
        <f t="shared" si="61"/>
        <v>11-20%</v>
      </c>
      <c r="N672">
        <v>15</v>
      </c>
      <c r="O672" t="str">
        <f t="shared" si="62"/>
        <v>Valid</v>
      </c>
      <c r="P672" t="str">
        <f t="shared" si="63"/>
        <v>Match</v>
      </c>
      <c r="Q672" s="8">
        <v>33250</v>
      </c>
      <c r="R672" s="8">
        <v>4987.5</v>
      </c>
      <c r="S672" s="8">
        <v>28262.5</v>
      </c>
      <c r="T672" s="8">
        <v>20967.75</v>
      </c>
      <c r="U672" s="8">
        <v>7294.75</v>
      </c>
      <c r="V672" s="8" t="b">
        <f t="shared" si="64"/>
        <v>0</v>
      </c>
      <c r="W672" s="8">
        <f t="shared" si="65"/>
        <v>0</v>
      </c>
      <c r="X672" t="s">
        <v>55</v>
      </c>
      <c r="Y672" t="s">
        <v>70</v>
      </c>
      <c r="Z672" t="s">
        <v>56</v>
      </c>
      <c r="AA672">
        <v>4</v>
      </c>
      <c r="AB672" t="s">
        <v>39</v>
      </c>
      <c r="AC672" t="s">
        <v>49</v>
      </c>
    </row>
    <row r="673" spans="1:29" x14ac:dyDescent="0.3">
      <c r="A673" t="s">
        <v>798</v>
      </c>
      <c r="B673" s="6">
        <v>45674</v>
      </c>
      <c r="C673" s="6" t="str">
        <f t="shared" si="60"/>
        <v>8 PM - 12 AM</v>
      </c>
      <c r="D673" s="4">
        <v>0.90486111111111112</v>
      </c>
      <c r="E673" t="s">
        <v>77</v>
      </c>
      <c r="F673" t="s">
        <v>96</v>
      </c>
      <c r="G673" t="s">
        <v>145</v>
      </c>
      <c r="H673" t="s">
        <v>53</v>
      </c>
      <c r="I673" t="s">
        <v>103</v>
      </c>
      <c r="J673" t="s">
        <v>93</v>
      </c>
      <c r="K673">
        <v>2</v>
      </c>
      <c r="L673" s="8">
        <v>1400</v>
      </c>
      <c r="M673" s="8" t="str">
        <f t="shared" si="61"/>
        <v>0%</v>
      </c>
      <c r="N673">
        <v>0</v>
      </c>
      <c r="O673" t="str">
        <f t="shared" si="62"/>
        <v>Valid</v>
      </c>
      <c r="P673" t="str">
        <f t="shared" si="63"/>
        <v>Match</v>
      </c>
      <c r="Q673" s="8">
        <v>2800</v>
      </c>
      <c r="R673" s="8">
        <v>0</v>
      </c>
      <c r="S673" s="8">
        <v>2800</v>
      </c>
      <c r="T673" s="8">
        <v>1460.24</v>
      </c>
      <c r="U673" s="8">
        <v>1339.76</v>
      </c>
      <c r="V673" s="8" t="b">
        <f t="shared" si="64"/>
        <v>0</v>
      </c>
      <c r="W673" s="8">
        <f t="shared" si="65"/>
        <v>0</v>
      </c>
      <c r="X673" t="s">
        <v>79</v>
      </c>
      <c r="Y673" t="s">
        <v>65</v>
      </c>
      <c r="Z673" t="s">
        <v>80</v>
      </c>
      <c r="AA673">
        <v>3</v>
      </c>
      <c r="AB673" t="s">
        <v>151</v>
      </c>
      <c r="AC673" t="s">
        <v>58</v>
      </c>
    </row>
    <row r="674" spans="1:29" x14ac:dyDescent="0.3">
      <c r="A674" t="s">
        <v>799</v>
      </c>
      <c r="B674" s="6">
        <v>45700</v>
      </c>
      <c r="C674" s="6" t="str">
        <f t="shared" si="60"/>
        <v>8 AM - 12 PM</v>
      </c>
      <c r="D674" s="4">
        <v>0.33958333333333335</v>
      </c>
      <c r="E674" t="s">
        <v>32</v>
      </c>
      <c r="F674" t="s">
        <v>24</v>
      </c>
      <c r="G674" t="s">
        <v>42</v>
      </c>
      <c r="H674" t="s">
        <v>113</v>
      </c>
      <c r="I674" t="s">
        <v>44</v>
      </c>
      <c r="J674" t="s">
        <v>45</v>
      </c>
      <c r="K674">
        <v>1</v>
      </c>
      <c r="L674" s="8">
        <v>29750</v>
      </c>
      <c r="M674" s="8" t="str">
        <f t="shared" si="61"/>
        <v>1-10%</v>
      </c>
      <c r="N674">
        <v>5</v>
      </c>
      <c r="O674" t="str">
        <f t="shared" si="62"/>
        <v>Valid</v>
      </c>
      <c r="P674" t="str">
        <f t="shared" si="63"/>
        <v>Match</v>
      </c>
      <c r="Q674" s="8">
        <v>29750</v>
      </c>
      <c r="R674" s="8">
        <v>1487.5</v>
      </c>
      <c r="S674" s="8">
        <v>28262.5</v>
      </c>
      <c r="T674" s="8">
        <v>16335.11</v>
      </c>
      <c r="U674" s="8">
        <v>11927.39</v>
      </c>
      <c r="V674" s="8" t="b">
        <f t="shared" si="64"/>
        <v>0</v>
      </c>
      <c r="W674" s="8">
        <f t="shared" si="65"/>
        <v>0</v>
      </c>
      <c r="X674" t="s">
        <v>46</v>
      </c>
      <c r="Y674" t="s">
        <v>1137</v>
      </c>
      <c r="Z674" t="s">
        <v>85</v>
      </c>
      <c r="AA674">
        <v>3</v>
      </c>
      <c r="AB674" t="s">
        <v>66</v>
      </c>
      <c r="AC674" t="s">
        <v>40</v>
      </c>
    </row>
    <row r="675" spans="1:29" x14ac:dyDescent="0.3">
      <c r="A675" t="s">
        <v>800</v>
      </c>
      <c r="B675" s="6">
        <v>45898</v>
      </c>
      <c r="C675" s="6" t="str">
        <f t="shared" si="60"/>
        <v>12 AM - 4 AM</v>
      </c>
      <c r="D675" s="4">
        <v>4.3749999999999997E-2</v>
      </c>
      <c r="E675" t="s">
        <v>69</v>
      </c>
      <c r="F675" t="s">
        <v>51</v>
      </c>
      <c r="G675" t="s">
        <v>73</v>
      </c>
      <c r="H675" t="s">
        <v>53</v>
      </c>
      <c r="I675" t="s">
        <v>44</v>
      </c>
      <c r="J675" t="s">
        <v>93</v>
      </c>
      <c r="K675">
        <v>1</v>
      </c>
      <c r="L675" s="8">
        <v>5150</v>
      </c>
      <c r="M675" s="8" t="str">
        <f t="shared" si="61"/>
        <v>1-10%</v>
      </c>
      <c r="N675">
        <v>5</v>
      </c>
      <c r="O675" t="str">
        <f t="shared" si="62"/>
        <v>Valid</v>
      </c>
      <c r="P675" t="str">
        <f t="shared" si="63"/>
        <v>Match</v>
      </c>
      <c r="Q675" s="8">
        <v>5150</v>
      </c>
      <c r="R675" s="8">
        <v>257.5</v>
      </c>
      <c r="S675" s="8">
        <v>4892.5</v>
      </c>
      <c r="T675" s="8">
        <v>2836.87</v>
      </c>
      <c r="U675" s="8">
        <v>2055.63</v>
      </c>
      <c r="V675" s="8" t="b">
        <f t="shared" si="64"/>
        <v>0</v>
      </c>
      <c r="W675" s="8">
        <f t="shared" si="65"/>
        <v>0</v>
      </c>
      <c r="X675" t="s">
        <v>36</v>
      </c>
      <c r="Y675" t="s">
        <v>104</v>
      </c>
      <c r="Z675" t="s">
        <v>85</v>
      </c>
      <c r="AA675">
        <v>4</v>
      </c>
      <c r="AB675" t="s">
        <v>90</v>
      </c>
      <c r="AC675" t="s">
        <v>58</v>
      </c>
    </row>
    <row r="676" spans="1:29" x14ac:dyDescent="0.3">
      <c r="A676" t="s">
        <v>801</v>
      </c>
      <c r="B676" s="6">
        <v>45665</v>
      </c>
      <c r="C676" s="6" t="str">
        <f t="shared" si="60"/>
        <v>4 AM - 8 AM</v>
      </c>
      <c r="D676" s="4">
        <v>0.32777777777777778</v>
      </c>
      <c r="E676" t="s">
        <v>622</v>
      </c>
      <c r="F676" t="s">
        <v>24</v>
      </c>
      <c r="G676" t="s">
        <v>42</v>
      </c>
      <c r="H676" t="s">
        <v>62</v>
      </c>
      <c r="I676" t="s">
        <v>54</v>
      </c>
      <c r="J676" t="s">
        <v>35</v>
      </c>
      <c r="K676">
        <v>2</v>
      </c>
      <c r="L676" s="8">
        <v>42300</v>
      </c>
      <c r="M676" s="8" t="str">
        <f t="shared" si="61"/>
        <v>11-20%</v>
      </c>
      <c r="N676">
        <v>20</v>
      </c>
      <c r="O676" t="str">
        <f t="shared" si="62"/>
        <v>Valid</v>
      </c>
      <c r="P676" t="str">
        <f t="shared" si="63"/>
        <v>Match</v>
      </c>
      <c r="Q676" s="8">
        <v>84600</v>
      </c>
      <c r="R676" s="8">
        <v>16920</v>
      </c>
      <c r="S676" s="8">
        <v>67680</v>
      </c>
      <c r="T676" s="8">
        <v>44844.05</v>
      </c>
      <c r="U676" s="8">
        <v>22835.95</v>
      </c>
      <c r="V676" s="8" t="b">
        <f t="shared" si="64"/>
        <v>0</v>
      </c>
      <c r="W676" s="8">
        <f t="shared" si="65"/>
        <v>0</v>
      </c>
      <c r="X676" t="s">
        <v>79</v>
      </c>
      <c r="Y676" t="s">
        <v>89</v>
      </c>
      <c r="Z676" t="s">
        <v>80</v>
      </c>
      <c r="AA676">
        <v>4</v>
      </c>
      <c r="AB676" t="s">
        <v>151</v>
      </c>
      <c r="AC676" t="s">
        <v>40</v>
      </c>
    </row>
    <row r="677" spans="1:29" x14ac:dyDescent="0.3">
      <c r="A677" t="s">
        <v>802</v>
      </c>
      <c r="B677" s="6">
        <v>45958</v>
      </c>
      <c r="C677" s="6" t="str">
        <f t="shared" si="60"/>
        <v>4 AM - 8 AM</v>
      </c>
      <c r="D677" s="4">
        <v>0.30208333333333331</v>
      </c>
      <c r="E677" t="s">
        <v>622</v>
      </c>
      <c r="F677" t="s">
        <v>51</v>
      </c>
      <c r="G677" t="s">
        <v>140</v>
      </c>
      <c r="H677" t="s">
        <v>74</v>
      </c>
      <c r="I677" t="s">
        <v>98</v>
      </c>
      <c r="J677" t="s">
        <v>45</v>
      </c>
      <c r="K677">
        <v>2</v>
      </c>
      <c r="L677" s="8">
        <v>7100</v>
      </c>
      <c r="M677" s="8" t="str">
        <f t="shared" si="61"/>
        <v>1-10%</v>
      </c>
      <c r="N677">
        <v>5</v>
      </c>
      <c r="O677" t="str">
        <f t="shared" si="62"/>
        <v>Valid</v>
      </c>
      <c r="P677" t="str">
        <f t="shared" si="63"/>
        <v>Match</v>
      </c>
      <c r="Q677" s="8">
        <v>14200</v>
      </c>
      <c r="R677" s="8">
        <v>710</v>
      </c>
      <c r="S677" s="8">
        <v>13490</v>
      </c>
      <c r="T677" s="8">
        <v>7725.22</v>
      </c>
      <c r="U677" s="8">
        <v>5764.78</v>
      </c>
      <c r="V677" s="8" t="b">
        <f t="shared" si="64"/>
        <v>0</v>
      </c>
      <c r="W677" s="8">
        <f t="shared" si="65"/>
        <v>0</v>
      </c>
      <c r="X677" t="s">
        <v>28</v>
      </c>
      <c r="Y677" t="s">
        <v>89</v>
      </c>
      <c r="Z677" t="s">
        <v>64</v>
      </c>
      <c r="AA677">
        <v>3</v>
      </c>
      <c r="AB677" t="s">
        <v>57</v>
      </c>
      <c r="AC677" t="s">
        <v>86</v>
      </c>
    </row>
    <row r="678" spans="1:29" x14ac:dyDescent="0.3">
      <c r="A678" t="s">
        <v>803</v>
      </c>
      <c r="B678" s="6">
        <v>45940</v>
      </c>
      <c r="C678" s="6" t="str">
        <f t="shared" si="60"/>
        <v>4 PM - 8 PM</v>
      </c>
      <c r="D678" s="4">
        <v>0.72499999999999998</v>
      </c>
      <c r="E678" t="s">
        <v>77</v>
      </c>
      <c r="F678" t="s">
        <v>24</v>
      </c>
      <c r="G678" t="s">
        <v>110</v>
      </c>
      <c r="H678" t="s">
        <v>53</v>
      </c>
      <c r="I678" t="s">
        <v>54</v>
      </c>
      <c r="J678" t="s">
        <v>78</v>
      </c>
      <c r="K678">
        <v>1</v>
      </c>
      <c r="L678" s="8">
        <v>6200</v>
      </c>
      <c r="M678" s="8" t="str">
        <f t="shared" si="61"/>
        <v>11-20%</v>
      </c>
      <c r="N678">
        <v>15</v>
      </c>
      <c r="O678" t="str">
        <f t="shared" si="62"/>
        <v>Valid</v>
      </c>
      <c r="P678" t="str">
        <f t="shared" si="63"/>
        <v>Match</v>
      </c>
      <c r="Q678" s="8">
        <v>6200</v>
      </c>
      <c r="R678" s="8">
        <v>930</v>
      </c>
      <c r="S678" s="8">
        <v>5270</v>
      </c>
      <c r="T678" s="8">
        <v>3694.75</v>
      </c>
      <c r="U678" s="8">
        <v>1575.25</v>
      </c>
      <c r="V678" s="8" t="b">
        <f t="shared" si="64"/>
        <v>0</v>
      </c>
      <c r="W678" s="8">
        <f t="shared" si="65"/>
        <v>0</v>
      </c>
      <c r="X678" t="s">
        <v>36</v>
      </c>
      <c r="Y678" t="s">
        <v>94</v>
      </c>
      <c r="Z678" t="s">
        <v>38</v>
      </c>
      <c r="AA678">
        <v>3.5</v>
      </c>
      <c r="AB678" t="s">
        <v>57</v>
      </c>
      <c r="AC678" t="s">
        <v>58</v>
      </c>
    </row>
    <row r="679" spans="1:29" x14ac:dyDescent="0.3">
      <c r="A679" t="s">
        <v>804</v>
      </c>
      <c r="B679" s="6">
        <v>45807</v>
      </c>
      <c r="C679" s="6" t="str">
        <f t="shared" si="60"/>
        <v>8 PM - 12 AM</v>
      </c>
      <c r="D679" s="4">
        <v>0.94444444444444442</v>
      </c>
      <c r="E679" t="s">
        <v>77</v>
      </c>
      <c r="F679" t="s">
        <v>96</v>
      </c>
      <c r="G679" t="s">
        <v>145</v>
      </c>
      <c r="H679" t="s">
        <v>102</v>
      </c>
      <c r="I679" t="s">
        <v>44</v>
      </c>
      <c r="J679" t="s">
        <v>78</v>
      </c>
      <c r="K679">
        <v>1</v>
      </c>
      <c r="L679" s="8">
        <v>2050</v>
      </c>
      <c r="M679" s="8" t="str">
        <f t="shared" si="61"/>
        <v>11-20%</v>
      </c>
      <c r="N679">
        <v>15</v>
      </c>
      <c r="O679" t="str">
        <f t="shared" si="62"/>
        <v>Valid</v>
      </c>
      <c r="P679" t="str">
        <f t="shared" si="63"/>
        <v>Match</v>
      </c>
      <c r="Q679" s="8">
        <v>2050</v>
      </c>
      <c r="R679" s="8">
        <v>307.5</v>
      </c>
      <c r="S679" s="8">
        <v>1742.5</v>
      </c>
      <c r="T679" s="8">
        <v>1502.9</v>
      </c>
      <c r="U679" s="8">
        <v>239.6</v>
      </c>
      <c r="V679" s="8" t="b">
        <f t="shared" si="64"/>
        <v>0</v>
      </c>
      <c r="W679" s="8">
        <f t="shared" si="65"/>
        <v>0</v>
      </c>
      <c r="X679" t="s">
        <v>28</v>
      </c>
      <c r="Y679" t="s">
        <v>89</v>
      </c>
      <c r="Z679" t="s">
        <v>45</v>
      </c>
      <c r="AA679">
        <v>4</v>
      </c>
      <c r="AB679" t="s">
        <v>111</v>
      </c>
      <c r="AC679" t="s">
        <v>58</v>
      </c>
    </row>
    <row r="680" spans="1:29" x14ac:dyDescent="0.3">
      <c r="A680" t="s">
        <v>805</v>
      </c>
      <c r="B680" s="6">
        <v>45927</v>
      </c>
      <c r="C680" s="6" t="str">
        <f t="shared" si="60"/>
        <v>4 PM - 8 PM</v>
      </c>
      <c r="D680" s="4">
        <v>0.73958333333333337</v>
      </c>
      <c r="E680" t="s">
        <v>69</v>
      </c>
      <c r="F680" t="s">
        <v>24</v>
      </c>
      <c r="G680" t="s">
        <v>33</v>
      </c>
      <c r="H680" t="s">
        <v>74</v>
      </c>
      <c r="I680" t="s">
        <v>98</v>
      </c>
      <c r="J680" t="s">
        <v>64</v>
      </c>
      <c r="K680">
        <v>2</v>
      </c>
      <c r="L680" s="8">
        <v>3850</v>
      </c>
      <c r="M680" s="8" t="str">
        <f t="shared" si="61"/>
        <v>11-20%</v>
      </c>
      <c r="N680">
        <v>20</v>
      </c>
      <c r="O680" t="str">
        <f t="shared" si="62"/>
        <v>Valid</v>
      </c>
      <c r="P680" t="str">
        <f t="shared" si="63"/>
        <v>Match</v>
      </c>
      <c r="Q680" s="8">
        <v>7700</v>
      </c>
      <c r="R680" s="8">
        <v>1540</v>
      </c>
      <c r="S680" s="8">
        <v>6160</v>
      </c>
      <c r="T680" s="8">
        <v>5043.1499999999996</v>
      </c>
      <c r="U680" s="8">
        <v>1116.8499999999999</v>
      </c>
      <c r="V680" s="8" t="b">
        <f t="shared" si="64"/>
        <v>0</v>
      </c>
      <c r="W680" s="8">
        <f t="shared" si="65"/>
        <v>0</v>
      </c>
      <c r="X680" t="s">
        <v>46</v>
      </c>
      <c r="Y680" t="s">
        <v>94</v>
      </c>
      <c r="Z680" t="s">
        <v>85</v>
      </c>
      <c r="AA680">
        <v>4</v>
      </c>
      <c r="AB680" t="s">
        <v>155</v>
      </c>
      <c r="AC680" t="s">
        <v>71</v>
      </c>
    </row>
    <row r="681" spans="1:29" x14ac:dyDescent="0.3">
      <c r="A681" t="s">
        <v>806</v>
      </c>
      <c r="B681" s="6">
        <v>45924</v>
      </c>
      <c r="C681" s="6" t="str">
        <f t="shared" si="60"/>
        <v>4 PM - 8 PM</v>
      </c>
      <c r="D681" s="4">
        <v>0.74236111111111114</v>
      </c>
      <c r="E681" t="s">
        <v>622</v>
      </c>
      <c r="F681" t="s">
        <v>51</v>
      </c>
      <c r="G681" t="s">
        <v>140</v>
      </c>
      <c r="H681" t="s">
        <v>62</v>
      </c>
      <c r="I681" t="s">
        <v>44</v>
      </c>
      <c r="J681" t="s">
        <v>45</v>
      </c>
      <c r="K681">
        <v>1</v>
      </c>
      <c r="L681" s="8">
        <v>6700</v>
      </c>
      <c r="M681" s="8" t="str">
        <f t="shared" si="61"/>
        <v>21-30%</v>
      </c>
      <c r="N681">
        <v>30</v>
      </c>
      <c r="O681" t="str">
        <f t="shared" si="62"/>
        <v>Valid</v>
      </c>
      <c r="P681" t="str">
        <f t="shared" si="63"/>
        <v>Match</v>
      </c>
      <c r="Q681" s="8">
        <v>6700</v>
      </c>
      <c r="R681" s="8">
        <v>2010</v>
      </c>
      <c r="S681" s="8">
        <v>4690</v>
      </c>
      <c r="T681" s="8">
        <v>3625.47</v>
      </c>
      <c r="U681" s="8">
        <v>1064.53</v>
      </c>
      <c r="V681" s="8" t="b">
        <f t="shared" si="64"/>
        <v>0</v>
      </c>
      <c r="W681" s="8">
        <f t="shared" si="65"/>
        <v>0</v>
      </c>
      <c r="X681" t="s">
        <v>79</v>
      </c>
      <c r="Y681" t="s">
        <v>70</v>
      </c>
      <c r="Z681" t="s">
        <v>56</v>
      </c>
      <c r="AA681">
        <v>3</v>
      </c>
      <c r="AB681" t="s">
        <v>155</v>
      </c>
      <c r="AC681" t="s">
        <v>40</v>
      </c>
    </row>
    <row r="682" spans="1:29" x14ac:dyDescent="0.3">
      <c r="A682" t="s">
        <v>807</v>
      </c>
      <c r="B682" s="6">
        <v>45677</v>
      </c>
      <c r="C682" s="6" t="str">
        <f t="shared" si="60"/>
        <v>4 AM - 8 AM</v>
      </c>
      <c r="D682" s="4">
        <v>0.22013888888888888</v>
      </c>
      <c r="E682" t="s">
        <v>77</v>
      </c>
      <c r="F682" t="s">
        <v>96</v>
      </c>
      <c r="G682" t="s">
        <v>97</v>
      </c>
      <c r="H682" t="s">
        <v>53</v>
      </c>
      <c r="I682" t="s">
        <v>103</v>
      </c>
      <c r="J682" t="s">
        <v>35</v>
      </c>
      <c r="K682">
        <v>2</v>
      </c>
      <c r="L682" s="8">
        <v>2200</v>
      </c>
      <c r="M682" s="8" t="str">
        <f t="shared" si="61"/>
        <v>11-20%</v>
      </c>
      <c r="N682">
        <v>20</v>
      </c>
      <c r="O682" t="str">
        <f t="shared" si="62"/>
        <v>Valid</v>
      </c>
      <c r="P682" t="str">
        <f t="shared" si="63"/>
        <v>Match</v>
      </c>
      <c r="Q682" s="8">
        <v>4400</v>
      </c>
      <c r="R682" s="8">
        <v>880</v>
      </c>
      <c r="S682" s="8">
        <v>3520</v>
      </c>
      <c r="T682" s="8">
        <v>2877.48</v>
      </c>
      <c r="U682" s="8">
        <v>642.52</v>
      </c>
      <c r="V682" s="8" t="b">
        <f t="shared" si="64"/>
        <v>0</v>
      </c>
      <c r="W682" s="8">
        <f t="shared" si="65"/>
        <v>0</v>
      </c>
      <c r="X682" t="s">
        <v>79</v>
      </c>
      <c r="Y682" t="s">
        <v>65</v>
      </c>
      <c r="Z682" t="s">
        <v>85</v>
      </c>
      <c r="AA682">
        <v>3</v>
      </c>
      <c r="AB682" t="s">
        <v>151</v>
      </c>
      <c r="AC682" t="s">
        <v>49</v>
      </c>
    </row>
    <row r="683" spans="1:29" x14ac:dyDescent="0.3">
      <c r="A683" t="s">
        <v>808</v>
      </c>
      <c r="B683" s="6">
        <v>46016</v>
      </c>
      <c r="C683" s="6" t="str">
        <f t="shared" si="60"/>
        <v>4 PM - 8 PM</v>
      </c>
      <c r="D683" s="4">
        <v>0.71666666666666667</v>
      </c>
      <c r="E683" t="s">
        <v>77</v>
      </c>
      <c r="F683" t="s">
        <v>24</v>
      </c>
      <c r="G683" t="s">
        <v>84</v>
      </c>
      <c r="H683" t="s">
        <v>43</v>
      </c>
      <c r="I683" t="s">
        <v>92</v>
      </c>
      <c r="J683" t="s">
        <v>35</v>
      </c>
      <c r="K683">
        <v>2</v>
      </c>
      <c r="L683" s="8">
        <v>29000</v>
      </c>
      <c r="M683" s="8" t="str">
        <f t="shared" si="61"/>
        <v>1-10%</v>
      </c>
      <c r="N683">
        <v>5</v>
      </c>
      <c r="O683" t="str">
        <f t="shared" si="62"/>
        <v>Valid</v>
      </c>
      <c r="P683" t="str">
        <f t="shared" si="63"/>
        <v>Match</v>
      </c>
      <c r="Q683" s="8">
        <v>58000</v>
      </c>
      <c r="R683" s="8">
        <v>2900</v>
      </c>
      <c r="S683" s="8">
        <v>55100</v>
      </c>
      <c r="T683" s="8">
        <v>36686.93</v>
      </c>
      <c r="U683" s="8">
        <v>18413.07</v>
      </c>
      <c r="V683" s="8" t="b">
        <f t="shared" si="64"/>
        <v>0</v>
      </c>
      <c r="W683" s="8">
        <f t="shared" si="65"/>
        <v>0</v>
      </c>
      <c r="X683" t="s">
        <v>230</v>
      </c>
      <c r="Y683" t="s">
        <v>65</v>
      </c>
      <c r="Z683" t="s">
        <v>56</v>
      </c>
      <c r="AA683">
        <v>4.5</v>
      </c>
      <c r="AB683" t="s">
        <v>39</v>
      </c>
      <c r="AC683" t="s">
        <v>67</v>
      </c>
    </row>
    <row r="684" spans="1:29" x14ac:dyDescent="0.3">
      <c r="A684" t="s">
        <v>809</v>
      </c>
      <c r="B684" s="6">
        <v>45850</v>
      </c>
      <c r="C684" s="6" t="str">
        <f t="shared" si="60"/>
        <v>8 AM - 12 PM</v>
      </c>
      <c r="D684" s="4">
        <v>0.43263888888888891</v>
      </c>
      <c r="E684" t="s">
        <v>108</v>
      </c>
      <c r="F684" t="s">
        <v>24</v>
      </c>
      <c r="G684" t="s">
        <v>110</v>
      </c>
      <c r="H684" t="s">
        <v>26</v>
      </c>
      <c r="I684" t="s">
        <v>98</v>
      </c>
      <c r="J684" t="s">
        <v>35</v>
      </c>
      <c r="K684">
        <v>1</v>
      </c>
      <c r="L684" s="8">
        <v>3200</v>
      </c>
      <c r="M684" s="8" t="str">
        <f t="shared" si="61"/>
        <v>21-30%</v>
      </c>
      <c r="N684">
        <v>25</v>
      </c>
      <c r="O684" t="str">
        <f t="shared" si="62"/>
        <v>Valid</v>
      </c>
      <c r="P684" t="str">
        <f t="shared" si="63"/>
        <v>Match</v>
      </c>
      <c r="Q684" s="8">
        <v>3200</v>
      </c>
      <c r="R684" s="8">
        <v>800</v>
      </c>
      <c r="S684" s="8">
        <v>2400</v>
      </c>
      <c r="T684" s="8">
        <v>1854.28</v>
      </c>
      <c r="U684" s="8">
        <v>545.72</v>
      </c>
      <c r="V684" s="8" t="b">
        <f t="shared" si="64"/>
        <v>0</v>
      </c>
      <c r="W684" s="8">
        <f t="shared" si="65"/>
        <v>0</v>
      </c>
      <c r="X684" t="s">
        <v>79</v>
      </c>
      <c r="Y684" t="s">
        <v>65</v>
      </c>
      <c r="Z684" t="s">
        <v>56</v>
      </c>
      <c r="AA684">
        <v>4</v>
      </c>
      <c r="AB684" t="s">
        <v>29</v>
      </c>
      <c r="AC684" t="s">
        <v>71</v>
      </c>
    </row>
    <row r="685" spans="1:29" x14ac:dyDescent="0.3">
      <c r="A685" t="s">
        <v>810</v>
      </c>
      <c r="B685" s="6">
        <v>45930</v>
      </c>
      <c r="C685" s="6" t="str">
        <f t="shared" si="60"/>
        <v>4 AM - 8 AM</v>
      </c>
      <c r="D685" s="4">
        <v>0.30625000000000002</v>
      </c>
      <c r="E685" t="s">
        <v>60</v>
      </c>
      <c r="F685" t="s">
        <v>51</v>
      </c>
      <c r="G685" t="s">
        <v>140</v>
      </c>
      <c r="H685" t="s">
        <v>26</v>
      </c>
      <c r="I685" t="s">
        <v>103</v>
      </c>
      <c r="J685" t="s">
        <v>45</v>
      </c>
      <c r="K685">
        <v>1</v>
      </c>
      <c r="L685" s="8">
        <v>4700</v>
      </c>
      <c r="M685" s="8" t="str">
        <f t="shared" si="61"/>
        <v>21-30%</v>
      </c>
      <c r="N685">
        <v>25</v>
      </c>
      <c r="O685" t="str">
        <f t="shared" si="62"/>
        <v>Valid</v>
      </c>
      <c r="P685" t="str">
        <f t="shared" si="63"/>
        <v>Match</v>
      </c>
      <c r="Q685" s="8">
        <v>4700</v>
      </c>
      <c r="R685" s="8">
        <v>1175</v>
      </c>
      <c r="S685" s="8">
        <v>3525</v>
      </c>
      <c r="T685" s="8">
        <v>2753.82</v>
      </c>
      <c r="U685" s="8">
        <v>771.18</v>
      </c>
      <c r="V685" s="8" t="b">
        <f t="shared" si="64"/>
        <v>0</v>
      </c>
      <c r="W685" s="8">
        <f t="shared" si="65"/>
        <v>0</v>
      </c>
      <c r="X685" t="s">
        <v>28</v>
      </c>
      <c r="Y685" t="s">
        <v>37</v>
      </c>
      <c r="Z685" t="s">
        <v>56</v>
      </c>
      <c r="AA685">
        <v>3</v>
      </c>
      <c r="AB685" t="s">
        <v>155</v>
      </c>
      <c r="AC685" t="s">
        <v>86</v>
      </c>
    </row>
    <row r="686" spans="1:29" x14ac:dyDescent="0.3">
      <c r="A686" t="s">
        <v>811</v>
      </c>
      <c r="B686" s="6">
        <v>45929</v>
      </c>
      <c r="C686" s="6" t="str">
        <f t="shared" si="60"/>
        <v>12 AM - 4 AM</v>
      </c>
      <c r="D686" s="4">
        <v>2.6388888888888889E-2</v>
      </c>
      <c r="E686" t="s">
        <v>60</v>
      </c>
      <c r="F686" t="s">
        <v>24</v>
      </c>
      <c r="G686" t="s">
        <v>33</v>
      </c>
      <c r="H686" t="s">
        <v>34</v>
      </c>
      <c r="I686" t="s">
        <v>27</v>
      </c>
      <c r="J686" t="s">
        <v>35</v>
      </c>
      <c r="K686">
        <v>2</v>
      </c>
      <c r="L686" s="8">
        <v>1300</v>
      </c>
      <c r="M686" s="8" t="str">
        <f t="shared" si="61"/>
        <v>11-20%</v>
      </c>
      <c r="N686">
        <v>20</v>
      </c>
      <c r="O686" t="str">
        <f t="shared" si="62"/>
        <v>Valid</v>
      </c>
      <c r="P686" t="str">
        <f t="shared" si="63"/>
        <v>Match</v>
      </c>
      <c r="Q686" s="8">
        <v>2600</v>
      </c>
      <c r="R686" s="8">
        <v>520</v>
      </c>
      <c r="S686" s="8">
        <v>2080</v>
      </c>
      <c r="T686" s="8">
        <v>1897.4</v>
      </c>
      <c r="U686" s="8">
        <v>182.6</v>
      </c>
      <c r="V686" s="8" t="b">
        <f t="shared" si="64"/>
        <v>0</v>
      </c>
      <c r="W686" s="8">
        <f t="shared" si="65"/>
        <v>0</v>
      </c>
      <c r="X686" t="s">
        <v>46</v>
      </c>
      <c r="Y686" t="s">
        <v>70</v>
      </c>
      <c r="Z686" t="s">
        <v>80</v>
      </c>
      <c r="AA686">
        <v>4</v>
      </c>
      <c r="AB686" t="s">
        <v>155</v>
      </c>
      <c r="AC686" t="s">
        <v>49</v>
      </c>
    </row>
    <row r="687" spans="1:29" x14ac:dyDescent="0.3">
      <c r="A687" t="s">
        <v>812</v>
      </c>
      <c r="B687" s="6">
        <v>45836</v>
      </c>
      <c r="C687" s="6" t="str">
        <f t="shared" si="60"/>
        <v>8 PM - 12 AM</v>
      </c>
      <c r="D687" s="4">
        <v>0.94722222222222219</v>
      </c>
      <c r="E687" t="s">
        <v>32</v>
      </c>
      <c r="F687" t="s">
        <v>51</v>
      </c>
      <c r="G687" t="s">
        <v>122</v>
      </c>
      <c r="H687" t="s">
        <v>102</v>
      </c>
      <c r="I687" t="s">
        <v>98</v>
      </c>
      <c r="J687" t="s">
        <v>78</v>
      </c>
      <c r="K687">
        <v>2</v>
      </c>
      <c r="L687" s="8">
        <v>3450</v>
      </c>
      <c r="M687" s="8" t="str">
        <f t="shared" si="61"/>
        <v>11-20%</v>
      </c>
      <c r="N687">
        <v>20</v>
      </c>
      <c r="O687" t="str">
        <f t="shared" si="62"/>
        <v>Valid</v>
      </c>
      <c r="P687" t="str">
        <f t="shared" si="63"/>
        <v>Match</v>
      </c>
      <c r="Q687" s="8">
        <v>6900</v>
      </c>
      <c r="R687" s="8">
        <v>1380</v>
      </c>
      <c r="S687" s="8">
        <v>5520</v>
      </c>
      <c r="T687" s="8">
        <v>3933.84</v>
      </c>
      <c r="U687" s="8">
        <v>1586.16</v>
      </c>
      <c r="V687" s="8" t="b">
        <f t="shared" si="64"/>
        <v>0</v>
      </c>
      <c r="W687" s="8">
        <f t="shared" si="65"/>
        <v>0</v>
      </c>
      <c r="X687" t="s">
        <v>55</v>
      </c>
      <c r="Y687" t="s">
        <v>94</v>
      </c>
      <c r="Z687" t="s">
        <v>45</v>
      </c>
      <c r="AA687">
        <v>4</v>
      </c>
      <c r="AB687" t="s">
        <v>48</v>
      </c>
      <c r="AC687" t="s">
        <v>71</v>
      </c>
    </row>
    <row r="688" spans="1:29" x14ac:dyDescent="0.3">
      <c r="A688" t="s">
        <v>813</v>
      </c>
      <c r="B688" s="6">
        <v>45873</v>
      </c>
      <c r="C688" s="6" t="str">
        <f t="shared" si="60"/>
        <v>12 PM - 4 PM</v>
      </c>
      <c r="D688" s="4">
        <v>0.62916666666666665</v>
      </c>
      <c r="E688" t="s">
        <v>77</v>
      </c>
      <c r="F688" t="s">
        <v>24</v>
      </c>
      <c r="G688" t="s">
        <v>88</v>
      </c>
      <c r="H688" t="s">
        <v>102</v>
      </c>
      <c r="I688" t="s">
        <v>98</v>
      </c>
      <c r="J688" t="s">
        <v>78</v>
      </c>
      <c r="K688">
        <v>1</v>
      </c>
      <c r="L688" s="8">
        <v>3500</v>
      </c>
      <c r="M688" s="8" t="str">
        <f t="shared" si="61"/>
        <v>30%+</v>
      </c>
      <c r="N688">
        <v>55</v>
      </c>
      <c r="O688" t="str">
        <f t="shared" si="62"/>
        <v>Valid</v>
      </c>
      <c r="P688" t="str">
        <f t="shared" si="63"/>
        <v>Mismatch</v>
      </c>
      <c r="Q688" s="8">
        <v>3500</v>
      </c>
      <c r="R688" s="8">
        <v>875</v>
      </c>
      <c r="S688" s="8">
        <v>2625</v>
      </c>
      <c r="T688" s="8">
        <v>2082.75</v>
      </c>
      <c r="U688" s="8">
        <v>542.25</v>
      </c>
      <c r="V688" s="8" t="b">
        <f t="shared" si="64"/>
        <v>0</v>
      </c>
      <c r="W688" s="8">
        <f t="shared" si="65"/>
        <v>0</v>
      </c>
      <c r="X688" t="s">
        <v>55</v>
      </c>
      <c r="Y688" t="s">
        <v>94</v>
      </c>
      <c r="Z688" t="s">
        <v>80</v>
      </c>
      <c r="AA688">
        <v>3</v>
      </c>
      <c r="AB688" t="s">
        <v>90</v>
      </c>
      <c r="AC688" t="s">
        <v>49</v>
      </c>
    </row>
    <row r="689" spans="1:29" x14ac:dyDescent="0.3">
      <c r="A689" t="s">
        <v>814</v>
      </c>
      <c r="B689" s="6">
        <v>45765</v>
      </c>
      <c r="C689" s="6" t="str">
        <f t="shared" si="60"/>
        <v>12 PM - 4 PM</v>
      </c>
      <c r="D689" s="4">
        <v>0.65347222222222223</v>
      </c>
      <c r="E689" t="s">
        <v>23</v>
      </c>
      <c r="F689" t="s">
        <v>24</v>
      </c>
      <c r="G689" t="s">
        <v>33</v>
      </c>
      <c r="H689" t="s">
        <v>34</v>
      </c>
      <c r="I689" t="s">
        <v>54</v>
      </c>
      <c r="J689" t="s">
        <v>45</v>
      </c>
      <c r="K689">
        <v>1</v>
      </c>
      <c r="L689" s="8">
        <v>1150</v>
      </c>
      <c r="M689" s="8" t="str">
        <f t="shared" si="61"/>
        <v>1-10%</v>
      </c>
      <c r="N689">
        <v>5</v>
      </c>
      <c r="O689" t="str">
        <f t="shared" si="62"/>
        <v>Valid</v>
      </c>
      <c r="P689" t="str">
        <f t="shared" si="63"/>
        <v>Match</v>
      </c>
      <c r="Q689" s="8">
        <v>1150</v>
      </c>
      <c r="R689" s="8">
        <v>57.5</v>
      </c>
      <c r="S689" s="8">
        <v>1092.5</v>
      </c>
      <c r="T689" s="8">
        <v>815.33</v>
      </c>
      <c r="U689" s="8">
        <v>277.17</v>
      </c>
      <c r="V689" s="8" t="b">
        <f t="shared" si="64"/>
        <v>0</v>
      </c>
      <c r="W689" s="8">
        <f t="shared" si="65"/>
        <v>0</v>
      </c>
      <c r="X689" t="s">
        <v>46</v>
      </c>
      <c r="Y689" t="s">
        <v>89</v>
      </c>
      <c r="Z689" t="s">
        <v>38</v>
      </c>
      <c r="AA689">
        <v>4.5</v>
      </c>
      <c r="AB689" t="s">
        <v>99</v>
      </c>
      <c r="AC689" t="s">
        <v>58</v>
      </c>
    </row>
    <row r="690" spans="1:29" x14ac:dyDescent="0.3">
      <c r="A690" t="s">
        <v>815</v>
      </c>
      <c r="B690" s="6">
        <v>45812</v>
      </c>
      <c r="C690" s="6" t="str">
        <f t="shared" si="60"/>
        <v>4 PM - 8 PM</v>
      </c>
      <c r="D690" s="4">
        <v>0.80486111111111114</v>
      </c>
      <c r="E690" t="s">
        <v>23</v>
      </c>
      <c r="F690" t="s">
        <v>51</v>
      </c>
      <c r="G690" t="s">
        <v>153</v>
      </c>
      <c r="H690" t="s">
        <v>26</v>
      </c>
      <c r="I690" t="s">
        <v>44</v>
      </c>
      <c r="J690" t="s">
        <v>45</v>
      </c>
      <c r="K690">
        <v>1</v>
      </c>
      <c r="L690" s="8">
        <v>2050</v>
      </c>
      <c r="M690" s="8" t="str">
        <f t="shared" si="61"/>
        <v>0%</v>
      </c>
      <c r="N690">
        <v>0</v>
      </c>
      <c r="O690" t="str">
        <f t="shared" si="62"/>
        <v>Valid</v>
      </c>
      <c r="P690" t="str">
        <f t="shared" si="63"/>
        <v>Match</v>
      </c>
      <c r="Q690" s="8">
        <v>2050</v>
      </c>
      <c r="R690" s="8">
        <v>0</v>
      </c>
      <c r="S690" s="8">
        <v>2050</v>
      </c>
      <c r="T690" s="8">
        <v>1468.76</v>
      </c>
      <c r="U690" s="8">
        <v>581.24</v>
      </c>
      <c r="V690" s="8" t="b">
        <f t="shared" si="64"/>
        <v>0</v>
      </c>
      <c r="W690" s="8">
        <f t="shared" si="65"/>
        <v>0</v>
      </c>
      <c r="X690" t="s">
        <v>36</v>
      </c>
      <c r="Y690" t="s">
        <v>89</v>
      </c>
      <c r="Z690" t="s">
        <v>85</v>
      </c>
      <c r="AA690">
        <v>4.5</v>
      </c>
      <c r="AB690" t="s">
        <v>48</v>
      </c>
      <c r="AC690" t="s">
        <v>40</v>
      </c>
    </row>
    <row r="691" spans="1:29" x14ac:dyDescent="0.3">
      <c r="A691" t="s">
        <v>816</v>
      </c>
      <c r="B691" s="6">
        <v>46001</v>
      </c>
      <c r="C691" s="6" t="str">
        <f t="shared" si="60"/>
        <v>8 PM - 12 AM</v>
      </c>
      <c r="D691" s="4">
        <v>0.84375</v>
      </c>
      <c r="E691" t="s">
        <v>622</v>
      </c>
      <c r="F691" t="s">
        <v>24</v>
      </c>
      <c r="G691" t="s">
        <v>33</v>
      </c>
      <c r="H691" t="s">
        <v>43</v>
      </c>
      <c r="I691" t="s">
        <v>63</v>
      </c>
      <c r="J691" t="s">
        <v>35</v>
      </c>
      <c r="K691">
        <v>1</v>
      </c>
      <c r="L691" s="8">
        <v>3450</v>
      </c>
      <c r="M691" s="8" t="str">
        <f t="shared" si="61"/>
        <v>1-10%</v>
      </c>
      <c r="N691">
        <v>10</v>
      </c>
      <c r="O691" t="str">
        <f t="shared" si="62"/>
        <v>Valid</v>
      </c>
      <c r="P691" t="str">
        <f t="shared" si="63"/>
        <v>Match</v>
      </c>
      <c r="Q691" s="8">
        <v>3450</v>
      </c>
      <c r="R691" s="8">
        <v>345</v>
      </c>
      <c r="S691" s="8">
        <v>3105</v>
      </c>
      <c r="T691" s="8">
        <v>2065.0700000000002</v>
      </c>
      <c r="U691" s="8">
        <v>1039.93</v>
      </c>
      <c r="V691" s="8" t="b">
        <f t="shared" si="64"/>
        <v>0</v>
      </c>
      <c r="W691" s="8">
        <f t="shared" si="65"/>
        <v>0</v>
      </c>
      <c r="X691" t="s">
        <v>28</v>
      </c>
      <c r="Y691" t="s">
        <v>89</v>
      </c>
      <c r="Z691" t="s">
        <v>80</v>
      </c>
      <c r="AA691">
        <v>4</v>
      </c>
      <c r="AB691" t="s">
        <v>39</v>
      </c>
      <c r="AC691" t="s">
        <v>40</v>
      </c>
    </row>
    <row r="692" spans="1:29" x14ac:dyDescent="0.3">
      <c r="A692" t="s">
        <v>817</v>
      </c>
      <c r="B692" s="6">
        <v>45749</v>
      </c>
      <c r="C692" s="6" t="str">
        <f t="shared" si="60"/>
        <v>4 PM - 8 PM</v>
      </c>
      <c r="D692" s="4">
        <v>0.74097222222222225</v>
      </c>
      <c r="E692" t="s">
        <v>69</v>
      </c>
      <c r="F692" t="s">
        <v>24</v>
      </c>
      <c r="G692" t="s">
        <v>33</v>
      </c>
      <c r="H692" t="s">
        <v>113</v>
      </c>
      <c r="I692" t="s">
        <v>54</v>
      </c>
      <c r="J692" t="s">
        <v>35</v>
      </c>
      <c r="K692">
        <v>2</v>
      </c>
      <c r="L692" s="8">
        <v>1450</v>
      </c>
      <c r="M692" s="8" t="str">
        <f t="shared" si="61"/>
        <v>11-20%</v>
      </c>
      <c r="N692">
        <v>20</v>
      </c>
      <c r="O692" t="str">
        <f t="shared" si="62"/>
        <v>Valid</v>
      </c>
      <c r="P692" t="str">
        <f t="shared" si="63"/>
        <v>Match</v>
      </c>
      <c r="Q692" s="8">
        <v>2900</v>
      </c>
      <c r="R692" s="8">
        <v>580</v>
      </c>
      <c r="S692" s="8">
        <v>2320</v>
      </c>
      <c r="T692" s="8">
        <v>1906.96</v>
      </c>
      <c r="U692" s="8">
        <v>413.04</v>
      </c>
      <c r="V692" s="8" t="b">
        <f t="shared" si="64"/>
        <v>0</v>
      </c>
      <c r="W692" s="8">
        <f t="shared" si="65"/>
        <v>0</v>
      </c>
      <c r="X692" t="s">
        <v>28</v>
      </c>
      <c r="Y692" t="s">
        <v>65</v>
      </c>
      <c r="Z692" t="s">
        <v>64</v>
      </c>
      <c r="AA692">
        <v>4.5</v>
      </c>
      <c r="AB692" t="s">
        <v>99</v>
      </c>
      <c r="AC692" t="s">
        <v>40</v>
      </c>
    </row>
    <row r="693" spans="1:29" x14ac:dyDescent="0.3">
      <c r="A693" t="s">
        <v>818</v>
      </c>
      <c r="B693" s="6">
        <v>45911</v>
      </c>
      <c r="C693" s="6" t="str">
        <f t="shared" si="60"/>
        <v>12 PM - 4 PM</v>
      </c>
      <c r="D693" s="4">
        <v>0.59583333333333333</v>
      </c>
      <c r="E693" t="s">
        <v>108</v>
      </c>
      <c r="F693" t="s">
        <v>96</v>
      </c>
      <c r="G693" t="s">
        <v>129</v>
      </c>
      <c r="H693" t="s">
        <v>102</v>
      </c>
      <c r="I693" t="s">
        <v>98</v>
      </c>
      <c r="J693" t="s">
        <v>78</v>
      </c>
      <c r="K693">
        <v>1</v>
      </c>
      <c r="L693" s="8">
        <v>2200</v>
      </c>
      <c r="M693" s="8" t="str">
        <f t="shared" si="61"/>
        <v>1-10%</v>
      </c>
      <c r="N693">
        <v>5</v>
      </c>
      <c r="O693" t="str">
        <f t="shared" si="62"/>
        <v>Valid</v>
      </c>
      <c r="P693" t="str">
        <f t="shared" si="63"/>
        <v>Match</v>
      </c>
      <c r="Q693" s="8">
        <v>2200</v>
      </c>
      <c r="R693" s="8">
        <v>110</v>
      </c>
      <c r="S693" s="8">
        <v>2090</v>
      </c>
      <c r="T693" s="8">
        <v>1559.78</v>
      </c>
      <c r="U693" s="8">
        <v>530.22</v>
      </c>
      <c r="V693" s="8" t="b">
        <f t="shared" si="64"/>
        <v>0</v>
      </c>
      <c r="W693" s="8">
        <f t="shared" si="65"/>
        <v>0</v>
      </c>
      <c r="X693" t="s">
        <v>46</v>
      </c>
      <c r="Y693" t="s">
        <v>47</v>
      </c>
      <c r="Z693" t="s">
        <v>56</v>
      </c>
      <c r="AA693">
        <v>4</v>
      </c>
      <c r="AB693" t="s">
        <v>155</v>
      </c>
      <c r="AC693" t="s">
        <v>67</v>
      </c>
    </row>
    <row r="694" spans="1:29" x14ac:dyDescent="0.3">
      <c r="A694" t="s">
        <v>819</v>
      </c>
      <c r="B694" s="6">
        <v>45737</v>
      </c>
      <c r="C694" s="6" t="str">
        <f t="shared" si="60"/>
        <v>8 AM - 12 PM</v>
      </c>
      <c r="D694" s="4">
        <v>0.48055555555555557</v>
      </c>
      <c r="E694" t="s">
        <v>622</v>
      </c>
      <c r="F694" t="s">
        <v>51</v>
      </c>
      <c r="G694" t="s">
        <v>101</v>
      </c>
      <c r="H694" t="s">
        <v>62</v>
      </c>
      <c r="I694" t="s">
        <v>44</v>
      </c>
      <c r="J694" t="s">
        <v>64</v>
      </c>
      <c r="K694">
        <v>4</v>
      </c>
      <c r="L694" s="8">
        <v>5850</v>
      </c>
      <c r="M694" s="8" t="str">
        <f t="shared" si="61"/>
        <v>21-30%</v>
      </c>
      <c r="N694">
        <v>30</v>
      </c>
      <c r="O694" t="str">
        <f t="shared" si="62"/>
        <v>Valid</v>
      </c>
      <c r="P694" t="str">
        <f t="shared" si="63"/>
        <v>Match</v>
      </c>
      <c r="Q694" s="8">
        <v>23400</v>
      </c>
      <c r="R694" s="8">
        <v>7020</v>
      </c>
      <c r="S694" s="8">
        <v>16380</v>
      </c>
      <c r="T694" s="8">
        <v>12276.89</v>
      </c>
      <c r="U694" s="8">
        <v>4103.1099999999997</v>
      </c>
      <c r="V694" s="8" t="b">
        <f t="shared" si="64"/>
        <v>0</v>
      </c>
      <c r="W694" s="8">
        <f t="shared" si="65"/>
        <v>0</v>
      </c>
      <c r="X694" t="s">
        <v>28</v>
      </c>
      <c r="Y694" t="s">
        <v>104</v>
      </c>
      <c r="Z694" t="s">
        <v>56</v>
      </c>
      <c r="AA694">
        <v>4</v>
      </c>
      <c r="AB694" t="s">
        <v>127</v>
      </c>
      <c r="AC694" t="s">
        <v>58</v>
      </c>
    </row>
    <row r="695" spans="1:29" x14ac:dyDescent="0.3">
      <c r="A695" t="s">
        <v>820</v>
      </c>
      <c r="B695" s="6">
        <v>45907</v>
      </c>
      <c r="C695" s="6" t="str">
        <f t="shared" si="60"/>
        <v>8 PM - 12 AM</v>
      </c>
      <c r="D695" s="4">
        <v>0.83611111111111114</v>
      </c>
      <c r="E695" t="s">
        <v>23</v>
      </c>
      <c r="F695" t="s">
        <v>96</v>
      </c>
      <c r="G695" t="s">
        <v>145</v>
      </c>
      <c r="H695" t="s">
        <v>43</v>
      </c>
      <c r="I695" t="s">
        <v>44</v>
      </c>
      <c r="J695" t="s">
        <v>45</v>
      </c>
      <c r="K695">
        <v>1</v>
      </c>
      <c r="L695" s="8">
        <v>1800</v>
      </c>
      <c r="M695" s="8" t="str">
        <f t="shared" si="61"/>
        <v>0%</v>
      </c>
      <c r="N695">
        <v>0</v>
      </c>
      <c r="O695" t="str">
        <f t="shared" si="62"/>
        <v>Valid</v>
      </c>
      <c r="P695" t="str">
        <f t="shared" si="63"/>
        <v>Match</v>
      </c>
      <c r="Q695" s="8">
        <v>1800</v>
      </c>
      <c r="R695" s="8">
        <v>0</v>
      </c>
      <c r="S695" s="8">
        <v>1800</v>
      </c>
      <c r="T695" s="8">
        <v>1099.8399999999999</v>
      </c>
      <c r="U695" s="8">
        <v>700.16</v>
      </c>
      <c r="V695" s="8" t="b">
        <f t="shared" si="64"/>
        <v>0</v>
      </c>
      <c r="W695" s="8">
        <f t="shared" si="65"/>
        <v>0</v>
      </c>
      <c r="X695" t="s">
        <v>36</v>
      </c>
      <c r="Y695" t="s">
        <v>70</v>
      </c>
      <c r="Z695" t="s">
        <v>56</v>
      </c>
      <c r="AA695">
        <v>5</v>
      </c>
      <c r="AB695" t="s">
        <v>155</v>
      </c>
      <c r="AC695" t="s">
        <v>30</v>
      </c>
    </row>
    <row r="696" spans="1:29" x14ac:dyDescent="0.3">
      <c r="A696" t="s">
        <v>821</v>
      </c>
      <c r="B696" s="6">
        <v>45660</v>
      </c>
      <c r="C696" s="6" t="str">
        <f t="shared" si="60"/>
        <v>8 AM - 12 PM</v>
      </c>
      <c r="D696" s="4">
        <v>0.40555555555555556</v>
      </c>
      <c r="E696" t="s">
        <v>23</v>
      </c>
      <c r="F696" t="s">
        <v>51</v>
      </c>
      <c r="G696" t="s">
        <v>52</v>
      </c>
      <c r="H696" t="s">
        <v>74</v>
      </c>
      <c r="I696" t="s">
        <v>63</v>
      </c>
      <c r="J696" t="s">
        <v>35</v>
      </c>
      <c r="K696">
        <v>1</v>
      </c>
      <c r="L696" s="8">
        <v>19050</v>
      </c>
      <c r="M696" s="8" t="str">
        <f t="shared" si="61"/>
        <v>11-20%</v>
      </c>
      <c r="N696">
        <v>15</v>
      </c>
      <c r="O696" t="str">
        <f t="shared" si="62"/>
        <v>Valid</v>
      </c>
      <c r="P696" t="str">
        <f t="shared" si="63"/>
        <v>Match</v>
      </c>
      <c r="Q696" s="8">
        <v>19050</v>
      </c>
      <c r="R696" s="8">
        <v>2857.5</v>
      </c>
      <c r="S696" s="8">
        <v>16192.5</v>
      </c>
      <c r="T696" s="8">
        <v>10187</v>
      </c>
      <c r="U696" s="8">
        <v>6005.5</v>
      </c>
      <c r="V696" s="8" t="b">
        <f t="shared" si="64"/>
        <v>0</v>
      </c>
      <c r="W696" s="8">
        <f t="shared" si="65"/>
        <v>0</v>
      </c>
      <c r="X696" t="s">
        <v>347</v>
      </c>
      <c r="Y696" t="s">
        <v>47</v>
      </c>
      <c r="Z696" t="s">
        <v>38</v>
      </c>
      <c r="AA696">
        <v>4</v>
      </c>
      <c r="AB696" t="s">
        <v>151</v>
      </c>
      <c r="AC696" t="s">
        <v>58</v>
      </c>
    </row>
    <row r="697" spans="1:29" x14ac:dyDescent="0.3">
      <c r="A697" t="s">
        <v>822</v>
      </c>
      <c r="B697" s="6">
        <v>45695</v>
      </c>
      <c r="C697" s="6" t="str">
        <f t="shared" si="60"/>
        <v>4 PM - 8 PM</v>
      </c>
      <c r="D697" s="4">
        <v>0.75694444444444442</v>
      </c>
      <c r="E697" t="s">
        <v>23</v>
      </c>
      <c r="F697" t="s">
        <v>96</v>
      </c>
      <c r="G697" t="s">
        <v>145</v>
      </c>
      <c r="H697" t="s">
        <v>102</v>
      </c>
      <c r="I697" t="s">
        <v>44</v>
      </c>
      <c r="J697" t="s">
        <v>45</v>
      </c>
      <c r="K697">
        <v>1</v>
      </c>
      <c r="L697" s="8">
        <v>3100</v>
      </c>
      <c r="M697" s="8" t="str">
        <f t="shared" si="61"/>
        <v>11-20%</v>
      </c>
      <c r="N697">
        <v>20</v>
      </c>
      <c r="O697" t="str">
        <f t="shared" si="62"/>
        <v>Valid</v>
      </c>
      <c r="P697" t="str">
        <f t="shared" si="63"/>
        <v>Match</v>
      </c>
      <c r="Q697" s="8">
        <v>3100</v>
      </c>
      <c r="R697" s="8">
        <v>620</v>
      </c>
      <c r="S697" s="8">
        <v>2480</v>
      </c>
      <c r="T697" s="8">
        <v>2287.09</v>
      </c>
      <c r="U697" s="8">
        <v>192.91</v>
      </c>
      <c r="V697" s="8" t="b">
        <f t="shared" si="64"/>
        <v>0</v>
      </c>
      <c r="W697" s="8">
        <f t="shared" si="65"/>
        <v>0</v>
      </c>
      <c r="X697" t="s">
        <v>28</v>
      </c>
      <c r="Y697" t="s">
        <v>37</v>
      </c>
      <c r="Z697" t="s">
        <v>38</v>
      </c>
      <c r="AA697">
        <v>3.5</v>
      </c>
      <c r="AB697" t="s">
        <v>66</v>
      </c>
      <c r="AC697" t="s">
        <v>58</v>
      </c>
    </row>
    <row r="698" spans="1:29" x14ac:dyDescent="0.3">
      <c r="A698" t="s">
        <v>823</v>
      </c>
      <c r="B698" s="6">
        <v>45726</v>
      </c>
      <c r="C698" s="6" t="str">
        <f t="shared" si="60"/>
        <v>8 PM - 12 AM</v>
      </c>
      <c r="D698" s="4">
        <v>0.85555555555555551</v>
      </c>
      <c r="E698" t="s">
        <v>622</v>
      </c>
      <c r="F698" t="s">
        <v>24</v>
      </c>
      <c r="G698" t="s">
        <v>88</v>
      </c>
      <c r="H698" t="s">
        <v>26</v>
      </c>
      <c r="I698" t="s">
        <v>63</v>
      </c>
      <c r="J698" t="s">
        <v>93</v>
      </c>
      <c r="K698">
        <v>1</v>
      </c>
      <c r="L698" s="8">
        <v>600</v>
      </c>
      <c r="M698" s="8" t="str">
        <f t="shared" si="61"/>
        <v>11-20%</v>
      </c>
      <c r="N698">
        <v>20</v>
      </c>
      <c r="O698" t="str">
        <f t="shared" si="62"/>
        <v>Valid</v>
      </c>
      <c r="P698" t="str">
        <f t="shared" si="63"/>
        <v>Match</v>
      </c>
      <c r="Q698" s="8">
        <v>600</v>
      </c>
      <c r="R698" s="8">
        <v>120</v>
      </c>
      <c r="S698" s="8">
        <v>480</v>
      </c>
      <c r="T698" s="8">
        <v>390.19</v>
      </c>
      <c r="U698" s="8">
        <v>89.81</v>
      </c>
      <c r="V698" s="8" t="b">
        <f t="shared" si="64"/>
        <v>0</v>
      </c>
      <c r="W698" s="8">
        <f t="shared" si="65"/>
        <v>0</v>
      </c>
      <c r="X698" t="s">
        <v>55</v>
      </c>
      <c r="Y698" t="s">
        <v>104</v>
      </c>
      <c r="Z698" t="s">
        <v>80</v>
      </c>
      <c r="AA698">
        <v>4</v>
      </c>
      <c r="AB698" t="s">
        <v>127</v>
      </c>
      <c r="AC698" t="s">
        <v>49</v>
      </c>
    </row>
    <row r="699" spans="1:29" x14ac:dyDescent="0.3">
      <c r="A699" t="s">
        <v>824</v>
      </c>
      <c r="B699" s="6">
        <v>46000</v>
      </c>
      <c r="C699" s="6" t="str">
        <f t="shared" si="60"/>
        <v>8 AM - 12 PM</v>
      </c>
      <c r="D699" s="4">
        <v>0.34097222222222223</v>
      </c>
      <c r="E699" t="s">
        <v>108</v>
      </c>
      <c r="F699" t="s">
        <v>24</v>
      </c>
      <c r="G699" t="s">
        <v>25</v>
      </c>
      <c r="H699" t="s">
        <v>102</v>
      </c>
      <c r="I699" t="s">
        <v>98</v>
      </c>
      <c r="J699" t="s">
        <v>35</v>
      </c>
      <c r="K699">
        <v>1</v>
      </c>
      <c r="L699" s="8">
        <v>8100</v>
      </c>
      <c r="M699" s="8" t="str">
        <f t="shared" si="61"/>
        <v>11-20%</v>
      </c>
      <c r="N699">
        <v>15</v>
      </c>
      <c r="O699" t="str">
        <f t="shared" si="62"/>
        <v>Valid</v>
      </c>
      <c r="P699" t="str">
        <f t="shared" si="63"/>
        <v>Match</v>
      </c>
      <c r="Q699" s="8">
        <v>8100</v>
      </c>
      <c r="R699" s="8">
        <v>1215</v>
      </c>
      <c r="S699" s="8">
        <v>6885</v>
      </c>
      <c r="T699" s="8">
        <v>5147.1499999999996</v>
      </c>
      <c r="U699" s="8">
        <v>1737.85</v>
      </c>
      <c r="V699" s="8" t="b">
        <f t="shared" si="64"/>
        <v>0</v>
      </c>
      <c r="W699" s="8">
        <f t="shared" si="65"/>
        <v>0</v>
      </c>
      <c r="X699" t="s">
        <v>36</v>
      </c>
      <c r="Y699" t="s">
        <v>70</v>
      </c>
      <c r="Z699" t="s">
        <v>56</v>
      </c>
      <c r="AA699">
        <v>4</v>
      </c>
      <c r="AB699" t="s">
        <v>39</v>
      </c>
      <c r="AC699" t="s">
        <v>86</v>
      </c>
    </row>
    <row r="700" spans="1:29" x14ac:dyDescent="0.3">
      <c r="A700" t="s">
        <v>825</v>
      </c>
      <c r="B700" s="6">
        <v>45851</v>
      </c>
      <c r="C700" s="6" t="str">
        <f t="shared" si="60"/>
        <v>8 AM - 12 PM</v>
      </c>
      <c r="D700" s="4">
        <v>0.49027777777777776</v>
      </c>
      <c r="E700" t="s">
        <v>23</v>
      </c>
      <c r="F700" t="s">
        <v>51</v>
      </c>
      <c r="G700" t="s">
        <v>140</v>
      </c>
      <c r="H700" t="s">
        <v>102</v>
      </c>
      <c r="I700" t="s">
        <v>103</v>
      </c>
      <c r="J700" t="s">
        <v>35</v>
      </c>
      <c r="K700">
        <v>1</v>
      </c>
      <c r="L700" s="8">
        <v>6400</v>
      </c>
      <c r="M700" s="8" t="str">
        <f t="shared" si="61"/>
        <v>1-10%</v>
      </c>
      <c r="N700">
        <v>5</v>
      </c>
      <c r="O700" t="str">
        <f t="shared" si="62"/>
        <v>Valid</v>
      </c>
      <c r="P700" t="str">
        <f t="shared" si="63"/>
        <v>Match</v>
      </c>
      <c r="Q700" s="8">
        <v>6400</v>
      </c>
      <c r="R700" s="8">
        <v>320</v>
      </c>
      <c r="S700" s="8">
        <v>6080</v>
      </c>
      <c r="T700" s="8">
        <v>3358.06</v>
      </c>
      <c r="U700" s="8">
        <v>2721.94</v>
      </c>
      <c r="V700" s="8" t="b">
        <f t="shared" si="64"/>
        <v>0</v>
      </c>
      <c r="W700" s="8">
        <f t="shared" si="65"/>
        <v>0</v>
      </c>
      <c r="X700" t="s">
        <v>55</v>
      </c>
      <c r="Y700" t="s">
        <v>65</v>
      </c>
      <c r="Z700" t="s">
        <v>38</v>
      </c>
      <c r="AA700">
        <v>4.5</v>
      </c>
      <c r="AB700" t="s">
        <v>29</v>
      </c>
      <c r="AC700" t="s">
        <v>30</v>
      </c>
    </row>
    <row r="701" spans="1:29" x14ac:dyDescent="0.3">
      <c r="A701" t="s">
        <v>826</v>
      </c>
      <c r="B701" s="6">
        <v>45674</v>
      </c>
      <c r="C701" s="6" t="str">
        <f t="shared" si="60"/>
        <v>12 PM - 4 PM</v>
      </c>
      <c r="D701" s="4">
        <v>0.5805555555555556</v>
      </c>
      <c r="E701" t="s">
        <v>622</v>
      </c>
      <c r="F701" t="s">
        <v>24</v>
      </c>
      <c r="G701" t="s">
        <v>120</v>
      </c>
      <c r="H701" t="s">
        <v>43</v>
      </c>
      <c r="I701" t="s">
        <v>98</v>
      </c>
      <c r="J701" t="s">
        <v>35</v>
      </c>
      <c r="K701">
        <v>2</v>
      </c>
      <c r="L701" s="8">
        <v>12600</v>
      </c>
      <c r="M701" s="8" t="str">
        <f t="shared" si="61"/>
        <v>0%</v>
      </c>
      <c r="N701">
        <v>0</v>
      </c>
      <c r="O701" t="str">
        <f t="shared" si="62"/>
        <v>Valid</v>
      </c>
      <c r="P701" t="str">
        <f t="shared" si="63"/>
        <v>Match</v>
      </c>
      <c r="Q701" s="8">
        <v>25200</v>
      </c>
      <c r="R701" s="8">
        <v>0</v>
      </c>
      <c r="S701" s="8">
        <v>25200</v>
      </c>
      <c r="T701" s="8">
        <v>18385.11</v>
      </c>
      <c r="U701" s="8">
        <v>6814.89</v>
      </c>
      <c r="V701" s="8" t="b">
        <f t="shared" si="64"/>
        <v>0</v>
      </c>
      <c r="W701" s="8">
        <f t="shared" si="65"/>
        <v>0</v>
      </c>
      <c r="X701" t="s">
        <v>46</v>
      </c>
      <c r="Y701" t="s">
        <v>37</v>
      </c>
      <c r="Z701" t="s">
        <v>85</v>
      </c>
      <c r="AA701">
        <v>4</v>
      </c>
      <c r="AB701" t="s">
        <v>151</v>
      </c>
      <c r="AC701" t="s">
        <v>58</v>
      </c>
    </row>
    <row r="702" spans="1:29" x14ac:dyDescent="0.3">
      <c r="A702" t="s">
        <v>827</v>
      </c>
      <c r="B702" s="6">
        <v>45852</v>
      </c>
      <c r="C702" s="6" t="str">
        <f t="shared" si="60"/>
        <v>8 AM - 12 PM</v>
      </c>
      <c r="D702" s="4">
        <v>0.43611111111111112</v>
      </c>
      <c r="E702" t="s">
        <v>60</v>
      </c>
      <c r="F702" t="s">
        <v>24</v>
      </c>
      <c r="G702" t="s">
        <v>84</v>
      </c>
      <c r="H702" t="s">
        <v>26</v>
      </c>
      <c r="I702" t="s">
        <v>54</v>
      </c>
      <c r="J702" t="s">
        <v>35</v>
      </c>
      <c r="K702">
        <v>4</v>
      </c>
      <c r="L702" s="8">
        <v>11900</v>
      </c>
      <c r="M702" s="8" t="str">
        <f t="shared" si="61"/>
        <v>1-10%</v>
      </c>
      <c r="N702">
        <v>10</v>
      </c>
      <c r="O702" t="str">
        <f t="shared" si="62"/>
        <v>Valid</v>
      </c>
      <c r="P702" t="str">
        <f t="shared" si="63"/>
        <v>Match</v>
      </c>
      <c r="Q702" s="8">
        <v>47600</v>
      </c>
      <c r="R702" s="8">
        <v>4760</v>
      </c>
      <c r="S702" s="8">
        <v>42840</v>
      </c>
      <c r="T702" s="8">
        <v>33565.379999999997</v>
      </c>
      <c r="U702" s="8">
        <v>9274.6200000000008</v>
      </c>
      <c r="V702" s="8" t="b">
        <f t="shared" si="64"/>
        <v>0</v>
      </c>
      <c r="W702" s="8">
        <f t="shared" si="65"/>
        <v>0</v>
      </c>
      <c r="X702" t="s">
        <v>79</v>
      </c>
      <c r="Y702" t="s">
        <v>89</v>
      </c>
      <c r="Z702" t="s">
        <v>80</v>
      </c>
      <c r="AA702">
        <v>4.5</v>
      </c>
      <c r="AB702" t="s">
        <v>29</v>
      </c>
      <c r="AC702" t="s">
        <v>49</v>
      </c>
    </row>
    <row r="703" spans="1:29" x14ac:dyDescent="0.3">
      <c r="A703" t="s">
        <v>828</v>
      </c>
      <c r="B703" s="6">
        <f ca="1">DATE(VALUE(RIGHT(Table1[[#This Row],[Order_Date]],4)),VALUE(LEFT(Table1[[#This Row],[Order_Date]],2)),VALUE(MID(Table1[[#This Row],[Order_Date]],4,2)))</f>
        <v>45792</v>
      </c>
      <c r="C703" s="6" t="str">
        <f t="shared" si="60"/>
        <v>12 AM - 4 AM</v>
      </c>
      <c r="E703" t="s">
        <v>60</v>
      </c>
      <c r="F703" t="s">
        <v>51</v>
      </c>
      <c r="G703" t="s">
        <v>101</v>
      </c>
      <c r="H703" t="s">
        <v>34</v>
      </c>
      <c r="I703" t="s">
        <v>98</v>
      </c>
      <c r="J703" t="s">
        <v>35</v>
      </c>
      <c r="K703">
        <v>2</v>
      </c>
      <c r="L703" s="8">
        <v>13300</v>
      </c>
      <c r="M703" s="8" t="str">
        <f t="shared" si="61"/>
        <v>1-10%</v>
      </c>
      <c r="N703">
        <v>10</v>
      </c>
      <c r="O703" t="str">
        <f t="shared" si="62"/>
        <v>Valid</v>
      </c>
      <c r="P703" t="str">
        <f t="shared" si="63"/>
        <v>Match</v>
      </c>
      <c r="Q703" s="8">
        <v>26600</v>
      </c>
      <c r="R703" s="8">
        <v>2660</v>
      </c>
      <c r="S703" s="8">
        <v>23940</v>
      </c>
      <c r="T703" s="8">
        <v>18298.650000000001</v>
      </c>
      <c r="U703" s="8">
        <v>5641.35</v>
      </c>
      <c r="V703" s="8" t="b">
        <f t="shared" si="64"/>
        <v>0</v>
      </c>
      <c r="W703" s="8">
        <f t="shared" si="65"/>
        <v>0</v>
      </c>
      <c r="X703" t="s">
        <v>28</v>
      </c>
      <c r="Y703" t="s">
        <v>94</v>
      </c>
      <c r="Z703" t="s">
        <v>45</v>
      </c>
      <c r="AA703">
        <v>3</v>
      </c>
      <c r="AB703" t="s">
        <v>111</v>
      </c>
      <c r="AC703" t="s">
        <v>67</v>
      </c>
    </row>
    <row r="704" spans="1:29" x14ac:dyDescent="0.3">
      <c r="A704" t="s">
        <v>829</v>
      </c>
      <c r="B704" s="6">
        <v>45797</v>
      </c>
      <c r="C704" s="6" t="str">
        <f t="shared" si="60"/>
        <v>8 AM - 12 PM</v>
      </c>
      <c r="D704" s="4">
        <v>0.46250000000000002</v>
      </c>
      <c r="E704" t="s">
        <v>622</v>
      </c>
      <c r="F704" t="s">
        <v>24</v>
      </c>
      <c r="G704" t="s">
        <v>84</v>
      </c>
      <c r="H704" t="s">
        <v>102</v>
      </c>
      <c r="I704" t="s">
        <v>98</v>
      </c>
      <c r="J704" t="s">
        <v>45</v>
      </c>
      <c r="K704">
        <v>1</v>
      </c>
      <c r="L704" s="8">
        <v>15000</v>
      </c>
      <c r="M704" s="8" t="str">
        <f t="shared" si="61"/>
        <v>1-10%</v>
      </c>
      <c r="N704">
        <v>10</v>
      </c>
      <c r="O704" t="str">
        <f t="shared" si="62"/>
        <v>Valid</v>
      </c>
      <c r="P704" t="str">
        <f t="shared" si="63"/>
        <v>Match</v>
      </c>
      <c r="Q704" s="8">
        <v>15000</v>
      </c>
      <c r="R704" s="8">
        <v>1500</v>
      </c>
      <c r="S704" s="8">
        <v>13500</v>
      </c>
      <c r="T704" s="8">
        <v>7975.42</v>
      </c>
      <c r="U704" s="8">
        <v>5524.58</v>
      </c>
      <c r="V704" s="8" t="b">
        <f t="shared" si="64"/>
        <v>0</v>
      </c>
      <c r="W704" s="8">
        <f t="shared" si="65"/>
        <v>0</v>
      </c>
      <c r="X704" t="s">
        <v>36</v>
      </c>
      <c r="Y704" t="s">
        <v>104</v>
      </c>
      <c r="Z704" t="s">
        <v>85</v>
      </c>
      <c r="AA704">
        <v>3.5</v>
      </c>
      <c r="AB704" t="s">
        <v>111</v>
      </c>
      <c r="AC704" t="s">
        <v>86</v>
      </c>
    </row>
    <row r="705" spans="1:29" x14ac:dyDescent="0.3">
      <c r="A705" t="s">
        <v>830</v>
      </c>
      <c r="B705" s="6">
        <v>45758</v>
      </c>
      <c r="C705" s="6" t="str">
        <f t="shared" si="60"/>
        <v>12 PM - 4 PM</v>
      </c>
      <c r="D705" s="4">
        <v>0.61250000000000004</v>
      </c>
      <c r="E705" t="s">
        <v>69</v>
      </c>
      <c r="F705" t="s">
        <v>96</v>
      </c>
      <c r="G705" t="s">
        <v>145</v>
      </c>
      <c r="H705" t="s">
        <v>26</v>
      </c>
      <c r="I705" t="s">
        <v>63</v>
      </c>
      <c r="J705" t="s">
        <v>35</v>
      </c>
      <c r="K705">
        <v>1</v>
      </c>
      <c r="L705" s="8">
        <v>1050</v>
      </c>
      <c r="M705" s="8" t="str">
        <f t="shared" si="61"/>
        <v>11-20%</v>
      </c>
      <c r="N705">
        <v>20</v>
      </c>
      <c r="O705" t="str">
        <f t="shared" si="62"/>
        <v>Valid</v>
      </c>
      <c r="P705" t="str">
        <f t="shared" si="63"/>
        <v>Match</v>
      </c>
      <c r="Q705" s="8">
        <v>1050</v>
      </c>
      <c r="R705" s="8">
        <v>210</v>
      </c>
      <c r="S705" s="8">
        <v>840</v>
      </c>
      <c r="T705" s="8">
        <v>589.15</v>
      </c>
      <c r="U705" s="8">
        <v>250.85</v>
      </c>
      <c r="V705" s="8" t="b">
        <f t="shared" si="64"/>
        <v>0</v>
      </c>
      <c r="W705" s="8">
        <f t="shared" si="65"/>
        <v>0</v>
      </c>
      <c r="X705" t="s">
        <v>55</v>
      </c>
      <c r="Y705" t="s">
        <v>104</v>
      </c>
      <c r="Z705" t="s">
        <v>45</v>
      </c>
      <c r="AA705">
        <v>5</v>
      </c>
      <c r="AB705" t="s">
        <v>99</v>
      </c>
      <c r="AC705" t="s">
        <v>58</v>
      </c>
    </row>
    <row r="706" spans="1:29" x14ac:dyDescent="0.3">
      <c r="A706" t="s">
        <v>831</v>
      </c>
      <c r="B706" s="6">
        <v>45961</v>
      </c>
      <c r="C706" s="6" t="str">
        <f t="shared" ref="C706:C769" si="66">IF(D706&lt;TIME(4,0,0),"12 AM - 4 AM",IF(D706&lt;TIME(8,0,0),"4 AM - 8 AM",IF(D706&lt;TIME(12,0,0),"8 AM - 12 PM",IF(D706&lt;TIME(16,0,0),"12 PM - 4 PM",IF(D706&lt;TIME(20,0,0),"4 PM - 8 PM","8 PM - 12 AM")))))</f>
        <v>12 PM - 4 PM</v>
      </c>
      <c r="D706" s="4">
        <v>0.54791666666666672</v>
      </c>
      <c r="E706" t="s">
        <v>32</v>
      </c>
      <c r="F706" t="s">
        <v>24</v>
      </c>
      <c r="G706" t="s">
        <v>110</v>
      </c>
      <c r="H706" t="s">
        <v>53</v>
      </c>
      <c r="I706" t="s">
        <v>92</v>
      </c>
      <c r="J706" t="s">
        <v>64</v>
      </c>
      <c r="K706">
        <v>1</v>
      </c>
      <c r="L706" s="8">
        <v>2000</v>
      </c>
      <c r="M706" s="8" t="str">
        <f t="shared" ref="M706:M769" si="67">IF(N706&lt;0,"Invalid",IF(N706=0,"0%",IF(N706&lt;=10,"1-10%",IF(N706&lt;=20,"11-20%",IF(N706&lt;=30,"21-30%","30%+")))))</f>
        <v>11-20%</v>
      </c>
      <c r="N706">
        <v>20</v>
      </c>
      <c r="O706" t="str">
        <f t="shared" ref="O706:O769" si="68">IF(OR(N706&lt;0,N706&gt;100),"Invalid Discount","Valid")</f>
        <v>Valid</v>
      </c>
      <c r="P706" t="str">
        <f t="shared" ref="P706:P769" si="69">IF(ROUND(R706,2)=ROUND(Q706*N706/100,2),"Match","Mismatch")</f>
        <v>Match</v>
      </c>
      <c r="Q706" s="8">
        <v>2000</v>
      </c>
      <c r="R706" s="8">
        <v>400</v>
      </c>
      <c r="S706" s="8">
        <v>1600</v>
      </c>
      <c r="T706" s="8">
        <v>1326.04</v>
      </c>
      <c r="U706" s="8">
        <v>273.95999999999998</v>
      </c>
      <c r="V706" s="8" t="b">
        <f t="shared" ref="V706:V769" si="70">IF(AND(S706-T706&lt;0,U706=S706-T706),TRUE,FALSE)</f>
        <v>0</v>
      </c>
      <c r="W706" s="8">
        <f t="shared" ref="W706:W769" si="71">IF(V706=TRUE,ABS(U706),0)</f>
        <v>0</v>
      </c>
      <c r="X706" t="s">
        <v>28</v>
      </c>
      <c r="Y706" t="s">
        <v>89</v>
      </c>
      <c r="Z706" t="s">
        <v>64</v>
      </c>
      <c r="AA706">
        <v>3.5</v>
      </c>
      <c r="AB706" t="s">
        <v>57</v>
      </c>
      <c r="AC706" t="s">
        <v>58</v>
      </c>
    </row>
    <row r="707" spans="1:29" x14ac:dyDescent="0.3">
      <c r="A707" t="s">
        <v>832</v>
      </c>
      <c r="B707" s="6">
        <v>45970</v>
      </c>
      <c r="C707" s="6" t="str">
        <f t="shared" si="66"/>
        <v>12 PM - 4 PM</v>
      </c>
      <c r="D707" s="4">
        <v>0.57916666666666672</v>
      </c>
      <c r="E707" t="s">
        <v>23</v>
      </c>
      <c r="F707" t="s">
        <v>24</v>
      </c>
      <c r="G707" t="s">
        <v>33</v>
      </c>
      <c r="H707" t="s">
        <v>53</v>
      </c>
      <c r="I707" t="s">
        <v>98</v>
      </c>
      <c r="J707" t="s">
        <v>35</v>
      </c>
      <c r="K707">
        <v>2</v>
      </c>
      <c r="L707" s="8">
        <v>3900</v>
      </c>
      <c r="M707" s="8" t="str">
        <f t="shared" si="67"/>
        <v>1-10%</v>
      </c>
      <c r="N707">
        <v>5</v>
      </c>
      <c r="O707" t="str">
        <f t="shared" si="68"/>
        <v>Valid</v>
      </c>
      <c r="P707" t="str">
        <f t="shared" si="69"/>
        <v>Match</v>
      </c>
      <c r="Q707" s="8">
        <v>7800</v>
      </c>
      <c r="R707" s="8">
        <v>390</v>
      </c>
      <c r="S707" s="8">
        <v>7410</v>
      </c>
      <c r="T707" s="8">
        <v>4984.05</v>
      </c>
      <c r="U707" s="8">
        <v>2425.9499999999998</v>
      </c>
      <c r="V707" s="8" t="b">
        <f t="shared" si="70"/>
        <v>0</v>
      </c>
      <c r="W707" s="8">
        <f t="shared" si="71"/>
        <v>0</v>
      </c>
      <c r="X707" t="s">
        <v>55</v>
      </c>
      <c r="Y707" t="s">
        <v>104</v>
      </c>
      <c r="Z707" t="s">
        <v>38</v>
      </c>
      <c r="AA707">
        <v>4</v>
      </c>
      <c r="AB707" t="s">
        <v>75</v>
      </c>
      <c r="AC707" t="s">
        <v>30</v>
      </c>
    </row>
    <row r="708" spans="1:29" x14ac:dyDescent="0.3">
      <c r="A708" t="s">
        <v>833</v>
      </c>
      <c r="B708" s="6">
        <v>45660</v>
      </c>
      <c r="C708" s="6" t="str">
        <f t="shared" si="66"/>
        <v>12 PM - 4 PM</v>
      </c>
      <c r="D708" s="4">
        <v>0.5083333333333333</v>
      </c>
      <c r="E708" t="s">
        <v>60</v>
      </c>
      <c r="F708" t="s">
        <v>24</v>
      </c>
      <c r="G708" t="s">
        <v>42</v>
      </c>
      <c r="H708" t="s">
        <v>34</v>
      </c>
      <c r="I708" t="s">
        <v>44</v>
      </c>
      <c r="J708" t="s">
        <v>35</v>
      </c>
      <c r="K708">
        <v>2</v>
      </c>
      <c r="L708" s="8">
        <v>112550</v>
      </c>
      <c r="M708" s="8" t="str">
        <f t="shared" si="67"/>
        <v>11-20%</v>
      </c>
      <c r="N708">
        <v>20</v>
      </c>
      <c r="O708" t="str">
        <f t="shared" si="68"/>
        <v>Valid</v>
      </c>
      <c r="P708" t="str">
        <f t="shared" si="69"/>
        <v>Match</v>
      </c>
      <c r="Q708" s="8">
        <v>225100</v>
      </c>
      <c r="R708" s="8">
        <v>45020</v>
      </c>
      <c r="S708" s="8">
        <v>180080</v>
      </c>
      <c r="T708" s="8">
        <v>139280.51999999999</v>
      </c>
      <c r="U708" s="8">
        <v>40799.480000000003</v>
      </c>
      <c r="V708" s="8" t="b">
        <f t="shared" si="70"/>
        <v>0</v>
      </c>
      <c r="W708" s="8">
        <f t="shared" si="71"/>
        <v>0</v>
      </c>
      <c r="X708" t="s">
        <v>493</v>
      </c>
      <c r="Y708" t="s">
        <v>37</v>
      </c>
      <c r="Z708" t="s">
        <v>85</v>
      </c>
      <c r="AA708">
        <v>5</v>
      </c>
      <c r="AB708" t="s">
        <v>151</v>
      </c>
      <c r="AC708" t="s">
        <v>58</v>
      </c>
    </row>
    <row r="709" spans="1:29" x14ac:dyDescent="0.3">
      <c r="A709" t="s">
        <v>834</v>
      </c>
      <c r="B709" s="6">
        <v>45795</v>
      </c>
      <c r="C709" s="6" t="str">
        <f t="shared" si="66"/>
        <v>8 PM - 12 AM</v>
      </c>
      <c r="D709" s="4">
        <v>0.92569444444444449</v>
      </c>
      <c r="E709" t="s">
        <v>108</v>
      </c>
      <c r="F709" t="s">
        <v>51</v>
      </c>
      <c r="G709" t="s">
        <v>52</v>
      </c>
      <c r="H709" t="s">
        <v>34</v>
      </c>
      <c r="I709" t="s">
        <v>63</v>
      </c>
      <c r="J709" t="s">
        <v>45</v>
      </c>
      <c r="K709">
        <v>2</v>
      </c>
      <c r="L709" s="8">
        <v>19200</v>
      </c>
      <c r="M709" s="8" t="str">
        <f t="shared" si="67"/>
        <v>11-20%</v>
      </c>
      <c r="N709">
        <v>15</v>
      </c>
      <c r="O709" t="str">
        <f t="shared" si="68"/>
        <v>Valid</v>
      </c>
      <c r="P709" t="str">
        <f t="shared" si="69"/>
        <v>Match</v>
      </c>
      <c r="Q709" s="8">
        <v>38400</v>
      </c>
      <c r="R709" s="8">
        <v>5760</v>
      </c>
      <c r="S709" s="8">
        <v>32640</v>
      </c>
      <c r="T709" s="8">
        <v>27329.82</v>
      </c>
      <c r="U709" s="8">
        <v>5310.18</v>
      </c>
      <c r="V709" s="8" t="b">
        <f t="shared" si="70"/>
        <v>0</v>
      </c>
      <c r="W709" s="8">
        <f t="shared" si="71"/>
        <v>0</v>
      </c>
      <c r="X709" t="s">
        <v>79</v>
      </c>
      <c r="Y709" t="s">
        <v>104</v>
      </c>
      <c r="Z709" t="s">
        <v>64</v>
      </c>
      <c r="AA709">
        <v>4</v>
      </c>
      <c r="AB709" t="s">
        <v>111</v>
      </c>
      <c r="AC709" t="s">
        <v>30</v>
      </c>
    </row>
    <row r="710" spans="1:29" x14ac:dyDescent="0.3">
      <c r="A710" t="s">
        <v>835</v>
      </c>
      <c r="B710" s="6">
        <v>45660</v>
      </c>
      <c r="C710" s="6" t="str">
        <f t="shared" si="66"/>
        <v>8 AM - 12 PM</v>
      </c>
      <c r="D710" s="4">
        <v>0.39444444444444443</v>
      </c>
      <c r="E710" t="s">
        <v>60</v>
      </c>
      <c r="F710" t="s">
        <v>51</v>
      </c>
      <c r="G710" t="s">
        <v>153</v>
      </c>
      <c r="H710" t="s">
        <v>53</v>
      </c>
      <c r="I710" t="s">
        <v>63</v>
      </c>
      <c r="J710" t="s">
        <v>64</v>
      </c>
      <c r="K710">
        <v>1</v>
      </c>
      <c r="L710" s="8">
        <v>1300</v>
      </c>
      <c r="M710" s="8" t="str">
        <f t="shared" si="67"/>
        <v>1-10%</v>
      </c>
      <c r="N710">
        <v>10</v>
      </c>
      <c r="O710" t="str">
        <f t="shared" si="68"/>
        <v>Valid</v>
      </c>
      <c r="P710" t="str">
        <f t="shared" si="69"/>
        <v>Match</v>
      </c>
      <c r="Q710" s="8">
        <v>1300</v>
      </c>
      <c r="R710" s="8">
        <v>130</v>
      </c>
      <c r="S710" s="8">
        <v>1170</v>
      </c>
      <c r="T710" s="8">
        <v>706.47</v>
      </c>
      <c r="U710" s="8">
        <v>463.53</v>
      </c>
      <c r="V710" s="8" t="b">
        <f t="shared" si="70"/>
        <v>0</v>
      </c>
      <c r="W710" s="8">
        <f t="shared" si="71"/>
        <v>0</v>
      </c>
      <c r="X710" t="s">
        <v>28</v>
      </c>
      <c r="Y710" t="s">
        <v>47</v>
      </c>
      <c r="Z710" t="s">
        <v>80</v>
      </c>
      <c r="AA710">
        <v>3.5</v>
      </c>
      <c r="AB710" t="s">
        <v>151</v>
      </c>
      <c r="AC710" t="s">
        <v>58</v>
      </c>
    </row>
    <row r="711" spans="1:29" x14ac:dyDescent="0.3">
      <c r="A711" t="s">
        <v>836</v>
      </c>
      <c r="B711" s="6">
        <v>45996</v>
      </c>
      <c r="C711" s="6" t="str">
        <f t="shared" si="66"/>
        <v>12 PM - 4 PM</v>
      </c>
      <c r="D711" s="4">
        <v>0.50347222222222221</v>
      </c>
      <c r="E711" t="s">
        <v>108</v>
      </c>
      <c r="F711" t="s">
        <v>24</v>
      </c>
      <c r="G711" t="s">
        <v>120</v>
      </c>
      <c r="H711" t="s">
        <v>74</v>
      </c>
      <c r="I711" t="s">
        <v>54</v>
      </c>
      <c r="J711" t="s">
        <v>45</v>
      </c>
      <c r="K711">
        <v>1</v>
      </c>
      <c r="L711" s="8">
        <v>9400</v>
      </c>
      <c r="M711" s="8" t="str">
        <f t="shared" si="67"/>
        <v>1-10%</v>
      </c>
      <c r="N711">
        <v>5</v>
      </c>
      <c r="O711" t="str">
        <f t="shared" si="68"/>
        <v>Valid</v>
      </c>
      <c r="P711" t="str">
        <f t="shared" si="69"/>
        <v>Match</v>
      </c>
      <c r="Q711" s="8">
        <v>9400</v>
      </c>
      <c r="R711" s="8">
        <v>470</v>
      </c>
      <c r="S711" s="8">
        <v>8930</v>
      </c>
      <c r="T711" s="8">
        <v>6293.61</v>
      </c>
      <c r="U711" s="8">
        <v>2636.39</v>
      </c>
      <c r="V711" s="8" t="b">
        <f t="shared" si="70"/>
        <v>0</v>
      </c>
      <c r="W711" s="8">
        <f t="shared" si="71"/>
        <v>0</v>
      </c>
      <c r="X711" t="s">
        <v>79</v>
      </c>
      <c r="Y711" t="s">
        <v>70</v>
      </c>
      <c r="Z711" t="s">
        <v>38</v>
      </c>
      <c r="AA711">
        <v>3</v>
      </c>
      <c r="AB711" t="s">
        <v>39</v>
      </c>
      <c r="AC711" t="s">
        <v>58</v>
      </c>
    </row>
    <row r="712" spans="1:29" x14ac:dyDescent="0.3">
      <c r="A712" t="s">
        <v>837</v>
      </c>
      <c r="B712" s="6">
        <v>45960</v>
      </c>
      <c r="C712" s="6" t="str">
        <f t="shared" si="66"/>
        <v>12 PM - 4 PM</v>
      </c>
      <c r="D712" s="4">
        <v>0.54861111111111116</v>
      </c>
      <c r="E712" t="s">
        <v>60</v>
      </c>
      <c r="F712" t="s">
        <v>51</v>
      </c>
      <c r="G712" t="s">
        <v>52</v>
      </c>
      <c r="H712" t="s">
        <v>62</v>
      </c>
      <c r="I712" t="s">
        <v>125</v>
      </c>
      <c r="J712" t="s">
        <v>93</v>
      </c>
      <c r="K712" t="s">
        <v>838</v>
      </c>
      <c r="L712" s="8">
        <v>20500</v>
      </c>
      <c r="M712" s="8" t="str">
        <f t="shared" si="67"/>
        <v>11-20%</v>
      </c>
      <c r="N712">
        <v>15</v>
      </c>
      <c r="O712" t="str">
        <f t="shared" si="68"/>
        <v>Valid</v>
      </c>
      <c r="P712" t="str">
        <f t="shared" si="69"/>
        <v>Match</v>
      </c>
      <c r="Q712" s="8">
        <v>102500</v>
      </c>
      <c r="R712" s="8">
        <v>15375</v>
      </c>
      <c r="S712" s="8">
        <v>87125</v>
      </c>
      <c r="T712" s="8">
        <v>53659.8</v>
      </c>
      <c r="U712" s="8">
        <v>33465.199999999997</v>
      </c>
      <c r="V712" s="8" t="b">
        <f t="shared" si="70"/>
        <v>0</v>
      </c>
      <c r="W712" s="8">
        <f t="shared" si="71"/>
        <v>0</v>
      </c>
      <c r="X712" t="s">
        <v>28</v>
      </c>
      <c r="Y712" t="s">
        <v>89</v>
      </c>
      <c r="Z712" t="s">
        <v>85</v>
      </c>
      <c r="AA712">
        <v>4.5</v>
      </c>
      <c r="AB712" t="s">
        <v>57</v>
      </c>
      <c r="AC712" t="s">
        <v>67</v>
      </c>
    </row>
    <row r="713" spans="1:29" x14ac:dyDescent="0.3">
      <c r="A713" t="s">
        <v>839</v>
      </c>
      <c r="B713" s="6">
        <v>45887</v>
      </c>
      <c r="C713" s="6" t="str">
        <f t="shared" si="66"/>
        <v>4 AM - 8 AM</v>
      </c>
      <c r="D713" s="4">
        <v>0.17291666666666666</v>
      </c>
      <c r="E713" t="s">
        <v>32</v>
      </c>
      <c r="F713" t="s">
        <v>24</v>
      </c>
      <c r="G713" t="s">
        <v>84</v>
      </c>
      <c r="H713" t="s">
        <v>34</v>
      </c>
      <c r="I713" t="s">
        <v>54</v>
      </c>
      <c r="J713" t="s">
        <v>35</v>
      </c>
      <c r="K713">
        <v>1</v>
      </c>
      <c r="L713" s="8">
        <v>3000</v>
      </c>
      <c r="M713" s="8" t="str">
        <f t="shared" si="67"/>
        <v>0%</v>
      </c>
      <c r="N713">
        <v>0</v>
      </c>
      <c r="O713" t="str">
        <f t="shared" si="68"/>
        <v>Valid</v>
      </c>
      <c r="P713" t="str">
        <f t="shared" si="69"/>
        <v>Match</v>
      </c>
      <c r="Q713" s="8">
        <v>3000</v>
      </c>
      <c r="R713" s="8">
        <v>0</v>
      </c>
      <c r="S713" s="8">
        <v>3000</v>
      </c>
      <c r="T713" s="8">
        <v>1657.47</v>
      </c>
      <c r="U713" s="8">
        <v>1342.53</v>
      </c>
      <c r="V713" s="8" t="b">
        <f t="shared" si="70"/>
        <v>0</v>
      </c>
      <c r="W713" s="8">
        <f t="shared" si="71"/>
        <v>0</v>
      </c>
      <c r="X713" t="s">
        <v>28</v>
      </c>
      <c r="Y713" t="s">
        <v>104</v>
      </c>
      <c r="Z713" t="s">
        <v>38</v>
      </c>
      <c r="AA713">
        <v>4</v>
      </c>
      <c r="AB713" t="s">
        <v>90</v>
      </c>
      <c r="AC713" t="s">
        <v>49</v>
      </c>
    </row>
    <row r="714" spans="1:29" x14ac:dyDescent="0.3">
      <c r="A714" t="s">
        <v>840</v>
      </c>
      <c r="B714" s="6">
        <v>45775</v>
      </c>
      <c r="C714" s="6" t="str">
        <f t="shared" si="66"/>
        <v>8 PM - 12 AM</v>
      </c>
      <c r="D714" s="4">
        <v>0.92013888888888884</v>
      </c>
      <c r="E714" t="s">
        <v>32</v>
      </c>
      <c r="F714" t="s">
        <v>24</v>
      </c>
      <c r="G714" t="s">
        <v>25</v>
      </c>
      <c r="H714" t="s">
        <v>102</v>
      </c>
      <c r="I714" t="s">
        <v>98</v>
      </c>
      <c r="J714" t="s">
        <v>45</v>
      </c>
      <c r="K714">
        <v>1</v>
      </c>
      <c r="L714" s="8">
        <v>7800</v>
      </c>
      <c r="M714" s="8" t="str">
        <f t="shared" si="67"/>
        <v>21-30%</v>
      </c>
      <c r="N714">
        <v>30</v>
      </c>
      <c r="O714" t="str">
        <f t="shared" si="68"/>
        <v>Valid</v>
      </c>
      <c r="P714" t="str">
        <f t="shared" si="69"/>
        <v>Match</v>
      </c>
      <c r="Q714" s="8">
        <v>7800</v>
      </c>
      <c r="R714" s="8">
        <v>2340</v>
      </c>
      <c r="S714" s="8">
        <v>5460</v>
      </c>
      <c r="T714" s="8">
        <v>5174.84</v>
      </c>
      <c r="U714" s="8">
        <v>285.16000000000003</v>
      </c>
      <c r="V714" s="8" t="b">
        <f t="shared" si="70"/>
        <v>0</v>
      </c>
      <c r="W714" s="8">
        <f t="shared" si="71"/>
        <v>0</v>
      </c>
      <c r="X714" t="s">
        <v>79</v>
      </c>
      <c r="Y714" t="s">
        <v>37</v>
      </c>
      <c r="Z714" t="s">
        <v>85</v>
      </c>
      <c r="AA714">
        <v>3</v>
      </c>
      <c r="AB714" t="s">
        <v>99</v>
      </c>
      <c r="AC714" t="s">
        <v>49</v>
      </c>
    </row>
    <row r="715" spans="1:29" x14ac:dyDescent="0.3">
      <c r="A715" t="s">
        <v>841</v>
      </c>
      <c r="B715" s="6">
        <v>45892</v>
      </c>
      <c r="C715" s="6" t="str">
        <f t="shared" si="66"/>
        <v>12 AM - 4 AM</v>
      </c>
      <c r="D715" s="4">
        <v>0.15</v>
      </c>
      <c r="E715" t="s">
        <v>77</v>
      </c>
      <c r="F715" t="s">
        <v>24</v>
      </c>
      <c r="G715" t="s">
        <v>61</v>
      </c>
      <c r="H715" t="s">
        <v>113</v>
      </c>
      <c r="I715" t="s">
        <v>63</v>
      </c>
      <c r="J715" t="s">
        <v>35</v>
      </c>
      <c r="K715">
        <v>2</v>
      </c>
      <c r="L715" s="8">
        <v>24650</v>
      </c>
      <c r="M715" s="8" t="str">
        <f t="shared" si="67"/>
        <v>1-10%</v>
      </c>
      <c r="N715">
        <v>5</v>
      </c>
      <c r="O715" t="str">
        <f t="shared" si="68"/>
        <v>Valid</v>
      </c>
      <c r="P715" t="str">
        <f t="shared" si="69"/>
        <v>Match</v>
      </c>
      <c r="Q715" s="8">
        <v>49300</v>
      </c>
      <c r="R715" s="8">
        <v>2465</v>
      </c>
      <c r="S715" s="8">
        <v>46835</v>
      </c>
      <c r="T715" s="8">
        <v>25939.37</v>
      </c>
      <c r="U715" s="8">
        <v>20895.63</v>
      </c>
      <c r="V715" s="8" t="b">
        <f t="shared" si="70"/>
        <v>0</v>
      </c>
      <c r="W715" s="8">
        <f t="shared" si="71"/>
        <v>0</v>
      </c>
      <c r="X715" t="s">
        <v>36</v>
      </c>
      <c r="Y715" t="s">
        <v>104</v>
      </c>
      <c r="Z715" t="s">
        <v>64</v>
      </c>
      <c r="AA715">
        <v>3</v>
      </c>
      <c r="AB715" t="s">
        <v>90</v>
      </c>
      <c r="AC715" t="s">
        <v>71</v>
      </c>
    </row>
    <row r="716" spans="1:29" x14ac:dyDescent="0.3">
      <c r="A716" t="s">
        <v>842</v>
      </c>
      <c r="B716" s="6">
        <v>45729</v>
      </c>
      <c r="C716" s="6" t="str">
        <f t="shared" si="66"/>
        <v>4 PM - 8 PM</v>
      </c>
      <c r="D716" s="4">
        <v>0.7895833333333333</v>
      </c>
      <c r="E716" t="s">
        <v>108</v>
      </c>
      <c r="F716" t="s">
        <v>51</v>
      </c>
      <c r="G716" t="s">
        <v>101</v>
      </c>
      <c r="H716" t="s">
        <v>26</v>
      </c>
      <c r="I716" t="s">
        <v>98</v>
      </c>
      <c r="J716" t="s">
        <v>45</v>
      </c>
      <c r="K716">
        <v>2</v>
      </c>
      <c r="L716" s="8">
        <v>8600</v>
      </c>
      <c r="M716" s="8" t="str">
        <f t="shared" si="67"/>
        <v>0%</v>
      </c>
      <c r="N716">
        <v>0</v>
      </c>
      <c r="O716" t="str">
        <f t="shared" si="68"/>
        <v>Valid</v>
      </c>
      <c r="P716" t="str">
        <f t="shared" si="69"/>
        <v>Match</v>
      </c>
      <c r="Q716" s="8">
        <v>17200</v>
      </c>
      <c r="R716" s="8">
        <v>0</v>
      </c>
      <c r="S716" s="8">
        <v>17200</v>
      </c>
      <c r="T716" s="8">
        <v>9286.58</v>
      </c>
      <c r="U716" s="8">
        <v>7913.42</v>
      </c>
      <c r="V716" s="8" t="b">
        <f t="shared" si="70"/>
        <v>0</v>
      </c>
      <c r="W716" s="8">
        <f t="shared" si="71"/>
        <v>0</v>
      </c>
      <c r="X716" t="s">
        <v>28</v>
      </c>
      <c r="Y716" t="s">
        <v>47</v>
      </c>
      <c r="Z716" t="s">
        <v>56</v>
      </c>
      <c r="AA716">
        <v>5</v>
      </c>
      <c r="AB716" t="s">
        <v>127</v>
      </c>
      <c r="AC716" t="s">
        <v>67</v>
      </c>
    </row>
    <row r="717" spans="1:29" x14ac:dyDescent="0.3">
      <c r="A717" t="s">
        <v>843</v>
      </c>
      <c r="B717" s="6">
        <v>45863</v>
      </c>
      <c r="C717" s="6" t="str">
        <f t="shared" si="66"/>
        <v>4 AM - 8 AM</v>
      </c>
      <c r="D717" s="4">
        <v>0.22708333333333333</v>
      </c>
      <c r="E717" t="s">
        <v>622</v>
      </c>
      <c r="F717" t="s">
        <v>51</v>
      </c>
      <c r="G717" t="s">
        <v>153</v>
      </c>
      <c r="H717" t="s">
        <v>62</v>
      </c>
      <c r="I717" t="s">
        <v>98</v>
      </c>
      <c r="J717" t="s">
        <v>35</v>
      </c>
      <c r="K717">
        <v>4</v>
      </c>
      <c r="L717" s="8">
        <v>3400</v>
      </c>
      <c r="M717" s="8" t="str">
        <f t="shared" si="67"/>
        <v>0%</v>
      </c>
      <c r="N717">
        <v>0</v>
      </c>
      <c r="O717" t="str">
        <f t="shared" si="68"/>
        <v>Valid</v>
      </c>
      <c r="P717" t="str">
        <f t="shared" si="69"/>
        <v>Match</v>
      </c>
      <c r="Q717" s="8">
        <v>13600</v>
      </c>
      <c r="R717" s="8">
        <v>0</v>
      </c>
      <c r="S717" s="8">
        <v>13600</v>
      </c>
      <c r="T717" s="8">
        <v>8084.2</v>
      </c>
      <c r="U717" s="8">
        <v>5515.8</v>
      </c>
      <c r="V717" s="8" t="b">
        <f t="shared" si="70"/>
        <v>0</v>
      </c>
      <c r="W717" s="8">
        <f t="shared" si="71"/>
        <v>0</v>
      </c>
      <c r="X717" t="s">
        <v>55</v>
      </c>
      <c r="Y717" t="s">
        <v>89</v>
      </c>
      <c r="Z717" t="s">
        <v>38</v>
      </c>
      <c r="AA717">
        <v>4.5</v>
      </c>
      <c r="AB717" t="s">
        <v>29</v>
      </c>
      <c r="AC717" t="s">
        <v>58</v>
      </c>
    </row>
    <row r="718" spans="1:29" x14ac:dyDescent="0.3">
      <c r="A718" t="s">
        <v>844</v>
      </c>
      <c r="B718" s="6">
        <v>45914</v>
      </c>
      <c r="C718" s="6" t="str">
        <f t="shared" si="66"/>
        <v>12 AM - 4 AM</v>
      </c>
      <c r="D718" s="4">
        <v>0.13263888888888889</v>
      </c>
      <c r="E718" t="s">
        <v>108</v>
      </c>
      <c r="F718" t="s">
        <v>24</v>
      </c>
      <c r="G718" t="s">
        <v>42</v>
      </c>
      <c r="H718" t="s">
        <v>53</v>
      </c>
      <c r="I718" t="s">
        <v>54</v>
      </c>
      <c r="J718" t="s">
        <v>45</v>
      </c>
      <c r="K718">
        <v>2</v>
      </c>
      <c r="L718" s="8">
        <v>91800</v>
      </c>
      <c r="M718" s="8" t="str">
        <f t="shared" si="67"/>
        <v>11-20%</v>
      </c>
      <c r="N718">
        <v>15</v>
      </c>
      <c r="O718" t="str">
        <f t="shared" si="68"/>
        <v>Valid</v>
      </c>
      <c r="P718" t="str">
        <f t="shared" si="69"/>
        <v>Match</v>
      </c>
      <c r="Q718" s="8">
        <v>183600</v>
      </c>
      <c r="R718" s="8">
        <v>27540</v>
      </c>
      <c r="S718" s="8">
        <v>156060</v>
      </c>
      <c r="T718" s="8">
        <v>99125.09</v>
      </c>
      <c r="U718" s="8">
        <v>56934.91</v>
      </c>
      <c r="V718" s="8" t="b">
        <f t="shared" si="70"/>
        <v>0</v>
      </c>
      <c r="W718" s="8">
        <f t="shared" si="71"/>
        <v>0</v>
      </c>
      <c r="X718" t="s">
        <v>79</v>
      </c>
      <c r="Y718" t="s">
        <v>104</v>
      </c>
      <c r="Z718" t="s">
        <v>45</v>
      </c>
      <c r="AA718">
        <v>4</v>
      </c>
      <c r="AB718" t="s">
        <v>155</v>
      </c>
      <c r="AC718" t="s">
        <v>30</v>
      </c>
    </row>
    <row r="719" spans="1:29" x14ac:dyDescent="0.3">
      <c r="A719" t="s">
        <v>845</v>
      </c>
      <c r="B719" s="6">
        <v>45825</v>
      </c>
      <c r="C719" s="6" t="str">
        <f t="shared" si="66"/>
        <v>4 AM - 8 AM</v>
      </c>
      <c r="D719" s="4">
        <v>0.1701388888888889</v>
      </c>
      <c r="E719" t="s">
        <v>32</v>
      </c>
      <c r="F719" t="s">
        <v>24</v>
      </c>
      <c r="G719" t="s">
        <v>25</v>
      </c>
      <c r="H719" t="s">
        <v>102</v>
      </c>
      <c r="I719" t="s">
        <v>82</v>
      </c>
      <c r="J719" t="s">
        <v>35</v>
      </c>
      <c r="K719">
        <v>2</v>
      </c>
      <c r="L719" s="8">
        <v>7750</v>
      </c>
      <c r="M719" s="8" t="str">
        <f t="shared" si="67"/>
        <v>0%</v>
      </c>
      <c r="N719">
        <v>0</v>
      </c>
      <c r="O719" t="str">
        <f t="shared" si="68"/>
        <v>Valid</v>
      </c>
      <c r="P719" t="str">
        <f t="shared" si="69"/>
        <v>Match</v>
      </c>
      <c r="Q719" s="8">
        <v>15500</v>
      </c>
      <c r="R719" s="8">
        <v>0</v>
      </c>
      <c r="S719" s="8">
        <v>15500</v>
      </c>
      <c r="T719" s="8">
        <v>8793.2199999999993</v>
      </c>
      <c r="U719" s="8">
        <v>6706.78</v>
      </c>
      <c r="V719" s="8" t="b">
        <f t="shared" si="70"/>
        <v>0</v>
      </c>
      <c r="W719" s="8">
        <f t="shared" si="71"/>
        <v>0</v>
      </c>
      <c r="X719" t="s">
        <v>79</v>
      </c>
      <c r="Y719" t="s">
        <v>94</v>
      </c>
      <c r="Z719" t="s">
        <v>85</v>
      </c>
      <c r="AA719">
        <v>3</v>
      </c>
      <c r="AB719" t="s">
        <v>48</v>
      </c>
      <c r="AC719" t="s">
        <v>86</v>
      </c>
    </row>
    <row r="720" spans="1:29" x14ac:dyDescent="0.3">
      <c r="A720" t="s">
        <v>846</v>
      </c>
      <c r="B720" s="6">
        <v>45970</v>
      </c>
      <c r="C720" s="6" t="str">
        <f t="shared" si="66"/>
        <v>8 PM - 12 AM</v>
      </c>
      <c r="D720" s="4">
        <v>0.87291666666666667</v>
      </c>
      <c r="E720" t="s">
        <v>77</v>
      </c>
      <c r="F720" t="s">
        <v>24</v>
      </c>
      <c r="G720" t="s">
        <v>120</v>
      </c>
      <c r="H720" t="s">
        <v>26</v>
      </c>
      <c r="I720" t="s">
        <v>92</v>
      </c>
      <c r="J720" t="s">
        <v>93</v>
      </c>
      <c r="K720">
        <v>2</v>
      </c>
      <c r="L720" s="8">
        <v>12400</v>
      </c>
      <c r="M720" s="8" t="str">
        <f t="shared" si="67"/>
        <v>21-30%</v>
      </c>
      <c r="N720">
        <v>30</v>
      </c>
      <c r="O720" t="str">
        <f t="shared" si="68"/>
        <v>Valid</v>
      </c>
      <c r="P720" t="str">
        <f t="shared" si="69"/>
        <v>Match</v>
      </c>
      <c r="Q720" s="8">
        <v>24800</v>
      </c>
      <c r="R720" s="8">
        <v>7440</v>
      </c>
      <c r="S720" s="8">
        <v>17360</v>
      </c>
      <c r="T720" s="8">
        <v>13949.89</v>
      </c>
      <c r="U720" s="8">
        <v>3410.11</v>
      </c>
      <c r="V720" s="8" t="b">
        <f t="shared" si="70"/>
        <v>0</v>
      </c>
      <c r="W720" s="8">
        <f t="shared" si="71"/>
        <v>0</v>
      </c>
      <c r="X720" t="s">
        <v>36</v>
      </c>
      <c r="Y720" t="s">
        <v>104</v>
      </c>
      <c r="Z720" t="s">
        <v>56</v>
      </c>
      <c r="AA720">
        <v>4</v>
      </c>
      <c r="AB720" t="s">
        <v>75</v>
      </c>
      <c r="AC720" t="s">
        <v>30</v>
      </c>
    </row>
    <row r="721" spans="1:29" x14ac:dyDescent="0.3">
      <c r="A721" t="s">
        <v>847</v>
      </c>
      <c r="B721" s="6">
        <v>45813</v>
      </c>
      <c r="C721" s="6" t="str">
        <f t="shared" si="66"/>
        <v>4 PM - 8 PM</v>
      </c>
      <c r="D721" s="4">
        <v>0.72013888888888888</v>
      </c>
      <c r="E721" t="s">
        <v>23</v>
      </c>
      <c r="F721" t="s">
        <v>24</v>
      </c>
      <c r="G721" t="s">
        <v>84</v>
      </c>
      <c r="H721" t="s">
        <v>53</v>
      </c>
      <c r="I721" t="s">
        <v>98</v>
      </c>
      <c r="J721" t="s">
        <v>35</v>
      </c>
      <c r="K721">
        <v>1</v>
      </c>
      <c r="L721" s="8">
        <v>10800</v>
      </c>
      <c r="M721" s="8" t="str">
        <f t="shared" si="67"/>
        <v>11-20%</v>
      </c>
      <c r="N721">
        <v>15</v>
      </c>
      <c r="O721" t="str">
        <f t="shared" si="68"/>
        <v>Valid</v>
      </c>
      <c r="P721" t="str">
        <f t="shared" si="69"/>
        <v>Match</v>
      </c>
      <c r="Q721" s="8">
        <v>10800</v>
      </c>
      <c r="R721" s="8">
        <v>1620</v>
      </c>
      <c r="S721" s="8">
        <v>9180</v>
      </c>
      <c r="T721" s="8">
        <v>6547.94</v>
      </c>
      <c r="U721" s="8">
        <v>2632.06</v>
      </c>
      <c r="V721" s="8" t="b">
        <f t="shared" si="70"/>
        <v>0</v>
      </c>
      <c r="W721" s="8">
        <f t="shared" si="71"/>
        <v>0</v>
      </c>
      <c r="X721" t="s">
        <v>36</v>
      </c>
      <c r="Y721" t="s">
        <v>104</v>
      </c>
      <c r="Z721" t="s">
        <v>1138</v>
      </c>
      <c r="AA721">
        <v>4</v>
      </c>
      <c r="AB721" t="s">
        <v>48</v>
      </c>
      <c r="AC721" t="s">
        <v>67</v>
      </c>
    </row>
    <row r="722" spans="1:29" x14ac:dyDescent="0.3">
      <c r="A722" t="s">
        <v>848</v>
      </c>
      <c r="B722" s="6">
        <v>45901</v>
      </c>
      <c r="C722" s="6" t="str">
        <f t="shared" si="66"/>
        <v>12 AM - 4 AM</v>
      </c>
      <c r="D722" s="4">
        <v>0.13680555555555557</v>
      </c>
      <c r="E722" t="s">
        <v>77</v>
      </c>
      <c r="F722" t="s">
        <v>24</v>
      </c>
      <c r="G722" t="s">
        <v>120</v>
      </c>
      <c r="H722" t="s">
        <v>34</v>
      </c>
      <c r="I722" t="s">
        <v>98</v>
      </c>
      <c r="J722" t="s">
        <v>35</v>
      </c>
      <c r="K722">
        <v>2</v>
      </c>
      <c r="L722" s="8">
        <v>6800</v>
      </c>
      <c r="M722" s="8" t="str">
        <f t="shared" si="67"/>
        <v>1-10%</v>
      </c>
      <c r="N722">
        <v>5</v>
      </c>
      <c r="O722" t="str">
        <f t="shared" si="68"/>
        <v>Valid</v>
      </c>
      <c r="P722" t="str">
        <f t="shared" si="69"/>
        <v>Match</v>
      </c>
      <c r="Q722" s="8">
        <v>13600</v>
      </c>
      <c r="R722" s="8">
        <v>680</v>
      </c>
      <c r="S722" s="8">
        <v>12920</v>
      </c>
      <c r="T722" s="8">
        <v>9173.25</v>
      </c>
      <c r="U722" s="8">
        <v>3746.75</v>
      </c>
      <c r="V722" s="8" t="b">
        <f t="shared" si="70"/>
        <v>0</v>
      </c>
      <c r="W722" s="8">
        <f t="shared" si="71"/>
        <v>0</v>
      </c>
      <c r="X722" t="s">
        <v>79</v>
      </c>
      <c r="Y722" t="s">
        <v>47</v>
      </c>
      <c r="Z722" t="s">
        <v>45</v>
      </c>
      <c r="AA722">
        <v>3.5</v>
      </c>
      <c r="AB722" t="s">
        <v>155</v>
      </c>
      <c r="AC722" t="s">
        <v>49</v>
      </c>
    </row>
    <row r="723" spans="1:29" x14ac:dyDescent="0.3">
      <c r="A723" t="s">
        <v>849</v>
      </c>
      <c r="B723" s="6">
        <v>45928</v>
      </c>
      <c r="C723" s="6" t="str">
        <f t="shared" si="66"/>
        <v>12 AM - 4 AM</v>
      </c>
      <c r="D723" s="4">
        <v>5.1388888888888887E-2</v>
      </c>
      <c r="E723" t="s">
        <v>23</v>
      </c>
      <c r="F723" t="s">
        <v>51</v>
      </c>
      <c r="G723" t="s">
        <v>153</v>
      </c>
      <c r="H723" t="s">
        <v>102</v>
      </c>
      <c r="I723" t="s">
        <v>103</v>
      </c>
      <c r="J723" t="s">
        <v>93</v>
      </c>
      <c r="K723">
        <v>2</v>
      </c>
      <c r="L723" s="8">
        <v>3300</v>
      </c>
      <c r="M723" s="8" t="str">
        <f t="shared" si="67"/>
        <v>21-30%</v>
      </c>
      <c r="N723">
        <v>30</v>
      </c>
      <c r="O723" t="str">
        <f t="shared" si="68"/>
        <v>Valid</v>
      </c>
      <c r="P723" t="str">
        <f t="shared" si="69"/>
        <v>Match</v>
      </c>
      <c r="Q723" s="8">
        <v>6600</v>
      </c>
      <c r="R723" s="8">
        <v>1980</v>
      </c>
      <c r="S723" s="8">
        <v>4620</v>
      </c>
      <c r="T723" s="8">
        <v>4846.0200000000004</v>
      </c>
      <c r="U723" s="8">
        <v>-226.02</v>
      </c>
      <c r="V723" s="8" t="b">
        <f t="shared" si="70"/>
        <v>1</v>
      </c>
      <c r="W723" s="8">
        <f t="shared" si="71"/>
        <v>226.02</v>
      </c>
      <c r="X723" t="s">
        <v>55</v>
      </c>
      <c r="Y723" t="s">
        <v>47</v>
      </c>
      <c r="Z723" t="s">
        <v>64</v>
      </c>
      <c r="AA723">
        <v>2.5</v>
      </c>
      <c r="AB723" t="s">
        <v>155</v>
      </c>
      <c r="AC723" t="s">
        <v>30</v>
      </c>
    </row>
    <row r="724" spans="1:29" x14ac:dyDescent="0.3">
      <c r="A724" t="s">
        <v>850</v>
      </c>
      <c r="B724" s="6">
        <v>45757</v>
      </c>
      <c r="C724" s="6" t="str">
        <f t="shared" si="66"/>
        <v>4 AM - 8 AM</v>
      </c>
      <c r="D724" s="4">
        <v>0.21249999999999999</v>
      </c>
      <c r="E724" t="s">
        <v>32</v>
      </c>
      <c r="F724" t="s">
        <v>24</v>
      </c>
      <c r="G724" t="s">
        <v>42</v>
      </c>
      <c r="H724" t="s">
        <v>102</v>
      </c>
      <c r="I724" t="s">
        <v>125</v>
      </c>
      <c r="J724" t="s">
        <v>35</v>
      </c>
      <c r="K724">
        <v>1</v>
      </c>
      <c r="L724" s="8">
        <v>53050</v>
      </c>
      <c r="M724" s="8" t="str">
        <f t="shared" si="67"/>
        <v>1-10%</v>
      </c>
      <c r="N724">
        <v>10</v>
      </c>
      <c r="O724" t="str">
        <f t="shared" si="68"/>
        <v>Valid</v>
      </c>
      <c r="P724" t="str">
        <f t="shared" si="69"/>
        <v>Match</v>
      </c>
      <c r="Q724" s="8">
        <v>53050</v>
      </c>
      <c r="R724" s="8">
        <v>5305</v>
      </c>
      <c r="S724" s="8">
        <v>47745</v>
      </c>
      <c r="T724" s="8">
        <v>27603.05</v>
      </c>
      <c r="U724" s="8">
        <v>20141.95</v>
      </c>
      <c r="V724" s="8" t="b">
        <f t="shared" si="70"/>
        <v>0</v>
      </c>
      <c r="W724" s="8">
        <f t="shared" si="71"/>
        <v>0</v>
      </c>
      <c r="X724" t="s">
        <v>55</v>
      </c>
      <c r="Y724" t="s">
        <v>70</v>
      </c>
      <c r="Z724" t="s">
        <v>64</v>
      </c>
      <c r="AA724">
        <v>5</v>
      </c>
      <c r="AB724" t="s">
        <v>99</v>
      </c>
      <c r="AC724" t="s">
        <v>67</v>
      </c>
    </row>
    <row r="725" spans="1:29" x14ac:dyDescent="0.3">
      <c r="A725" t="s">
        <v>851</v>
      </c>
      <c r="B725" s="6">
        <v>46001</v>
      </c>
      <c r="C725" s="6" t="str">
        <f t="shared" si="66"/>
        <v>8 PM - 12 AM</v>
      </c>
      <c r="D725" s="4">
        <v>0.86527777777777781</v>
      </c>
      <c r="E725" t="s">
        <v>60</v>
      </c>
      <c r="F725" t="s">
        <v>24</v>
      </c>
      <c r="G725" t="s">
        <v>120</v>
      </c>
      <c r="H725" t="s">
        <v>74</v>
      </c>
      <c r="I725" t="s">
        <v>63</v>
      </c>
      <c r="J725" t="s">
        <v>35</v>
      </c>
      <c r="K725">
        <v>1</v>
      </c>
      <c r="L725" s="8">
        <v>14800</v>
      </c>
      <c r="M725" s="8" t="str">
        <f t="shared" si="67"/>
        <v>0%</v>
      </c>
      <c r="N725">
        <v>0</v>
      </c>
      <c r="O725" t="str">
        <f t="shared" si="68"/>
        <v>Valid</v>
      </c>
      <c r="P725" t="str">
        <f t="shared" si="69"/>
        <v>Match</v>
      </c>
      <c r="Q725" s="8">
        <v>14800</v>
      </c>
      <c r="R725" s="8">
        <v>0</v>
      </c>
      <c r="S725" s="8">
        <v>14800</v>
      </c>
      <c r="T725" s="8">
        <v>10371.33</v>
      </c>
      <c r="U725" s="8">
        <v>4428.67</v>
      </c>
      <c r="V725" s="8" t="b">
        <f t="shared" si="70"/>
        <v>0</v>
      </c>
      <c r="W725" s="8">
        <f t="shared" si="71"/>
        <v>0</v>
      </c>
      <c r="X725" t="s">
        <v>79</v>
      </c>
      <c r="Y725" t="s">
        <v>89</v>
      </c>
      <c r="Z725" t="s">
        <v>45</v>
      </c>
      <c r="AA725">
        <v>5</v>
      </c>
      <c r="AB725" t="s">
        <v>39</v>
      </c>
      <c r="AC725" t="s">
        <v>40</v>
      </c>
    </row>
    <row r="726" spans="1:29" x14ac:dyDescent="0.3">
      <c r="A726" t="s">
        <v>852</v>
      </c>
      <c r="B726" s="6">
        <v>45900</v>
      </c>
      <c r="C726" s="6" t="str">
        <f t="shared" si="66"/>
        <v>4 AM - 8 AM</v>
      </c>
      <c r="D726" s="4">
        <v>0.25208333333333333</v>
      </c>
      <c r="E726" t="s">
        <v>23</v>
      </c>
      <c r="F726" t="s">
        <v>96</v>
      </c>
      <c r="G726" t="s">
        <v>97</v>
      </c>
      <c r="H726" t="s">
        <v>74</v>
      </c>
      <c r="I726" t="s">
        <v>103</v>
      </c>
      <c r="J726" t="s">
        <v>93</v>
      </c>
      <c r="K726">
        <v>2</v>
      </c>
      <c r="L726" s="8">
        <v>1450</v>
      </c>
      <c r="M726" s="8" t="str">
        <f t="shared" si="67"/>
        <v>21-30%</v>
      </c>
      <c r="N726">
        <v>30</v>
      </c>
      <c r="O726" t="str">
        <f t="shared" si="68"/>
        <v>Valid</v>
      </c>
      <c r="P726" t="str">
        <f t="shared" si="69"/>
        <v>Match</v>
      </c>
      <c r="Q726" s="8">
        <v>2900</v>
      </c>
      <c r="R726" s="8">
        <v>870</v>
      </c>
      <c r="S726" s="8">
        <v>2030</v>
      </c>
      <c r="T726" s="8">
        <v>1782.41</v>
      </c>
      <c r="U726" s="8">
        <v>247.59</v>
      </c>
      <c r="V726" s="8" t="b">
        <f t="shared" si="70"/>
        <v>0</v>
      </c>
      <c r="W726" s="8">
        <f t="shared" si="71"/>
        <v>0</v>
      </c>
      <c r="X726" t="s">
        <v>36</v>
      </c>
      <c r="Y726" t="s">
        <v>37</v>
      </c>
      <c r="Z726" t="s">
        <v>56</v>
      </c>
      <c r="AA726">
        <v>3</v>
      </c>
      <c r="AB726" t="s">
        <v>90</v>
      </c>
      <c r="AC726" t="s">
        <v>30</v>
      </c>
    </row>
    <row r="727" spans="1:29" x14ac:dyDescent="0.3">
      <c r="A727" t="s">
        <v>853</v>
      </c>
      <c r="B727" s="6">
        <v>45833</v>
      </c>
      <c r="C727" s="6" t="str">
        <f t="shared" si="66"/>
        <v>8 AM - 12 PM</v>
      </c>
      <c r="D727" s="4">
        <v>0.46597222222222223</v>
      </c>
      <c r="E727" t="s">
        <v>77</v>
      </c>
      <c r="F727" t="s">
        <v>96</v>
      </c>
      <c r="G727" t="s">
        <v>145</v>
      </c>
      <c r="H727" t="s">
        <v>53</v>
      </c>
      <c r="I727" t="s">
        <v>44</v>
      </c>
      <c r="J727" t="s">
        <v>35</v>
      </c>
      <c r="K727">
        <v>1</v>
      </c>
      <c r="L727" s="8">
        <v>2250</v>
      </c>
      <c r="M727" s="8" t="str">
        <f t="shared" si="67"/>
        <v>11-20%</v>
      </c>
      <c r="N727">
        <v>15</v>
      </c>
      <c r="O727" t="str">
        <f t="shared" si="68"/>
        <v>Valid</v>
      </c>
      <c r="P727" t="str">
        <f t="shared" si="69"/>
        <v>Match</v>
      </c>
      <c r="Q727" s="8">
        <v>2250</v>
      </c>
      <c r="R727" s="8">
        <v>337.5</v>
      </c>
      <c r="S727" s="8">
        <v>1912.5</v>
      </c>
      <c r="T727" s="8">
        <v>1644.47</v>
      </c>
      <c r="U727" s="8">
        <v>268.02999999999997</v>
      </c>
      <c r="V727" s="8" t="b">
        <f t="shared" si="70"/>
        <v>0</v>
      </c>
      <c r="W727" s="8">
        <f t="shared" si="71"/>
        <v>0</v>
      </c>
      <c r="X727" t="s">
        <v>79</v>
      </c>
      <c r="Y727" t="s">
        <v>104</v>
      </c>
      <c r="Z727" t="s">
        <v>85</v>
      </c>
      <c r="AA727">
        <v>4</v>
      </c>
      <c r="AB727" t="s">
        <v>48</v>
      </c>
      <c r="AC727" t="s">
        <v>40</v>
      </c>
    </row>
    <row r="728" spans="1:29" x14ac:dyDescent="0.3">
      <c r="A728" t="s">
        <v>854</v>
      </c>
      <c r="B728" s="6">
        <v>45664</v>
      </c>
      <c r="C728" s="6" t="str">
        <f t="shared" si="66"/>
        <v>12 AM - 4 AM</v>
      </c>
      <c r="D728" s="4">
        <v>0.15902777777777777</v>
      </c>
      <c r="E728" t="s">
        <v>32</v>
      </c>
      <c r="F728" t="s">
        <v>24</v>
      </c>
      <c r="G728" t="s">
        <v>110</v>
      </c>
      <c r="H728" t="s">
        <v>62</v>
      </c>
      <c r="I728" t="s">
        <v>98</v>
      </c>
      <c r="J728" t="s">
        <v>35</v>
      </c>
      <c r="K728">
        <v>3</v>
      </c>
      <c r="L728" s="8">
        <v>2000</v>
      </c>
      <c r="M728" s="8" t="str">
        <f t="shared" si="67"/>
        <v>1-10%</v>
      </c>
      <c r="N728">
        <v>10</v>
      </c>
      <c r="O728" t="str">
        <f t="shared" si="68"/>
        <v>Valid</v>
      </c>
      <c r="P728" t="str">
        <f t="shared" si="69"/>
        <v>Match</v>
      </c>
      <c r="Q728" s="8">
        <v>6000</v>
      </c>
      <c r="R728" s="8">
        <v>600</v>
      </c>
      <c r="S728" s="8">
        <v>5400</v>
      </c>
      <c r="T728" s="8">
        <v>4198.7700000000004</v>
      </c>
      <c r="U728" s="8">
        <v>1201.23</v>
      </c>
      <c r="V728" s="8" t="b">
        <f t="shared" si="70"/>
        <v>0</v>
      </c>
      <c r="W728" s="8">
        <f t="shared" si="71"/>
        <v>0</v>
      </c>
      <c r="X728" t="s">
        <v>36</v>
      </c>
      <c r="Y728" t="s">
        <v>104</v>
      </c>
      <c r="Z728" t="s">
        <v>64</v>
      </c>
      <c r="AA728">
        <v>3.5</v>
      </c>
      <c r="AB728" t="s">
        <v>151</v>
      </c>
      <c r="AC728" t="s">
        <v>86</v>
      </c>
    </row>
    <row r="729" spans="1:29" x14ac:dyDescent="0.3">
      <c r="A729" t="s">
        <v>855</v>
      </c>
      <c r="B729" s="6">
        <v>45849</v>
      </c>
      <c r="C729" s="6" t="str">
        <f t="shared" si="66"/>
        <v>4 PM - 8 PM</v>
      </c>
      <c r="D729" s="4">
        <v>0.69861111111111107</v>
      </c>
      <c r="E729" t="s">
        <v>69</v>
      </c>
      <c r="F729" t="s">
        <v>24</v>
      </c>
      <c r="G729" t="s">
        <v>25</v>
      </c>
      <c r="H729" t="s">
        <v>26</v>
      </c>
      <c r="I729" t="s">
        <v>82</v>
      </c>
      <c r="J729" t="s">
        <v>35</v>
      </c>
      <c r="K729">
        <v>1</v>
      </c>
      <c r="L729" s="8">
        <v>6300</v>
      </c>
      <c r="M729" s="8" t="str">
        <f t="shared" si="67"/>
        <v>21-30%</v>
      </c>
      <c r="N729">
        <v>25</v>
      </c>
      <c r="O729" t="str">
        <f t="shared" si="68"/>
        <v>Valid</v>
      </c>
      <c r="P729" t="str">
        <f t="shared" si="69"/>
        <v>Match</v>
      </c>
      <c r="Q729" s="8">
        <v>6300</v>
      </c>
      <c r="R729" s="8">
        <v>1575</v>
      </c>
      <c r="S729" s="8">
        <v>4725</v>
      </c>
      <c r="T729" s="8">
        <v>4410.1400000000003</v>
      </c>
      <c r="U729" s="8">
        <v>314.86</v>
      </c>
      <c r="V729" s="8" t="b">
        <f t="shared" si="70"/>
        <v>0</v>
      </c>
      <c r="W729" s="8">
        <f t="shared" si="71"/>
        <v>0</v>
      </c>
      <c r="X729" t="s">
        <v>79</v>
      </c>
      <c r="Y729" t="s">
        <v>70</v>
      </c>
      <c r="Z729" t="s">
        <v>45</v>
      </c>
      <c r="AA729">
        <v>4</v>
      </c>
      <c r="AB729" t="s">
        <v>29</v>
      </c>
      <c r="AC729" t="s">
        <v>58</v>
      </c>
    </row>
    <row r="730" spans="1:29" x14ac:dyDescent="0.3">
      <c r="A730" t="s">
        <v>856</v>
      </c>
      <c r="B730" s="6">
        <v>45726</v>
      </c>
      <c r="C730" s="6" t="str">
        <f t="shared" si="66"/>
        <v>4 PM - 8 PM</v>
      </c>
      <c r="D730" s="4">
        <v>0.68680555555555556</v>
      </c>
      <c r="E730" t="s">
        <v>60</v>
      </c>
      <c r="F730" t="s">
        <v>96</v>
      </c>
      <c r="G730" t="s">
        <v>129</v>
      </c>
      <c r="H730" t="s">
        <v>43</v>
      </c>
      <c r="I730" t="s">
        <v>98</v>
      </c>
      <c r="J730" t="s">
        <v>35</v>
      </c>
      <c r="K730">
        <v>5</v>
      </c>
      <c r="L730" s="8">
        <v>1650</v>
      </c>
      <c r="M730" s="8" t="str">
        <f t="shared" si="67"/>
        <v>11-20%</v>
      </c>
      <c r="N730">
        <v>20</v>
      </c>
      <c r="O730" t="str">
        <f t="shared" si="68"/>
        <v>Valid</v>
      </c>
      <c r="P730" t="str">
        <f t="shared" si="69"/>
        <v>Match</v>
      </c>
      <c r="Q730" s="8">
        <v>8250</v>
      </c>
      <c r="R730" s="8">
        <v>1650</v>
      </c>
      <c r="S730" s="8">
        <v>6600</v>
      </c>
      <c r="T730" s="8">
        <v>5241.6400000000003</v>
      </c>
      <c r="U730" s="8">
        <v>1358.36</v>
      </c>
      <c r="V730" s="8" t="b">
        <f t="shared" si="70"/>
        <v>0</v>
      </c>
      <c r="W730" s="8">
        <f t="shared" si="71"/>
        <v>0</v>
      </c>
      <c r="X730" t="s">
        <v>79</v>
      </c>
      <c r="Y730" t="s">
        <v>1137</v>
      </c>
      <c r="Z730" t="s">
        <v>85</v>
      </c>
      <c r="AA730">
        <v>5</v>
      </c>
      <c r="AB730" t="s">
        <v>127</v>
      </c>
      <c r="AC730" t="s">
        <v>49</v>
      </c>
    </row>
    <row r="731" spans="1:29" x14ac:dyDescent="0.3">
      <c r="A731" t="s">
        <v>857</v>
      </c>
      <c r="B731" s="6">
        <v>45688</v>
      </c>
      <c r="C731" s="6" t="str">
        <f t="shared" si="66"/>
        <v>4 AM - 8 AM</v>
      </c>
      <c r="D731" s="4">
        <v>0.19791666666666666</v>
      </c>
      <c r="E731" t="s">
        <v>60</v>
      </c>
      <c r="F731" t="s">
        <v>24</v>
      </c>
      <c r="G731" t="s">
        <v>25</v>
      </c>
      <c r="H731" t="s">
        <v>113</v>
      </c>
      <c r="I731" t="s">
        <v>82</v>
      </c>
      <c r="J731" t="s">
        <v>35</v>
      </c>
      <c r="K731">
        <v>1</v>
      </c>
      <c r="L731" s="8">
        <v>2550</v>
      </c>
      <c r="M731" s="8" t="str">
        <f t="shared" si="67"/>
        <v>1-10%</v>
      </c>
      <c r="N731">
        <v>5</v>
      </c>
      <c r="O731" t="str">
        <f t="shared" si="68"/>
        <v>Valid</v>
      </c>
      <c r="P731" t="str">
        <f t="shared" si="69"/>
        <v>Match</v>
      </c>
      <c r="Q731" s="8">
        <v>2550</v>
      </c>
      <c r="R731" s="8">
        <v>127.5</v>
      </c>
      <c r="S731" s="8">
        <v>2422.5</v>
      </c>
      <c r="T731" s="8">
        <v>1561.52</v>
      </c>
      <c r="U731" s="8">
        <v>860.98</v>
      </c>
      <c r="V731" s="8" t="b">
        <f t="shared" si="70"/>
        <v>0</v>
      </c>
      <c r="W731" s="8">
        <f t="shared" si="71"/>
        <v>0</v>
      </c>
      <c r="X731" t="s">
        <v>28</v>
      </c>
      <c r="Y731" t="s">
        <v>65</v>
      </c>
      <c r="Z731" t="s">
        <v>45</v>
      </c>
      <c r="AA731">
        <v>4</v>
      </c>
      <c r="AB731" t="s">
        <v>151</v>
      </c>
      <c r="AC731" t="s">
        <v>58</v>
      </c>
    </row>
    <row r="732" spans="1:29" x14ac:dyDescent="0.3">
      <c r="A732" t="s">
        <v>858</v>
      </c>
      <c r="B732" s="6">
        <v>45936</v>
      </c>
      <c r="C732" s="6" t="str">
        <f t="shared" si="66"/>
        <v>12 PM - 4 PM</v>
      </c>
      <c r="D732" s="4">
        <v>0.50763888888888886</v>
      </c>
      <c r="E732" t="s">
        <v>157</v>
      </c>
      <c r="F732" t="s">
        <v>24</v>
      </c>
      <c r="G732" t="s">
        <v>88</v>
      </c>
      <c r="H732" t="s">
        <v>102</v>
      </c>
      <c r="I732" t="s">
        <v>98</v>
      </c>
      <c r="J732" t="s">
        <v>93</v>
      </c>
      <c r="K732">
        <v>3</v>
      </c>
      <c r="L732" s="8">
        <v>2600</v>
      </c>
      <c r="M732" s="8" t="str">
        <f t="shared" si="67"/>
        <v>1-10%</v>
      </c>
      <c r="N732">
        <v>10</v>
      </c>
      <c r="O732" t="str">
        <f t="shared" si="68"/>
        <v>Valid</v>
      </c>
      <c r="P732" t="str">
        <f t="shared" si="69"/>
        <v>Match</v>
      </c>
      <c r="Q732" s="8">
        <v>7800</v>
      </c>
      <c r="R732" s="8">
        <v>780</v>
      </c>
      <c r="S732" s="8">
        <v>7020</v>
      </c>
      <c r="T732" s="8">
        <v>4212.3900000000003</v>
      </c>
      <c r="U732" s="8">
        <v>2807.61</v>
      </c>
      <c r="V732" s="8" t="b">
        <f t="shared" si="70"/>
        <v>0</v>
      </c>
      <c r="W732" s="8">
        <f t="shared" si="71"/>
        <v>0</v>
      </c>
      <c r="X732" t="s">
        <v>28</v>
      </c>
      <c r="Y732" t="s">
        <v>104</v>
      </c>
      <c r="Z732" t="s">
        <v>56</v>
      </c>
      <c r="AA732">
        <v>3</v>
      </c>
      <c r="AB732" t="s">
        <v>57</v>
      </c>
      <c r="AC732" t="s">
        <v>49</v>
      </c>
    </row>
    <row r="733" spans="1:29" x14ac:dyDescent="0.3">
      <c r="A733" t="s">
        <v>859</v>
      </c>
      <c r="B733" s="6">
        <v>45975</v>
      </c>
      <c r="C733" s="6" t="str">
        <f t="shared" si="66"/>
        <v>12 PM - 4 PM</v>
      </c>
      <c r="D733" s="4">
        <v>0.5131944444444444</v>
      </c>
      <c r="E733" t="s">
        <v>77</v>
      </c>
      <c r="F733" t="s">
        <v>96</v>
      </c>
      <c r="G733" t="s">
        <v>134</v>
      </c>
      <c r="H733" t="s">
        <v>26</v>
      </c>
      <c r="I733" t="s">
        <v>44</v>
      </c>
      <c r="J733" t="s">
        <v>45</v>
      </c>
      <c r="K733">
        <v>2</v>
      </c>
      <c r="L733" s="8">
        <v>4800</v>
      </c>
      <c r="M733" s="8" t="str">
        <f t="shared" si="67"/>
        <v>0%</v>
      </c>
      <c r="N733">
        <v>0</v>
      </c>
      <c r="O733" t="str">
        <f t="shared" si="68"/>
        <v>Valid</v>
      </c>
      <c r="P733" t="str">
        <f t="shared" si="69"/>
        <v>Match</v>
      </c>
      <c r="Q733" s="8">
        <v>9600</v>
      </c>
      <c r="R733" s="8">
        <v>0</v>
      </c>
      <c r="S733" s="8">
        <v>9600</v>
      </c>
      <c r="T733" s="8">
        <v>5527.72</v>
      </c>
      <c r="U733" s="8">
        <v>4072.28</v>
      </c>
      <c r="V733" s="8" t="b">
        <f t="shared" si="70"/>
        <v>0</v>
      </c>
      <c r="W733" s="8">
        <f t="shared" si="71"/>
        <v>0</v>
      </c>
      <c r="X733" t="s">
        <v>79</v>
      </c>
      <c r="Y733" t="s">
        <v>70</v>
      </c>
      <c r="Z733" t="s">
        <v>80</v>
      </c>
      <c r="AA733">
        <v>4.5</v>
      </c>
      <c r="AB733" t="s">
        <v>75</v>
      </c>
      <c r="AC733" t="s">
        <v>58</v>
      </c>
    </row>
    <row r="734" spans="1:29" x14ac:dyDescent="0.3">
      <c r="A734" t="s">
        <v>860</v>
      </c>
      <c r="B734" s="6">
        <v>45822</v>
      </c>
      <c r="C734" s="6" t="str">
        <f t="shared" si="66"/>
        <v>12 PM - 4 PM</v>
      </c>
      <c r="D734" s="4">
        <v>0.54027777777777775</v>
      </c>
      <c r="E734" t="s">
        <v>108</v>
      </c>
      <c r="F734" t="s">
        <v>96</v>
      </c>
      <c r="G734" t="s">
        <v>134</v>
      </c>
      <c r="H734" t="s">
        <v>113</v>
      </c>
      <c r="I734" t="s">
        <v>125</v>
      </c>
      <c r="J734" t="s">
        <v>78</v>
      </c>
      <c r="K734">
        <v>1</v>
      </c>
      <c r="L734" s="8">
        <v>5650</v>
      </c>
      <c r="M734" s="8" t="str">
        <f t="shared" si="67"/>
        <v>0%</v>
      </c>
      <c r="N734">
        <v>0</v>
      </c>
      <c r="O734" t="str">
        <f t="shared" si="68"/>
        <v>Valid</v>
      </c>
      <c r="P734" t="str">
        <f t="shared" si="69"/>
        <v>Match</v>
      </c>
      <c r="Q734" s="8">
        <v>5650</v>
      </c>
      <c r="R734" s="8">
        <v>0</v>
      </c>
      <c r="S734" s="8">
        <v>5650</v>
      </c>
      <c r="T734" s="8">
        <v>3786.41</v>
      </c>
      <c r="U734" s="8">
        <v>1863.59</v>
      </c>
      <c r="V734" s="8" t="b">
        <f t="shared" si="70"/>
        <v>0</v>
      </c>
      <c r="W734" s="8">
        <f t="shared" si="71"/>
        <v>0</v>
      </c>
      <c r="X734" t="s">
        <v>55</v>
      </c>
      <c r="Y734" t="s">
        <v>94</v>
      </c>
      <c r="Z734" t="s">
        <v>80</v>
      </c>
      <c r="AA734">
        <v>3</v>
      </c>
      <c r="AB734" t="s">
        <v>48</v>
      </c>
      <c r="AC734" t="s">
        <v>71</v>
      </c>
    </row>
    <row r="735" spans="1:29" x14ac:dyDescent="0.3">
      <c r="A735" t="s">
        <v>861</v>
      </c>
      <c r="B735" s="6">
        <v>45857</v>
      </c>
      <c r="C735" s="6" t="str">
        <f t="shared" si="66"/>
        <v>12 PM - 4 PM</v>
      </c>
      <c r="D735" s="4">
        <v>0.65833333333333333</v>
      </c>
      <c r="E735" t="s">
        <v>622</v>
      </c>
      <c r="F735" t="s">
        <v>24</v>
      </c>
      <c r="G735" t="s">
        <v>25</v>
      </c>
      <c r="H735" t="s">
        <v>43</v>
      </c>
      <c r="I735" t="s">
        <v>82</v>
      </c>
      <c r="J735" t="s">
        <v>45</v>
      </c>
      <c r="K735">
        <v>1</v>
      </c>
      <c r="L735" s="8">
        <v>8150</v>
      </c>
      <c r="M735" s="8" t="str">
        <f t="shared" si="67"/>
        <v>11-20%</v>
      </c>
      <c r="N735">
        <v>15</v>
      </c>
      <c r="O735" t="str">
        <f t="shared" si="68"/>
        <v>Valid</v>
      </c>
      <c r="P735" t="str">
        <f t="shared" si="69"/>
        <v>Match</v>
      </c>
      <c r="Q735" s="8">
        <v>8150</v>
      </c>
      <c r="R735" s="8">
        <v>1222.5</v>
      </c>
      <c r="S735" s="8">
        <v>6927.5</v>
      </c>
      <c r="T735" s="8">
        <v>4479.1400000000003</v>
      </c>
      <c r="U735" s="8">
        <v>2448.36</v>
      </c>
      <c r="V735" s="8" t="b">
        <f t="shared" si="70"/>
        <v>0</v>
      </c>
      <c r="W735" s="8">
        <f t="shared" si="71"/>
        <v>0</v>
      </c>
      <c r="X735" t="s">
        <v>28</v>
      </c>
      <c r="Y735" t="s">
        <v>47</v>
      </c>
      <c r="Z735" t="s">
        <v>85</v>
      </c>
      <c r="AA735">
        <v>5</v>
      </c>
      <c r="AB735" t="s">
        <v>29</v>
      </c>
      <c r="AC735" t="s">
        <v>71</v>
      </c>
    </row>
    <row r="736" spans="1:29" x14ac:dyDescent="0.3">
      <c r="A736" t="s">
        <v>862</v>
      </c>
      <c r="B736" s="6">
        <v>45813</v>
      </c>
      <c r="C736" s="6" t="str">
        <f t="shared" si="66"/>
        <v>4 AM - 8 AM</v>
      </c>
      <c r="D736" s="4">
        <v>0.22708333333333333</v>
      </c>
      <c r="E736" t="s">
        <v>60</v>
      </c>
      <c r="F736" t="s">
        <v>96</v>
      </c>
      <c r="G736" t="s">
        <v>129</v>
      </c>
      <c r="H736" t="s">
        <v>74</v>
      </c>
      <c r="I736" t="s">
        <v>44</v>
      </c>
      <c r="J736" t="s">
        <v>35</v>
      </c>
      <c r="K736">
        <v>3</v>
      </c>
      <c r="L736" s="8">
        <v>3150</v>
      </c>
      <c r="M736" s="8" t="str">
        <f t="shared" si="67"/>
        <v>21-30%</v>
      </c>
      <c r="N736">
        <v>25</v>
      </c>
      <c r="O736" t="str">
        <f t="shared" si="68"/>
        <v>Valid</v>
      </c>
      <c r="P736" t="str">
        <f t="shared" si="69"/>
        <v>Match</v>
      </c>
      <c r="Q736" s="8">
        <v>9450</v>
      </c>
      <c r="R736" s="8">
        <v>2362.5</v>
      </c>
      <c r="S736" s="8">
        <v>7087.5</v>
      </c>
      <c r="T736" s="8">
        <v>5348.11</v>
      </c>
      <c r="U736" s="8">
        <v>1739.39</v>
      </c>
      <c r="V736" s="8" t="b">
        <f t="shared" si="70"/>
        <v>0</v>
      </c>
      <c r="W736" s="8">
        <f t="shared" si="71"/>
        <v>0</v>
      </c>
      <c r="X736" t="s">
        <v>28</v>
      </c>
      <c r="Y736" t="s">
        <v>37</v>
      </c>
      <c r="Z736" t="s">
        <v>38</v>
      </c>
      <c r="AA736">
        <v>4</v>
      </c>
      <c r="AB736" t="s">
        <v>48</v>
      </c>
      <c r="AC736" t="s">
        <v>67</v>
      </c>
    </row>
    <row r="737" spans="1:29" x14ac:dyDescent="0.3">
      <c r="A737" t="s">
        <v>863</v>
      </c>
      <c r="B737" s="6">
        <v>45813</v>
      </c>
      <c r="C737" s="6" t="str">
        <f t="shared" si="66"/>
        <v>8 AM - 12 PM</v>
      </c>
      <c r="D737" s="4">
        <v>0.46458333333333335</v>
      </c>
      <c r="E737" t="s">
        <v>60</v>
      </c>
      <c r="F737" t="s">
        <v>51</v>
      </c>
      <c r="G737" t="s">
        <v>101</v>
      </c>
      <c r="H737" t="s">
        <v>102</v>
      </c>
      <c r="I737" t="s">
        <v>44</v>
      </c>
      <c r="J737" t="s">
        <v>35</v>
      </c>
      <c r="K737">
        <v>1</v>
      </c>
      <c r="L737" s="8">
        <v>14900</v>
      </c>
      <c r="M737" s="8" t="str">
        <f t="shared" si="67"/>
        <v>1-10%</v>
      </c>
      <c r="N737">
        <v>10</v>
      </c>
      <c r="O737" t="str">
        <f t="shared" si="68"/>
        <v>Valid</v>
      </c>
      <c r="P737" t="str">
        <f t="shared" si="69"/>
        <v>Match</v>
      </c>
      <c r="Q737" s="8">
        <v>14900</v>
      </c>
      <c r="R737" s="8">
        <v>1490</v>
      </c>
      <c r="S737" s="8">
        <v>13410</v>
      </c>
      <c r="T737" s="8">
        <v>9295.16</v>
      </c>
      <c r="U737" s="8">
        <v>4114.84</v>
      </c>
      <c r="V737" s="8" t="b">
        <f t="shared" si="70"/>
        <v>0</v>
      </c>
      <c r="W737" s="8">
        <f t="shared" si="71"/>
        <v>0</v>
      </c>
      <c r="X737" t="s">
        <v>28</v>
      </c>
      <c r="Y737" t="s">
        <v>47</v>
      </c>
      <c r="Z737" t="s">
        <v>38</v>
      </c>
      <c r="AA737">
        <v>4</v>
      </c>
      <c r="AB737" t="s">
        <v>48</v>
      </c>
      <c r="AC737" t="s">
        <v>67</v>
      </c>
    </row>
    <row r="738" spans="1:29" x14ac:dyDescent="0.3">
      <c r="A738" t="s">
        <v>864</v>
      </c>
      <c r="B738" s="6">
        <v>45697</v>
      </c>
      <c r="C738" s="6" t="str">
        <f t="shared" si="66"/>
        <v>4 PM - 8 PM</v>
      </c>
      <c r="D738" s="4">
        <v>0.82847222222222228</v>
      </c>
      <c r="E738" t="s">
        <v>32</v>
      </c>
      <c r="F738" t="s">
        <v>24</v>
      </c>
      <c r="G738" t="s">
        <v>88</v>
      </c>
      <c r="H738" t="s">
        <v>34</v>
      </c>
      <c r="I738" t="s">
        <v>98</v>
      </c>
      <c r="J738" t="s">
        <v>45</v>
      </c>
      <c r="K738">
        <v>2</v>
      </c>
      <c r="L738" s="8">
        <v>4250</v>
      </c>
      <c r="M738" s="8" t="str">
        <f t="shared" si="67"/>
        <v>1-10%</v>
      </c>
      <c r="N738">
        <v>10</v>
      </c>
      <c r="O738" t="str">
        <f t="shared" si="68"/>
        <v>Valid</v>
      </c>
      <c r="P738" t="str">
        <f t="shared" si="69"/>
        <v>Match</v>
      </c>
      <c r="Q738" s="8">
        <v>8500</v>
      </c>
      <c r="R738" s="8">
        <v>850</v>
      </c>
      <c r="S738" s="8">
        <v>7650</v>
      </c>
      <c r="T738" s="8">
        <v>4690.24</v>
      </c>
      <c r="U738" s="8">
        <v>2959.76</v>
      </c>
      <c r="V738" s="8" t="b">
        <f t="shared" si="70"/>
        <v>0</v>
      </c>
      <c r="W738" s="8">
        <f t="shared" si="71"/>
        <v>0</v>
      </c>
      <c r="X738" t="s">
        <v>79</v>
      </c>
      <c r="Y738" t="s">
        <v>89</v>
      </c>
      <c r="Z738" t="s">
        <v>38</v>
      </c>
      <c r="AA738">
        <v>3.5</v>
      </c>
      <c r="AB738" t="s">
        <v>66</v>
      </c>
      <c r="AC738" t="s">
        <v>30</v>
      </c>
    </row>
    <row r="739" spans="1:29" x14ac:dyDescent="0.3">
      <c r="A739" t="s">
        <v>865</v>
      </c>
      <c r="B739" s="6">
        <v>45958</v>
      </c>
      <c r="C739" s="6" t="str">
        <f t="shared" si="66"/>
        <v>12 PM - 4 PM</v>
      </c>
      <c r="D739" s="4">
        <v>0.50208333333333333</v>
      </c>
      <c r="E739" t="s">
        <v>622</v>
      </c>
      <c r="F739" t="s">
        <v>24</v>
      </c>
      <c r="G739" t="s">
        <v>42</v>
      </c>
      <c r="H739" t="s">
        <v>102</v>
      </c>
      <c r="I739" t="s">
        <v>125</v>
      </c>
      <c r="J739" t="s">
        <v>35</v>
      </c>
      <c r="K739">
        <v>1</v>
      </c>
      <c r="L739" s="8">
        <v>101600</v>
      </c>
      <c r="M739" s="8" t="str">
        <f t="shared" si="67"/>
        <v>1-10%</v>
      </c>
      <c r="N739">
        <v>10</v>
      </c>
      <c r="O739" t="str">
        <f t="shared" si="68"/>
        <v>Valid</v>
      </c>
      <c r="P739" t="str">
        <f t="shared" si="69"/>
        <v>Match</v>
      </c>
      <c r="Q739" s="8">
        <v>101600</v>
      </c>
      <c r="R739" s="8">
        <v>10160</v>
      </c>
      <c r="S739" s="8">
        <v>91440</v>
      </c>
      <c r="T739" s="8">
        <v>74891.839999999997</v>
      </c>
      <c r="U739" s="8">
        <v>16548.16</v>
      </c>
      <c r="V739" s="8" t="b">
        <f t="shared" si="70"/>
        <v>0</v>
      </c>
      <c r="W739" s="8">
        <f t="shared" si="71"/>
        <v>0</v>
      </c>
      <c r="X739" t="s">
        <v>46</v>
      </c>
      <c r="Y739" t="s">
        <v>104</v>
      </c>
      <c r="Z739" t="s">
        <v>85</v>
      </c>
      <c r="AA739">
        <v>4</v>
      </c>
      <c r="AB739" t="s">
        <v>57</v>
      </c>
      <c r="AC739" t="s">
        <v>86</v>
      </c>
    </row>
    <row r="740" spans="1:29" x14ac:dyDescent="0.3">
      <c r="A740" t="s">
        <v>866</v>
      </c>
      <c r="B740" s="6">
        <v>45849</v>
      </c>
      <c r="C740" s="6" t="str">
        <f t="shared" si="66"/>
        <v>12 PM - 4 PM</v>
      </c>
      <c r="D740" s="4">
        <v>0.51944444444444449</v>
      </c>
      <c r="E740" t="s">
        <v>108</v>
      </c>
      <c r="F740" t="s">
        <v>24</v>
      </c>
      <c r="G740" t="s">
        <v>84</v>
      </c>
      <c r="H740" t="s">
        <v>26</v>
      </c>
      <c r="I740" t="s">
        <v>92</v>
      </c>
      <c r="J740" t="s">
        <v>93</v>
      </c>
      <c r="K740">
        <v>4</v>
      </c>
      <c r="L740" s="8">
        <v>27250</v>
      </c>
      <c r="M740" s="8" t="str">
        <f t="shared" si="67"/>
        <v>21-30%</v>
      </c>
      <c r="N740">
        <v>25</v>
      </c>
      <c r="O740" t="str">
        <f t="shared" si="68"/>
        <v>Valid</v>
      </c>
      <c r="P740" t="str">
        <f t="shared" si="69"/>
        <v>Match</v>
      </c>
      <c r="Q740" s="8">
        <v>109000</v>
      </c>
      <c r="R740" s="8">
        <v>27250</v>
      </c>
      <c r="S740" s="8">
        <v>81750</v>
      </c>
      <c r="T740" s="8">
        <v>79791.509999999995</v>
      </c>
      <c r="U740" s="8">
        <v>1958.49</v>
      </c>
      <c r="V740" s="8" t="b">
        <f t="shared" si="70"/>
        <v>0</v>
      </c>
      <c r="W740" s="8">
        <f t="shared" si="71"/>
        <v>0</v>
      </c>
      <c r="X740" t="s">
        <v>79</v>
      </c>
      <c r="Y740" t="s">
        <v>37</v>
      </c>
      <c r="Z740" t="s">
        <v>85</v>
      </c>
      <c r="AA740">
        <v>5</v>
      </c>
      <c r="AB740" t="s">
        <v>29</v>
      </c>
      <c r="AC740" t="s">
        <v>58</v>
      </c>
    </row>
    <row r="741" spans="1:29" x14ac:dyDescent="0.3">
      <c r="A741" t="s">
        <v>867</v>
      </c>
      <c r="B741" s="6">
        <v>45855</v>
      </c>
      <c r="C741" s="6" t="str">
        <f t="shared" si="66"/>
        <v>4 AM - 8 AM</v>
      </c>
      <c r="D741" s="4">
        <v>0.27152777777777776</v>
      </c>
      <c r="E741" t="s">
        <v>622</v>
      </c>
      <c r="F741" t="s">
        <v>24</v>
      </c>
      <c r="G741" t="s">
        <v>110</v>
      </c>
      <c r="H741" t="s">
        <v>113</v>
      </c>
      <c r="I741" t="s">
        <v>82</v>
      </c>
      <c r="J741" t="s">
        <v>35</v>
      </c>
      <c r="K741">
        <v>1</v>
      </c>
      <c r="L741" s="8">
        <v>1250</v>
      </c>
      <c r="M741" s="8" t="str">
        <f t="shared" si="67"/>
        <v>1-10%</v>
      </c>
      <c r="N741">
        <v>5</v>
      </c>
      <c r="O741" t="str">
        <f t="shared" si="68"/>
        <v>Valid</v>
      </c>
      <c r="P741" t="str">
        <f t="shared" si="69"/>
        <v>Match</v>
      </c>
      <c r="Q741" s="8">
        <v>1250</v>
      </c>
      <c r="R741" s="8">
        <v>62.5</v>
      </c>
      <c r="S741" s="8">
        <v>1187.5</v>
      </c>
      <c r="T741" s="8">
        <v>778.74</v>
      </c>
      <c r="U741" s="8">
        <v>408.76</v>
      </c>
      <c r="V741" s="8" t="b">
        <f t="shared" si="70"/>
        <v>0</v>
      </c>
      <c r="W741" s="8">
        <f t="shared" si="71"/>
        <v>0</v>
      </c>
      <c r="X741" t="s">
        <v>79</v>
      </c>
      <c r="Y741" t="s">
        <v>65</v>
      </c>
      <c r="Z741" t="s">
        <v>38</v>
      </c>
      <c r="AA741">
        <v>4.5</v>
      </c>
      <c r="AB741" t="s">
        <v>29</v>
      </c>
      <c r="AC741" t="s">
        <v>67</v>
      </c>
    </row>
    <row r="742" spans="1:29" x14ac:dyDescent="0.3">
      <c r="A742" t="s">
        <v>868</v>
      </c>
      <c r="B742" s="6">
        <v>45707</v>
      </c>
      <c r="C742" s="6" t="str">
        <f t="shared" si="66"/>
        <v>4 PM - 8 PM</v>
      </c>
      <c r="D742" s="4">
        <v>0.73402777777777772</v>
      </c>
      <c r="E742" t="s">
        <v>60</v>
      </c>
      <c r="F742" t="s">
        <v>51</v>
      </c>
      <c r="G742" t="s">
        <v>153</v>
      </c>
      <c r="H742" t="s">
        <v>53</v>
      </c>
      <c r="I742" t="s">
        <v>44</v>
      </c>
      <c r="J742" t="s">
        <v>93</v>
      </c>
      <c r="K742">
        <v>1</v>
      </c>
      <c r="L742" s="8">
        <v>3350</v>
      </c>
      <c r="M742" s="8" t="str">
        <f t="shared" si="67"/>
        <v>21-30%</v>
      </c>
      <c r="N742">
        <v>25</v>
      </c>
      <c r="O742" t="str">
        <f t="shared" si="68"/>
        <v>Valid</v>
      </c>
      <c r="P742" t="str">
        <f t="shared" si="69"/>
        <v>Match</v>
      </c>
      <c r="Q742" s="8">
        <v>3350</v>
      </c>
      <c r="R742" s="8">
        <v>837.5</v>
      </c>
      <c r="S742" s="8">
        <v>2512.5</v>
      </c>
      <c r="T742" s="8">
        <v>2249.31</v>
      </c>
      <c r="U742" s="8">
        <v>263.19</v>
      </c>
      <c r="V742" s="8" t="b">
        <f t="shared" si="70"/>
        <v>0</v>
      </c>
      <c r="W742" s="8">
        <f t="shared" si="71"/>
        <v>0</v>
      </c>
      <c r="X742" t="s">
        <v>230</v>
      </c>
      <c r="Y742" t="s">
        <v>70</v>
      </c>
      <c r="Z742" t="s">
        <v>45</v>
      </c>
      <c r="AA742">
        <v>4</v>
      </c>
      <c r="AB742" t="s">
        <v>66</v>
      </c>
      <c r="AC742" t="s">
        <v>40</v>
      </c>
    </row>
    <row r="743" spans="1:29" x14ac:dyDescent="0.3">
      <c r="A743" t="s">
        <v>869</v>
      </c>
      <c r="B743" s="6">
        <v>45722</v>
      </c>
      <c r="C743" s="6" t="str">
        <f t="shared" si="66"/>
        <v>4 AM - 8 AM</v>
      </c>
      <c r="D743" s="4">
        <v>0.31388888888888888</v>
      </c>
      <c r="E743" t="s">
        <v>23</v>
      </c>
      <c r="F743" t="s">
        <v>51</v>
      </c>
      <c r="G743" t="s">
        <v>52</v>
      </c>
      <c r="H743" t="s">
        <v>102</v>
      </c>
      <c r="I743" t="s">
        <v>44</v>
      </c>
      <c r="J743" t="s">
        <v>93</v>
      </c>
      <c r="K743">
        <v>2</v>
      </c>
      <c r="L743" s="8">
        <v>25150</v>
      </c>
      <c r="M743" s="8" t="str">
        <f t="shared" si="67"/>
        <v>21-30%</v>
      </c>
      <c r="N743">
        <v>30</v>
      </c>
      <c r="O743" t="str">
        <f t="shared" si="68"/>
        <v>Valid</v>
      </c>
      <c r="P743" t="str">
        <f t="shared" si="69"/>
        <v>Match</v>
      </c>
      <c r="Q743" s="8">
        <v>50300</v>
      </c>
      <c r="R743" s="8">
        <v>15090</v>
      </c>
      <c r="S743" s="8">
        <v>35210</v>
      </c>
      <c r="T743" s="8">
        <v>32477.34</v>
      </c>
      <c r="U743" s="8">
        <v>2732.66</v>
      </c>
      <c r="V743" s="8" t="b">
        <f t="shared" si="70"/>
        <v>0</v>
      </c>
      <c r="W743" s="8">
        <f t="shared" si="71"/>
        <v>0</v>
      </c>
      <c r="X743" t="s">
        <v>55</v>
      </c>
      <c r="Y743" t="s">
        <v>37</v>
      </c>
      <c r="Z743" t="s">
        <v>85</v>
      </c>
      <c r="AA743">
        <v>4</v>
      </c>
      <c r="AB743" t="s">
        <v>127</v>
      </c>
      <c r="AC743" t="s">
        <v>67</v>
      </c>
    </row>
    <row r="744" spans="1:29" x14ac:dyDescent="0.3">
      <c r="A744" t="s">
        <v>870</v>
      </c>
      <c r="B744" s="6">
        <v>45833</v>
      </c>
      <c r="C744" s="6" t="str">
        <f t="shared" si="66"/>
        <v>4 PM - 8 PM</v>
      </c>
      <c r="D744" s="4">
        <v>0.82361111111111107</v>
      </c>
      <c r="E744" t="s">
        <v>60</v>
      </c>
      <c r="F744" t="s">
        <v>96</v>
      </c>
      <c r="G744" t="s">
        <v>145</v>
      </c>
      <c r="H744" t="s">
        <v>113</v>
      </c>
      <c r="I744" t="s">
        <v>44</v>
      </c>
      <c r="J744" t="s">
        <v>93</v>
      </c>
      <c r="K744">
        <v>1</v>
      </c>
      <c r="L744" s="8">
        <v>3300</v>
      </c>
      <c r="M744" s="8" t="str">
        <f t="shared" si="67"/>
        <v>0%</v>
      </c>
      <c r="N744">
        <v>0</v>
      </c>
      <c r="O744" t="str">
        <f t="shared" si="68"/>
        <v>Valid</v>
      </c>
      <c r="P744" t="str">
        <f t="shared" si="69"/>
        <v>Match</v>
      </c>
      <c r="Q744" s="8">
        <v>3300</v>
      </c>
      <c r="R744" s="8">
        <v>0</v>
      </c>
      <c r="S744" s="8">
        <v>3300</v>
      </c>
      <c r="T744" s="8">
        <v>2202</v>
      </c>
      <c r="U744" s="8">
        <v>1098</v>
      </c>
      <c r="V744" s="8" t="b">
        <f t="shared" si="70"/>
        <v>0</v>
      </c>
      <c r="W744" s="8">
        <f t="shared" si="71"/>
        <v>0</v>
      </c>
      <c r="X744" t="s">
        <v>79</v>
      </c>
      <c r="Y744" t="s">
        <v>47</v>
      </c>
      <c r="Z744" t="s">
        <v>85</v>
      </c>
      <c r="AA744">
        <v>4.5</v>
      </c>
      <c r="AB744" t="s">
        <v>48</v>
      </c>
      <c r="AC744" t="s">
        <v>40</v>
      </c>
    </row>
    <row r="745" spans="1:29" x14ac:dyDescent="0.3">
      <c r="A745" t="s">
        <v>871</v>
      </c>
      <c r="B745" s="6">
        <v>45825</v>
      </c>
      <c r="C745" s="6" t="str">
        <f t="shared" si="66"/>
        <v>8 AM - 12 PM</v>
      </c>
      <c r="D745" s="4">
        <v>0.41111111111111109</v>
      </c>
      <c r="E745" t="s">
        <v>32</v>
      </c>
      <c r="F745" t="s">
        <v>51</v>
      </c>
      <c r="G745" t="s">
        <v>52</v>
      </c>
      <c r="H745" t="s">
        <v>74</v>
      </c>
      <c r="I745" t="s">
        <v>63</v>
      </c>
      <c r="J745" t="s">
        <v>64</v>
      </c>
      <c r="K745">
        <v>1</v>
      </c>
      <c r="L745" s="8">
        <v>21750</v>
      </c>
      <c r="M745" s="8" t="str">
        <f t="shared" si="67"/>
        <v>1-10%</v>
      </c>
      <c r="N745">
        <v>5</v>
      </c>
      <c r="O745" t="str">
        <f t="shared" si="68"/>
        <v>Valid</v>
      </c>
      <c r="P745" t="str">
        <f t="shared" si="69"/>
        <v>Match</v>
      </c>
      <c r="Q745" s="8">
        <v>21750</v>
      </c>
      <c r="R745" s="8">
        <v>1087.5</v>
      </c>
      <c r="S745" s="8">
        <v>20662.5</v>
      </c>
      <c r="T745" s="8">
        <v>13223.44</v>
      </c>
      <c r="U745" s="8">
        <v>7439.06</v>
      </c>
      <c r="V745" s="8" t="b">
        <f t="shared" si="70"/>
        <v>0</v>
      </c>
      <c r="W745" s="8">
        <f t="shared" si="71"/>
        <v>0</v>
      </c>
      <c r="X745" t="s">
        <v>79</v>
      </c>
      <c r="Y745" t="s">
        <v>104</v>
      </c>
      <c r="Z745" t="s">
        <v>64</v>
      </c>
      <c r="AA745">
        <v>4.5</v>
      </c>
      <c r="AB745" t="s">
        <v>48</v>
      </c>
      <c r="AC745" t="s">
        <v>86</v>
      </c>
    </row>
    <row r="746" spans="1:29" x14ac:dyDescent="0.3">
      <c r="A746" t="s">
        <v>872</v>
      </c>
      <c r="B746" s="6">
        <v>45968</v>
      </c>
      <c r="C746" s="6" t="str">
        <f t="shared" si="66"/>
        <v>12 AM - 4 AM</v>
      </c>
      <c r="D746" s="4">
        <v>4.4444444444444446E-2</v>
      </c>
      <c r="E746" t="s">
        <v>77</v>
      </c>
      <c r="F746" t="s">
        <v>24</v>
      </c>
      <c r="G746" t="s">
        <v>110</v>
      </c>
      <c r="H746" t="s">
        <v>53</v>
      </c>
      <c r="I746" t="s">
        <v>82</v>
      </c>
      <c r="J746" t="s">
        <v>35</v>
      </c>
      <c r="K746">
        <v>1</v>
      </c>
      <c r="L746" s="8">
        <v>1950</v>
      </c>
      <c r="M746" s="8" t="str">
        <f t="shared" si="67"/>
        <v>1-10%</v>
      </c>
      <c r="N746">
        <v>5</v>
      </c>
      <c r="O746" t="str">
        <f t="shared" si="68"/>
        <v>Valid</v>
      </c>
      <c r="P746" t="str">
        <f t="shared" si="69"/>
        <v>Match</v>
      </c>
      <c r="Q746" s="8">
        <v>1950</v>
      </c>
      <c r="R746" s="8">
        <v>97.5</v>
      </c>
      <c r="S746" s="8">
        <v>1852.5</v>
      </c>
      <c r="T746" s="8">
        <v>1083.54</v>
      </c>
      <c r="U746" s="8">
        <v>768.96</v>
      </c>
      <c r="V746" s="8" t="b">
        <f t="shared" si="70"/>
        <v>0</v>
      </c>
      <c r="W746" s="8">
        <f t="shared" si="71"/>
        <v>0</v>
      </c>
      <c r="X746" t="s">
        <v>55</v>
      </c>
      <c r="Y746" t="s">
        <v>47</v>
      </c>
      <c r="Z746" t="s">
        <v>64</v>
      </c>
      <c r="AA746">
        <v>4</v>
      </c>
      <c r="AB746" t="s">
        <v>75</v>
      </c>
      <c r="AC746" t="s">
        <v>58</v>
      </c>
    </row>
    <row r="747" spans="1:29" x14ac:dyDescent="0.3">
      <c r="A747" t="s">
        <v>873</v>
      </c>
      <c r="B747" s="6">
        <v>45818</v>
      </c>
      <c r="C747" s="6" t="str">
        <f t="shared" si="66"/>
        <v>8 PM - 12 AM</v>
      </c>
      <c r="D747" s="4">
        <v>0.8354166666666667</v>
      </c>
      <c r="E747" t="s">
        <v>622</v>
      </c>
      <c r="F747" t="s">
        <v>24</v>
      </c>
      <c r="G747" t="s">
        <v>84</v>
      </c>
      <c r="H747" t="s">
        <v>43</v>
      </c>
      <c r="I747" t="s">
        <v>63</v>
      </c>
      <c r="J747" t="s">
        <v>35</v>
      </c>
      <c r="K747">
        <v>1</v>
      </c>
      <c r="L747" s="8">
        <v>27650</v>
      </c>
      <c r="M747" s="8" t="str">
        <f t="shared" si="67"/>
        <v>21-30%</v>
      </c>
      <c r="N747">
        <v>25</v>
      </c>
      <c r="O747" t="str">
        <f t="shared" si="68"/>
        <v>Valid</v>
      </c>
      <c r="P747" t="str">
        <f t="shared" si="69"/>
        <v>Match</v>
      </c>
      <c r="Q747" s="8">
        <v>27650</v>
      </c>
      <c r="R747" s="8">
        <v>6912.5</v>
      </c>
      <c r="S747" s="8">
        <v>20737.5</v>
      </c>
      <c r="T747" s="8">
        <v>20379.73</v>
      </c>
      <c r="U747" s="8">
        <v>357.77</v>
      </c>
      <c r="V747" s="8" t="b">
        <f t="shared" si="70"/>
        <v>0</v>
      </c>
      <c r="W747" s="8">
        <f t="shared" si="71"/>
        <v>0</v>
      </c>
      <c r="X747" t="s">
        <v>46</v>
      </c>
      <c r="Y747" t="s">
        <v>70</v>
      </c>
      <c r="Z747" t="s">
        <v>80</v>
      </c>
      <c r="AA747">
        <v>4.5</v>
      </c>
      <c r="AB747" t="s">
        <v>48</v>
      </c>
      <c r="AC747" t="s">
        <v>86</v>
      </c>
    </row>
    <row r="748" spans="1:29" x14ac:dyDescent="0.3">
      <c r="A748" t="s">
        <v>874</v>
      </c>
      <c r="B748" s="6">
        <v>45714</v>
      </c>
      <c r="C748" s="6" t="str">
        <f t="shared" si="66"/>
        <v>4 AM - 8 AM</v>
      </c>
      <c r="D748" s="4">
        <v>0.29652777777777778</v>
      </c>
      <c r="E748" t="s">
        <v>622</v>
      </c>
      <c r="F748" t="s">
        <v>24</v>
      </c>
      <c r="G748" t="s">
        <v>110</v>
      </c>
      <c r="H748" t="s">
        <v>74</v>
      </c>
      <c r="I748" t="s">
        <v>63</v>
      </c>
      <c r="J748" t="s">
        <v>93</v>
      </c>
      <c r="K748">
        <v>1</v>
      </c>
      <c r="L748" s="8">
        <v>4050</v>
      </c>
      <c r="M748" s="8" t="str">
        <f t="shared" si="67"/>
        <v>0%</v>
      </c>
      <c r="N748">
        <v>0</v>
      </c>
      <c r="O748" t="str">
        <f t="shared" si="68"/>
        <v>Valid</v>
      </c>
      <c r="P748" t="str">
        <f t="shared" si="69"/>
        <v>Match</v>
      </c>
      <c r="Q748" s="8">
        <v>4050</v>
      </c>
      <c r="R748" s="8">
        <v>0</v>
      </c>
      <c r="S748" s="8">
        <v>4050</v>
      </c>
      <c r="T748" s="8">
        <v>2681.89</v>
      </c>
      <c r="U748" s="8">
        <v>1368.11</v>
      </c>
      <c r="V748" s="8" t="b">
        <f t="shared" si="70"/>
        <v>0</v>
      </c>
      <c r="W748" s="8">
        <f t="shared" si="71"/>
        <v>0</v>
      </c>
      <c r="X748" t="s">
        <v>79</v>
      </c>
      <c r="Y748" t="s">
        <v>70</v>
      </c>
      <c r="Z748" t="s">
        <v>80</v>
      </c>
      <c r="AA748">
        <v>3</v>
      </c>
      <c r="AB748" t="s">
        <v>66</v>
      </c>
      <c r="AC748" t="s">
        <v>40</v>
      </c>
    </row>
    <row r="749" spans="1:29" x14ac:dyDescent="0.3">
      <c r="A749" t="s">
        <v>875</v>
      </c>
      <c r="B749" s="6">
        <v>45811</v>
      </c>
      <c r="C749" s="6" t="str">
        <f t="shared" si="66"/>
        <v>8 AM - 12 PM</v>
      </c>
      <c r="D749" s="4">
        <v>0.45902777777777776</v>
      </c>
      <c r="E749" t="s">
        <v>60</v>
      </c>
      <c r="F749" t="s">
        <v>24</v>
      </c>
      <c r="G749" t="s">
        <v>120</v>
      </c>
      <c r="H749" t="s">
        <v>26</v>
      </c>
      <c r="I749" t="s">
        <v>63</v>
      </c>
      <c r="J749" t="s">
        <v>35</v>
      </c>
      <c r="K749">
        <v>1</v>
      </c>
      <c r="L749" s="8">
        <v>13000</v>
      </c>
      <c r="M749" s="8" t="str">
        <f t="shared" si="67"/>
        <v>11-20%</v>
      </c>
      <c r="N749">
        <v>15</v>
      </c>
      <c r="O749" t="str">
        <f t="shared" si="68"/>
        <v>Valid</v>
      </c>
      <c r="P749" t="str">
        <f t="shared" si="69"/>
        <v>Match</v>
      </c>
      <c r="Q749" s="8">
        <v>13000</v>
      </c>
      <c r="R749" s="8">
        <v>1950</v>
      </c>
      <c r="S749" s="8">
        <v>11050</v>
      </c>
      <c r="T749" s="8">
        <v>7854.16</v>
      </c>
      <c r="U749" s="8">
        <v>3195.84</v>
      </c>
      <c r="V749" s="8" t="b">
        <f t="shared" si="70"/>
        <v>0</v>
      </c>
      <c r="W749" s="8">
        <f t="shared" si="71"/>
        <v>0</v>
      </c>
      <c r="X749" t="s">
        <v>28</v>
      </c>
      <c r="Y749" t="s">
        <v>94</v>
      </c>
      <c r="Z749" t="s">
        <v>80</v>
      </c>
      <c r="AA749">
        <v>4</v>
      </c>
      <c r="AB749" t="s">
        <v>48</v>
      </c>
      <c r="AC749" t="s">
        <v>86</v>
      </c>
    </row>
    <row r="750" spans="1:29" x14ac:dyDescent="0.3">
      <c r="A750" t="s">
        <v>876</v>
      </c>
      <c r="B750" s="6">
        <v>45994</v>
      </c>
      <c r="C750" s="6" t="str">
        <f t="shared" si="66"/>
        <v>8 AM - 12 PM</v>
      </c>
      <c r="D750" s="4">
        <v>0.42291666666666666</v>
      </c>
      <c r="E750" t="s">
        <v>23</v>
      </c>
      <c r="F750" t="s">
        <v>51</v>
      </c>
      <c r="G750" t="s">
        <v>122</v>
      </c>
      <c r="H750" t="s">
        <v>74</v>
      </c>
      <c r="I750" t="s">
        <v>63</v>
      </c>
      <c r="J750" t="s">
        <v>64</v>
      </c>
      <c r="K750">
        <v>1</v>
      </c>
      <c r="L750" s="8">
        <v>5700</v>
      </c>
      <c r="M750" s="8" t="str">
        <f t="shared" si="67"/>
        <v>1-10%</v>
      </c>
      <c r="N750">
        <v>5</v>
      </c>
      <c r="O750" t="str">
        <f t="shared" si="68"/>
        <v>Valid</v>
      </c>
      <c r="P750" t="str">
        <f t="shared" si="69"/>
        <v>Match</v>
      </c>
      <c r="Q750" s="8">
        <v>5700</v>
      </c>
      <c r="R750" s="8">
        <v>285</v>
      </c>
      <c r="S750" s="8">
        <v>5415</v>
      </c>
      <c r="T750" s="8">
        <v>3423.55</v>
      </c>
      <c r="U750" s="8">
        <v>1991.45</v>
      </c>
      <c r="V750" s="8" t="b">
        <f t="shared" si="70"/>
        <v>0</v>
      </c>
      <c r="W750" s="8">
        <f t="shared" si="71"/>
        <v>0</v>
      </c>
      <c r="X750" t="s">
        <v>28</v>
      </c>
      <c r="Y750" t="s">
        <v>65</v>
      </c>
      <c r="Z750" t="s">
        <v>38</v>
      </c>
      <c r="AA750">
        <v>4</v>
      </c>
      <c r="AB750" t="s">
        <v>39</v>
      </c>
      <c r="AC750" t="s">
        <v>40</v>
      </c>
    </row>
    <row r="751" spans="1:29" x14ac:dyDescent="0.3">
      <c r="A751" t="s">
        <v>877</v>
      </c>
      <c r="B751" s="6">
        <v>45833</v>
      </c>
      <c r="C751" s="6" t="str">
        <f t="shared" si="66"/>
        <v>4 PM - 8 PM</v>
      </c>
      <c r="D751" s="4">
        <v>0.70694444444444449</v>
      </c>
      <c r="E751" t="s">
        <v>108</v>
      </c>
      <c r="F751" t="s">
        <v>51</v>
      </c>
      <c r="G751" t="s">
        <v>101</v>
      </c>
      <c r="H751" t="s">
        <v>26</v>
      </c>
      <c r="I751" t="s">
        <v>44</v>
      </c>
      <c r="J751" t="s">
        <v>78</v>
      </c>
      <c r="K751">
        <v>3</v>
      </c>
      <c r="L751" s="8">
        <v>14550</v>
      </c>
      <c r="M751" s="8" t="str">
        <f t="shared" si="67"/>
        <v>1-10%</v>
      </c>
      <c r="N751">
        <v>5</v>
      </c>
      <c r="O751" t="str">
        <f t="shared" si="68"/>
        <v>Valid</v>
      </c>
      <c r="P751" t="str">
        <f t="shared" si="69"/>
        <v>Match</v>
      </c>
      <c r="Q751" s="8">
        <v>43650</v>
      </c>
      <c r="R751" s="8">
        <v>2182.5</v>
      </c>
      <c r="S751" s="8">
        <v>41467.5</v>
      </c>
      <c r="T751" s="8">
        <v>31242.18</v>
      </c>
      <c r="U751" s="8">
        <v>10225.32</v>
      </c>
      <c r="V751" s="8" t="b">
        <f t="shared" si="70"/>
        <v>0</v>
      </c>
      <c r="W751" s="8">
        <f t="shared" si="71"/>
        <v>0</v>
      </c>
      <c r="X751" t="s">
        <v>55</v>
      </c>
      <c r="Y751" t="s">
        <v>70</v>
      </c>
      <c r="Z751" t="s">
        <v>1138</v>
      </c>
      <c r="AA751">
        <v>4.5</v>
      </c>
      <c r="AB751" t="s">
        <v>48</v>
      </c>
      <c r="AC751" t="s">
        <v>40</v>
      </c>
    </row>
    <row r="752" spans="1:29" x14ac:dyDescent="0.3">
      <c r="A752" t="s">
        <v>878</v>
      </c>
      <c r="B752" s="6">
        <v>45846</v>
      </c>
      <c r="C752" s="6" t="str">
        <f t="shared" si="66"/>
        <v>12 AM - 4 AM</v>
      </c>
      <c r="D752" s="4">
        <v>7.7083333333333337E-2</v>
      </c>
      <c r="E752" t="s">
        <v>69</v>
      </c>
      <c r="F752" t="s">
        <v>24</v>
      </c>
      <c r="G752" t="s">
        <v>42</v>
      </c>
      <c r="H752" t="s">
        <v>62</v>
      </c>
      <c r="I752" t="s">
        <v>63</v>
      </c>
      <c r="J752" t="s">
        <v>45</v>
      </c>
      <c r="K752">
        <v>1</v>
      </c>
      <c r="L752" s="8">
        <v>65950</v>
      </c>
      <c r="M752" s="8" t="str">
        <f t="shared" si="67"/>
        <v>11-20%</v>
      </c>
      <c r="N752">
        <v>20</v>
      </c>
      <c r="O752" t="str">
        <f t="shared" si="68"/>
        <v>Valid</v>
      </c>
      <c r="P752" t="str">
        <f t="shared" si="69"/>
        <v>Match</v>
      </c>
      <c r="Q752" s="8">
        <v>65950</v>
      </c>
      <c r="R752" s="8">
        <v>13190</v>
      </c>
      <c r="S752" s="8">
        <v>52760</v>
      </c>
      <c r="T752" s="8">
        <v>39031.839999999997</v>
      </c>
      <c r="U752" s="8">
        <v>13728.16</v>
      </c>
      <c r="V752" s="8" t="b">
        <f t="shared" si="70"/>
        <v>0</v>
      </c>
      <c r="W752" s="8">
        <f t="shared" si="71"/>
        <v>0</v>
      </c>
      <c r="X752" t="s">
        <v>55</v>
      </c>
      <c r="Y752" t="s">
        <v>65</v>
      </c>
      <c r="Z752" t="s">
        <v>64</v>
      </c>
      <c r="AA752">
        <v>4</v>
      </c>
      <c r="AB752" t="s">
        <v>29</v>
      </c>
      <c r="AC752" t="s">
        <v>86</v>
      </c>
    </row>
    <row r="753" spans="1:29" x14ac:dyDescent="0.3">
      <c r="A753" t="s">
        <v>879</v>
      </c>
      <c r="B753" s="6">
        <v>45833</v>
      </c>
      <c r="C753" s="6" t="str">
        <f t="shared" si="66"/>
        <v>8 AM - 12 PM</v>
      </c>
      <c r="D753" s="4">
        <v>0.47916666666666669</v>
      </c>
      <c r="E753" t="s">
        <v>69</v>
      </c>
      <c r="F753" t="s">
        <v>24</v>
      </c>
      <c r="G753" t="s">
        <v>84</v>
      </c>
      <c r="H753" t="s">
        <v>34</v>
      </c>
      <c r="I753" t="s">
        <v>82</v>
      </c>
      <c r="J753" t="s">
        <v>407</v>
      </c>
      <c r="K753">
        <v>2</v>
      </c>
      <c r="L753" s="8">
        <v>23700</v>
      </c>
      <c r="M753" s="8" t="str">
        <f t="shared" si="67"/>
        <v>21-30%</v>
      </c>
      <c r="N753">
        <v>30</v>
      </c>
      <c r="O753" t="str">
        <f t="shared" si="68"/>
        <v>Valid</v>
      </c>
      <c r="P753" t="str">
        <f t="shared" si="69"/>
        <v>Match</v>
      </c>
      <c r="Q753" s="8">
        <v>47400</v>
      </c>
      <c r="R753" s="8">
        <v>14220</v>
      </c>
      <c r="S753" s="8">
        <v>33180</v>
      </c>
      <c r="T753" s="8">
        <v>24975.97</v>
      </c>
      <c r="U753" s="8">
        <v>8204.0300000000007</v>
      </c>
      <c r="V753" s="8" t="b">
        <f t="shared" si="70"/>
        <v>0</v>
      </c>
      <c r="W753" s="8">
        <f t="shared" si="71"/>
        <v>0</v>
      </c>
      <c r="X753" t="s">
        <v>55</v>
      </c>
      <c r="Y753" t="s">
        <v>37</v>
      </c>
      <c r="Z753" t="s">
        <v>80</v>
      </c>
      <c r="AA753">
        <v>2.5</v>
      </c>
      <c r="AB753" t="s">
        <v>48</v>
      </c>
      <c r="AC753" t="s">
        <v>40</v>
      </c>
    </row>
    <row r="754" spans="1:29" x14ac:dyDescent="0.3">
      <c r="A754" t="s">
        <v>880</v>
      </c>
      <c r="B754" s="6">
        <v>45974</v>
      </c>
      <c r="C754" s="6" t="str">
        <f t="shared" si="66"/>
        <v>12 PM - 4 PM</v>
      </c>
      <c r="D754" s="4">
        <v>0.54861111111111116</v>
      </c>
      <c r="E754" t="s">
        <v>69</v>
      </c>
      <c r="F754" t="s">
        <v>24</v>
      </c>
      <c r="G754" t="s">
        <v>84</v>
      </c>
      <c r="H754" t="s">
        <v>34</v>
      </c>
      <c r="I754" t="s">
        <v>27</v>
      </c>
      <c r="J754" t="s">
        <v>45</v>
      </c>
      <c r="K754">
        <v>1</v>
      </c>
      <c r="L754" s="8">
        <v>31700</v>
      </c>
      <c r="M754" s="8" t="str">
        <f t="shared" si="67"/>
        <v>11-20%</v>
      </c>
      <c r="N754">
        <v>15</v>
      </c>
      <c r="O754" t="str">
        <f t="shared" si="68"/>
        <v>Valid</v>
      </c>
      <c r="P754" t="str">
        <f t="shared" si="69"/>
        <v>Match</v>
      </c>
      <c r="Q754" s="8">
        <v>31700</v>
      </c>
      <c r="R754" s="8">
        <v>4755</v>
      </c>
      <c r="S754" s="8">
        <v>26945</v>
      </c>
      <c r="T754" s="8">
        <v>17310</v>
      </c>
      <c r="U754" s="8">
        <v>9635</v>
      </c>
      <c r="V754" s="8" t="b">
        <f t="shared" si="70"/>
        <v>0</v>
      </c>
      <c r="W754" s="8">
        <f t="shared" si="71"/>
        <v>0</v>
      </c>
      <c r="X754" t="s">
        <v>46</v>
      </c>
      <c r="Y754" t="s">
        <v>65</v>
      </c>
      <c r="Z754" t="s">
        <v>85</v>
      </c>
      <c r="AA754">
        <v>5</v>
      </c>
      <c r="AB754" t="s">
        <v>75</v>
      </c>
      <c r="AC754" t="s">
        <v>67</v>
      </c>
    </row>
    <row r="755" spans="1:29" x14ac:dyDescent="0.3">
      <c r="A755" t="s">
        <v>881</v>
      </c>
      <c r="B755" s="6">
        <v>45982</v>
      </c>
      <c r="C755" s="6" t="str">
        <f t="shared" si="66"/>
        <v>12 AM - 4 AM</v>
      </c>
      <c r="D755" s="4">
        <v>9.166666666666666E-2</v>
      </c>
      <c r="E755" t="s">
        <v>77</v>
      </c>
      <c r="F755" t="s">
        <v>24</v>
      </c>
      <c r="G755" t="s">
        <v>110</v>
      </c>
      <c r="H755" t="s">
        <v>34</v>
      </c>
      <c r="I755" t="s">
        <v>63</v>
      </c>
      <c r="J755" t="s">
        <v>35</v>
      </c>
      <c r="K755">
        <v>1</v>
      </c>
      <c r="L755" s="8">
        <v>3750</v>
      </c>
      <c r="M755" s="8" t="str">
        <f t="shared" si="67"/>
        <v>21-30%</v>
      </c>
      <c r="N755">
        <v>30</v>
      </c>
      <c r="O755" t="str">
        <f t="shared" si="68"/>
        <v>Valid</v>
      </c>
      <c r="P755" t="str">
        <f t="shared" si="69"/>
        <v>Match</v>
      </c>
      <c r="Q755" s="8">
        <v>3750</v>
      </c>
      <c r="R755" s="8">
        <v>1125</v>
      </c>
      <c r="S755" s="8">
        <v>2625</v>
      </c>
      <c r="T755" s="8">
        <v>1992.14</v>
      </c>
      <c r="U755" s="8">
        <v>632.86</v>
      </c>
      <c r="V755" s="8" t="b">
        <f t="shared" si="70"/>
        <v>0</v>
      </c>
      <c r="W755" s="8">
        <f t="shared" si="71"/>
        <v>0</v>
      </c>
      <c r="X755" t="s">
        <v>55</v>
      </c>
      <c r="Y755" t="s">
        <v>104</v>
      </c>
      <c r="Z755" t="s">
        <v>56</v>
      </c>
      <c r="AA755">
        <v>3</v>
      </c>
      <c r="AB755" t="s">
        <v>75</v>
      </c>
      <c r="AC755" t="s">
        <v>58</v>
      </c>
    </row>
    <row r="756" spans="1:29" x14ac:dyDescent="0.3">
      <c r="A756" t="s">
        <v>882</v>
      </c>
      <c r="B756" s="6">
        <v>45773</v>
      </c>
      <c r="C756" s="6" t="str">
        <f t="shared" si="66"/>
        <v>8 AM - 12 PM</v>
      </c>
      <c r="D756" s="4">
        <v>0.43194444444444446</v>
      </c>
      <c r="E756" t="s">
        <v>60</v>
      </c>
      <c r="F756" t="s">
        <v>51</v>
      </c>
      <c r="G756" t="s">
        <v>153</v>
      </c>
      <c r="H756" t="s">
        <v>43</v>
      </c>
      <c r="I756" t="s">
        <v>63</v>
      </c>
      <c r="J756" t="s">
        <v>35</v>
      </c>
      <c r="K756">
        <v>2</v>
      </c>
      <c r="L756" s="8">
        <v>3800</v>
      </c>
      <c r="M756" s="8" t="str">
        <f t="shared" si="67"/>
        <v>21-30%</v>
      </c>
      <c r="N756">
        <v>25</v>
      </c>
      <c r="O756" t="str">
        <f t="shared" si="68"/>
        <v>Valid</v>
      </c>
      <c r="P756" t="str">
        <f t="shared" si="69"/>
        <v>Match</v>
      </c>
      <c r="Q756" s="8">
        <v>7600</v>
      </c>
      <c r="R756" s="8">
        <v>1900</v>
      </c>
      <c r="S756" s="8">
        <v>5700</v>
      </c>
      <c r="T756" s="8">
        <v>4302.78</v>
      </c>
      <c r="U756" s="8">
        <v>1397.22</v>
      </c>
      <c r="V756" s="8" t="b">
        <f t="shared" si="70"/>
        <v>0</v>
      </c>
      <c r="W756" s="8">
        <f t="shared" si="71"/>
        <v>0</v>
      </c>
      <c r="X756" t="s">
        <v>28</v>
      </c>
      <c r="Y756" t="s">
        <v>47</v>
      </c>
      <c r="Z756" t="s">
        <v>80</v>
      </c>
      <c r="AA756">
        <v>3</v>
      </c>
      <c r="AB756" t="s">
        <v>99</v>
      </c>
      <c r="AC756" t="s">
        <v>71</v>
      </c>
    </row>
    <row r="757" spans="1:29" x14ac:dyDescent="0.3">
      <c r="A757" t="s">
        <v>883</v>
      </c>
      <c r="B757" s="6">
        <v>45980</v>
      </c>
      <c r="C757" s="6" t="str">
        <f t="shared" si="66"/>
        <v>4 PM - 8 PM</v>
      </c>
      <c r="D757" s="4">
        <v>0.79236111111111107</v>
      </c>
      <c r="E757" t="s">
        <v>32</v>
      </c>
      <c r="F757" t="s">
        <v>24</v>
      </c>
      <c r="G757" t="s">
        <v>61</v>
      </c>
      <c r="H757" t="s">
        <v>102</v>
      </c>
      <c r="I757" t="s">
        <v>63</v>
      </c>
      <c r="J757" t="s">
        <v>35</v>
      </c>
      <c r="K757">
        <v>3</v>
      </c>
      <c r="L757" s="8" t="s">
        <v>884</v>
      </c>
      <c r="M757" s="8" t="str">
        <f t="shared" si="67"/>
        <v>21-30%</v>
      </c>
      <c r="N757">
        <v>25</v>
      </c>
      <c r="O757" t="str">
        <f t="shared" si="68"/>
        <v>Valid</v>
      </c>
      <c r="P757" t="str">
        <f t="shared" si="69"/>
        <v>Match</v>
      </c>
      <c r="Q757" s="8">
        <v>71100</v>
      </c>
      <c r="R757" s="8">
        <v>17775</v>
      </c>
      <c r="S757" s="8">
        <v>53325</v>
      </c>
      <c r="T757" s="8">
        <v>42783.62</v>
      </c>
      <c r="U757" s="8">
        <v>10541.38</v>
      </c>
      <c r="V757" s="8" t="b">
        <f t="shared" si="70"/>
        <v>0</v>
      </c>
      <c r="W757" s="8">
        <f t="shared" si="71"/>
        <v>0</v>
      </c>
      <c r="X757" t="s">
        <v>79</v>
      </c>
      <c r="Y757" t="s">
        <v>70</v>
      </c>
      <c r="Z757" t="s">
        <v>45</v>
      </c>
      <c r="AA757">
        <v>3.5</v>
      </c>
      <c r="AB757" t="s">
        <v>75</v>
      </c>
      <c r="AC757" t="s">
        <v>40</v>
      </c>
    </row>
    <row r="758" spans="1:29" x14ac:dyDescent="0.3">
      <c r="A758" t="s">
        <v>885</v>
      </c>
      <c r="B758" s="6">
        <v>45813</v>
      </c>
      <c r="C758" s="6" t="str">
        <f t="shared" si="66"/>
        <v>12 AM - 4 AM</v>
      </c>
      <c r="D758" s="4">
        <v>9.0277777777777776E-2</v>
      </c>
      <c r="E758" t="s">
        <v>622</v>
      </c>
      <c r="F758" t="s">
        <v>24</v>
      </c>
      <c r="G758" t="s">
        <v>110</v>
      </c>
      <c r="H758" t="s">
        <v>43</v>
      </c>
      <c r="I758" t="s">
        <v>54</v>
      </c>
      <c r="J758" t="s">
        <v>45</v>
      </c>
      <c r="K758">
        <v>2</v>
      </c>
      <c r="L758" s="8">
        <v>1550</v>
      </c>
      <c r="M758" s="8" t="str">
        <f t="shared" si="67"/>
        <v>11-20%</v>
      </c>
      <c r="N758">
        <v>15</v>
      </c>
      <c r="O758" t="str">
        <f t="shared" si="68"/>
        <v>Valid</v>
      </c>
      <c r="P758" t="str">
        <f t="shared" si="69"/>
        <v>Match</v>
      </c>
      <c r="Q758" s="8">
        <v>3100</v>
      </c>
      <c r="R758" s="8">
        <v>465</v>
      </c>
      <c r="S758" s="8">
        <v>2635</v>
      </c>
      <c r="T758" s="8">
        <v>2047.8</v>
      </c>
      <c r="U758" s="8">
        <v>587.20000000000005</v>
      </c>
      <c r="V758" s="8" t="b">
        <f t="shared" si="70"/>
        <v>0</v>
      </c>
      <c r="W758" s="8">
        <f t="shared" si="71"/>
        <v>0</v>
      </c>
      <c r="X758" t="s">
        <v>46</v>
      </c>
      <c r="Y758" t="s">
        <v>70</v>
      </c>
      <c r="Z758" t="s">
        <v>85</v>
      </c>
      <c r="AA758">
        <v>4.5</v>
      </c>
      <c r="AB758" t="s">
        <v>48</v>
      </c>
      <c r="AC758" t="s">
        <v>67</v>
      </c>
    </row>
    <row r="759" spans="1:29" x14ac:dyDescent="0.3">
      <c r="A759" t="s">
        <v>886</v>
      </c>
      <c r="B759" s="6">
        <v>45953</v>
      </c>
      <c r="C759" s="6" t="str">
        <f t="shared" si="66"/>
        <v>4 PM - 8 PM</v>
      </c>
      <c r="D759" s="4">
        <v>0.67152777777777772</v>
      </c>
      <c r="E759" t="s">
        <v>69</v>
      </c>
      <c r="F759" t="s">
        <v>96</v>
      </c>
      <c r="G759" t="s">
        <v>97</v>
      </c>
      <c r="H759" t="s">
        <v>26</v>
      </c>
      <c r="I759" t="s">
        <v>44</v>
      </c>
      <c r="J759" t="s">
        <v>35</v>
      </c>
      <c r="K759">
        <v>1</v>
      </c>
      <c r="L759" s="8">
        <v>2200</v>
      </c>
      <c r="M759" s="8" t="str">
        <f t="shared" si="67"/>
        <v>21-30%</v>
      </c>
      <c r="N759">
        <v>25</v>
      </c>
      <c r="O759" t="str">
        <f t="shared" si="68"/>
        <v>Valid</v>
      </c>
      <c r="P759" t="str">
        <f t="shared" si="69"/>
        <v>Match</v>
      </c>
      <c r="Q759" s="8">
        <v>2200</v>
      </c>
      <c r="R759" s="8">
        <v>550</v>
      </c>
      <c r="S759" s="8">
        <v>1650</v>
      </c>
      <c r="T759" s="8">
        <v>1526.08</v>
      </c>
      <c r="U759" s="8">
        <v>123.92</v>
      </c>
      <c r="V759" s="8" t="b">
        <f t="shared" si="70"/>
        <v>0</v>
      </c>
      <c r="W759" s="8">
        <f t="shared" si="71"/>
        <v>0</v>
      </c>
      <c r="X759" t="s">
        <v>28</v>
      </c>
      <c r="Y759" t="s">
        <v>65</v>
      </c>
      <c r="Z759" t="s">
        <v>80</v>
      </c>
      <c r="AA759">
        <v>4</v>
      </c>
      <c r="AB759" t="s">
        <v>57</v>
      </c>
      <c r="AC759" t="s">
        <v>67</v>
      </c>
    </row>
    <row r="760" spans="1:29" x14ac:dyDescent="0.3">
      <c r="A760" t="s">
        <v>887</v>
      </c>
      <c r="B760" s="6">
        <v>45805</v>
      </c>
      <c r="C760" s="6" t="str">
        <f t="shared" si="66"/>
        <v>8 PM - 12 AM</v>
      </c>
      <c r="D760" s="4">
        <v>0.90555555555555556</v>
      </c>
      <c r="E760" t="s">
        <v>622</v>
      </c>
      <c r="F760" t="s">
        <v>24</v>
      </c>
      <c r="G760" t="s">
        <v>42</v>
      </c>
      <c r="H760" t="s">
        <v>26</v>
      </c>
      <c r="I760" t="s">
        <v>44</v>
      </c>
      <c r="J760" t="s">
        <v>35</v>
      </c>
      <c r="K760">
        <v>1</v>
      </c>
      <c r="L760" s="8">
        <v>70550</v>
      </c>
      <c r="M760" s="8" t="str">
        <f t="shared" si="67"/>
        <v>1-10%</v>
      </c>
      <c r="N760">
        <v>10</v>
      </c>
      <c r="O760" t="str">
        <f t="shared" si="68"/>
        <v>Valid</v>
      </c>
      <c r="P760" t="str">
        <f t="shared" si="69"/>
        <v>Match</v>
      </c>
      <c r="Q760" s="8">
        <v>70550</v>
      </c>
      <c r="R760" s="8">
        <v>7055</v>
      </c>
      <c r="S760" s="8">
        <v>63495</v>
      </c>
      <c r="T760" s="8">
        <v>44409.48</v>
      </c>
      <c r="U760" s="8">
        <v>19085.52</v>
      </c>
      <c r="V760" s="8" t="b">
        <f t="shared" si="70"/>
        <v>0</v>
      </c>
      <c r="W760" s="8">
        <f t="shared" si="71"/>
        <v>0</v>
      </c>
      <c r="X760" t="s">
        <v>79</v>
      </c>
      <c r="Y760" t="s">
        <v>65</v>
      </c>
      <c r="Z760" t="s">
        <v>45</v>
      </c>
      <c r="AA760">
        <v>4</v>
      </c>
      <c r="AB760" t="s">
        <v>111</v>
      </c>
      <c r="AC760" t="s">
        <v>40</v>
      </c>
    </row>
    <row r="761" spans="1:29" x14ac:dyDescent="0.3">
      <c r="A761" t="s">
        <v>888</v>
      </c>
      <c r="B761" s="6">
        <v>45911</v>
      </c>
      <c r="C761" s="6" t="str">
        <f t="shared" si="66"/>
        <v>12 AM - 4 AM</v>
      </c>
      <c r="D761" s="4">
        <v>6.1111111111111109E-2</v>
      </c>
      <c r="E761" t="s">
        <v>60</v>
      </c>
      <c r="F761" t="s">
        <v>24</v>
      </c>
      <c r="G761" t="s">
        <v>110</v>
      </c>
      <c r="H761" t="s">
        <v>74</v>
      </c>
      <c r="I761" t="s">
        <v>98</v>
      </c>
      <c r="J761" t="s">
        <v>78</v>
      </c>
      <c r="K761">
        <v>2</v>
      </c>
      <c r="L761" s="8">
        <v>2500</v>
      </c>
      <c r="M761" s="8" t="str">
        <f t="shared" si="67"/>
        <v>11-20%</v>
      </c>
      <c r="N761">
        <v>15</v>
      </c>
      <c r="O761" t="str">
        <f t="shared" si="68"/>
        <v>Valid</v>
      </c>
      <c r="P761" t="str">
        <f t="shared" si="69"/>
        <v>Match</v>
      </c>
      <c r="Q761" s="8">
        <v>5000</v>
      </c>
      <c r="R761" s="8">
        <v>750</v>
      </c>
      <c r="S761" s="8">
        <v>4250</v>
      </c>
      <c r="T761" s="8">
        <v>2727.63</v>
      </c>
      <c r="U761" s="8">
        <v>1522.37</v>
      </c>
      <c r="V761" s="8" t="b">
        <f t="shared" si="70"/>
        <v>0</v>
      </c>
      <c r="W761" s="8">
        <f t="shared" si="71"/>
        <v>0</v>
      </c>
      <c r="X761" t="s">
        <v>36</v>
      </c>
      <c r="Y761" t="s">
        <v>37</v>
      </c>
      <c r="Z761" t="s">
        <v>56</v>
      </c>
      <c r="AA761">
        <v>4</v>
      </c>
      <c r="AB761" t="s">
        <v>155</v>
      </c>
      <c r="AC761" t="s">
        <v>67</v>
      </c>
    </row>
    <row r="762" spans="1:29" x14ac:dyDescent="0.3">
      <c r="A762" t="s">
        <v>889</v>
      </c>
      <c r="B762" s="6">
        <v>45911</v>
      </c>
      <c r="C762" s="6" t="str">
        <f t="shared" si="66"/>
        <v>4 AM - 8 AM</v>
      </c>
      <c r="D762" s="4">
        <v>0.33194444444444443</v>
      </c>
      <c r="E762" t="s">
        <v>622</v>
      </c>
      <c r="F762" t="s">
        <v>24</v>
      </c>
      <c r="G762" t="s">
        <v>88</v>
      </c>
      <c r="H762" t="s">
        <v>113</v>
      </c>
      <c r="I762" t="s">
        <v>98</v>
      </c>
      <c r="J762" t="s">
        <v>45</v>
      </c>
      <c r="K762">
        <v>1</v>
      </c>
      <c r="L762" s="8">
        <v>2000</v>
      </c>
      <c r="M762" s="8" t="str">
        <f t="shared" si="67"/>
        <v>21-30%</v>
      </c>
      <c r="N762">
        <v>30</v>
      </c>
      <c r="O762" t="str">
        <f t="shared" si="68"/>
        <v>Valid</v>
      </c>
      <c r="P762" t="str">
        <f t="shared" si="69"/>
        <v>Match</v>
      </c>
      <c r="Q762" s="8">
        <v>2000</v>
      </c>
      <c r="R762" s="8">
        <v>600</v>
      </c>
      <c r="S762" s="8">
        <v>1400</v>
      </c>
      <c r="T762" s="8">
        <v>1440.64</v>
      </c>
      <c r="U762" s="8">
        <v>-40.64</v>
      </c>
      <c r="V762" s="8" t="b">
        <f t="shared" si="70"/>
        <v>0</v>
      </c>
      <c r="W762" s="8">
        <f t="shared" si="71"/>
        <v>0</v>
      </c>
      <c r="X762" t="s">
        <v>28</v>
      </c>
      <c r="Y762" t="s">
        <v>70</v>
      </c>
      <c r="Z762" t="s">
        <v>38</v>
      </c>
      <c r="AA762">
        <v>4</v>
      </c>
      <c r="AB762" t="s">
        <v>155</v>
      </c>
      <c r="AC762" t="s">
        <v>67</v>
      </c>
    </row>
    <row r="763" spans="1:29" x14ac:dyDescent="0.3">
      <c r="A763" t="s">
        <v>890</v>
      </c>
      <c r="B763" s="6">
        <v>45845</v>
      </c>
      <c r="C763" s="6" t="str">
        <f t="shared" si="66"/>
        <v>4 AM - 8 AM</v>
      </c>
      <c r="D763" s="4">
        <v>0.17499999999999999</v>
      </c>
      <c r="E763" t="s">
        <v>69</v>
      </c>
      <c r="F763" t="s">
        <v>24</v>
      </c>
      <c r="G763" t="s">
        <v>61</v>
      </c>
      <c r="H763" t="s">
        <v>26</v>
      </c>
      <c r="I763" t="s">
        <v>44</v>
      </c>
      <c r="J763" t="s">
        <v>35</v>
      </c>
      <c r="K763">
        <v>2</v>
      </c>
      <c r="L763" s="8">
        <v>21950</v>
      </c>
      <c r="M763" s="8" t="str">
        <f t="shared" si="67"/>
        <v>1-10%</v>
      </c>
      <c r="N763">
        <v>10</v>
      </c>
      <c r="O763" t="str">
        <f t="shared" si="68"/>
        <v>Valid</v>
      </c>
      <c r="P763" t="str">
        <f t="shared" si="69"/>
        <v>Match</v>
      </c>
      <c r="Q763" s="8">
        <v>43900</v>
      </c>
      <c r="R763" s="8">
        <v>4390</v>
      </c>
      <c r="S763" s="8">
        <v>39510</v>
      </c>
      <c r="T763" s="8">
        <v>28215.54</v>
      </c>
      <c r="U763" s="8">
        <v>11294.46</v>
      </c>
      <c r="V763" s="8" t="b">
        <f t="shared" si="70"/>
        <v>0</v>
      </c>
      <c r="W763" s="8">
        <f t="shared" si="71"/>
        <v>0</v>
      </c>
      <c r="X763" t="s">
        <v>79</v>
      </c>
      <c r="Y763" t="s">
        <v>94</v>
      </c>
      <c r="Z763" t="s">
        <v>38</v>
      </c>
      <c r="AA763">
        <v>3</v>
      </c>
      <c r="AB763" t="s">
        <v>29</v>
      </c>
      <c r="AC763" t="s">
        <v>49</v>
      </c>
    </row>
    <row r="764" spans="1:29" x14ac:dyDescent="0.3">
      <c r="A764" t="s">
        <v>891</v>
      </c>
      <c r="B764" s="6">
        <v>45918</v>
      </c>
      <c r="C764" s="6" t="str">
        <f t="shared" si="66"/>
        <v>12 AM - 4 AM</v>
      </c>
      <c r="D764" s="4">
        <v>8.9583333333333334E-2</v>
      </c>
      <c r="E764" t="s">
        <v>622</v>
      </c>
      <c r="F764" t="s">
        <v>24</v>
      </c>
      <c r="G764" t="s">
        <v>110</v>
      </c>
      <c r="H764" t="s">
        <v>43</v>
      </c>
      <c r="I764" t="s">
        <v>54</v>
      </c>
      <c r="J764" t="s">
        <v>45</v>
      </c>
      <c r="K764">
        <v>2</v>
      </c>
      <c r="L764" s="8">
        <v>5150</v>
      </c>
      <c r="M764" s="8" t="str">
        <f t="shared" si="67"/>
        <v>21-30%</v>
      </c>
      <c r="N764">
        <v>25</v>
      </c>
      <c r="O764" t="str">
        <f t="shared" si="68"/>
        <v>Valid</v>
      </c>
      <c r="P764" t="str">
        <f t="shared" si="69"/>
        <v>Match</v>
      </c>
      <c r="Q764" s="8">
        <v>10300</v>
      </c>
      <c r="R764" s="8">
        <v>2575</v>
      </c>
      <c r="S764" s="8">
        <v>7725</v>
      </c>
      <c r="T764" s="8">
        <v>7091.66</v>
      </c>
      <c r="U764" s="8">
        <v>633.34</v>
      </c>
      <c r="V764" s="8" t="b">
        <f t="shared" si="70"/>
        <v>0</v>
      </c>
      <c r="W764" s="8">
        <f t="shared" si="71"/>
        <v>0</v>
      </c>
      <c r="X764" t="s">
        <v>36</v>
      </c>
      <c r="Y764" t="s">
        <v>47</v>
      </c>
      <c r="Z764" t="s">
        <v>64</v>
      </c>
      <c r="AA764">
        <v>4</v>
      </c>
      <c r="AB764" t="s">
        <v>155</v>
      </c>
      <c r="AC764" t="s">
        <v>67</v>
      </c>
    </row>
    <row r="765" spans="1:29" x14ac:dyDescent="0.3">
      <c r="A765" t="s">
        <v>892</v>
      </c>
      <c r="B765" s="6">
        <v>45951</v>
      </c>
      <c r="C765" s="6" t="str">
        <f t="shared" si="66"/>
        <v>12 PM - 4 PM</v>
      </c>
      <c r="D765" s="4">
        <v>0.58680555555555558</v>
      </c>
      <c r="E765" t="s">
        <v>108</v>
      </c>
      <c r="F765" t="s">
        <v>24</v>
      </c>
      <c r="G765" t="s">
        <v>88</v>
      </c>
      <c r="H765" t="s">
        <v>62</v>
      </c>
      <c r="I765" t="s">
        <v>98</v>
      </c>
      <c r="J765" t="s">
        <v>35</v>
      </c>
      <c r="K765">
        <v>1</v>
      </c>
      <c r="L765" s="8">
        <v>2300</v>
      </c>
      <c r="M765" s="8" t="str">
        <f t="shared" si="67"/>
        <v>11-20%</v>
      </c>
      <c r="N765">
        <v>15</v>
      </c>
      <c r="O765" t="str">
        <f t="shared" si="68"/>
        <v>Valid</v>
      </c>
      <c r="P765" t="str">
        <f t="shared" si="69"/>
        <v>Match</v>
      </c>
      <c r="Q765" s="8">
        <v>2300</v>
      </c>
      <c r="R765" s="8">
        <v>345</v>
      </c>
      <c r="S765" s="8">
        <v>1955</v>
      </c>
      <c r="T765" s="8">
        <v>1420.76</v>
      </c>
      <c r="U765" s="8">
        <v>534.24</v>
      </c>
      <c r="V765" s="8" t="b">
        <f t="shared" si="70"/>
        <v>0</v>
      </c>
      <c r="W765" s="8">
        <f t="shared" si="71"/>
        <v>0</v>
      </c>
      <c r="X765" t="s">
        <v>46</v>
      </c>
      <c r="Y765" t="s">
        <v>104</v>
      </c>
      <c r="Z765" t="s">
        <v>38</v>
      </c>
      <c r="AA765">
        <v>5</v>
      </c>
      <c r="AB765" t="s">
        <v>57</v>
      </c>
      <c r="AC765" t="s">
        <v>86</v>
      </c>
    </row>
    <row r="766" spans="1:29" x14ac:dyDescent="0.3">
      <c r="A766" t="s">
        <v>893</v>
      </c>
      <c r="B766" s="6">
        <v>45784</v>
      </c>
      <c r="C766" s="6" t="str">
        <f t="shared" si="66"/>
        <v>12 AM - 4 AM</v>
      </c>
      <c r="D766" s="4">
        <v>9.7916666666666666E-2</v>
      </c>
      <c r="E766" t="s">
        <v>23</v>
      </c>
      <c r="F766" t="s">
        <v>51</v>
      </c>
      <c r="G766" t="s">
        <v>101</v>
      </c>
      <c r="H766" t="s">
        <v>62</v>
      </c>
      <c r="I766" t="s">
        <v>63</v>
      </c>
      <c r="J766" t="s">
        <v>35</v>
      </c>
      <c r="K766">
        <v>1</v>
      </c>
      <c r="L766" s="8">
        <v>11600</v>
      </c>
      <c r="M766" s="8" t="str">
        <f t="shared" si="67"/>
        <v>11-20%</v>
      </c>
      <c r="N766">
        <v>20</v>
      </c>
      <c r="O766" t="str">
        <f t="shared" si="68"/>
        <v>Valid</v>
      </c>
      <c r="P766" t="str">
        <f t="shared" si="69"/>
        <v>Match</v>
      </c>
      <c r="Q766" s="8">
        <v>11600</v>
      </c>
      <c r="R766" s="8">
        <v>2320</v>
      </c>
      <c r="S766" s="8">
        <v>9280</v>
      </c>
      <c r="T766" s="8">
        <v>8430.01</v>
      </c>
      <c r="U766" s="8">
        <v>849.99</v>
      </c>
      <c r="V766" s="8" t="b">
        <f t="shared" si="70"/>
        <v>0</v>
      </c>
      <c r="W766" s="8">
        <f t="shared" si="71"/>
        <v>0</v>
      </c>
      <c r="X766" t="s">
        <v>28</v>
      </c>
      <c r="Y766" t="s">
        <v>70</v>
      </c>
      <c r="Z766" t="s">
        <v>64</v>
      </c>
      <c r="AA766">
        <v>5</v>
      </c>
      <c r="AB766" t="s">
        <v>111</v>
      </c>
      <c r="AC766" t="s">
        <v>40</v>
      </c>
    </row>
    <row r="767" spans="1:29" x14ac:dyDescent="0.3">
      <c r="A767" t="s">
        <v>894</v>
      </c>
      <c r="B767" s="6">
        <v>45896</v>
      </c>
      <c r="C767" s="6" t="str">
        <f t="shared" si="66"/>
        <v>12 PM - 4 PM</v>
      </c>
      <c r="D767" s="4">
        <v>0.6118055555555556</v>
      </c>
      <c r="E767" t="s">
        <v>69</v>
      </c>
      <c r="F767" t="s">
        <v>24</v>
      </c>
      <c r="G767" t="s">
        <v>61</v>
      </c>
      <c r="H767" t="s">
        <v>53</v>
      </c>
      <c r="I767" t="s">
        <v>44</v>
      </c>
      <c r="J767" t="s">
        <v>93</v>
      </c>
      <c r="K767">
        <v>3</v>
      </c>
      <c r="L767" s="8">
        <v>15500</v>
      </c>
      <c r="M767" s="8" t="str">
        <f t="shared" si="67"/>
        <v>21-30%</v>
      </c>
      <c r="N767">
        <v>25</v>
      </c>
      <c r="O767" t="str">
        <f t="shared" si="68"/>
        <v>Valid</v>
      </c>
      <c r="P767" t="str">
        <f t="shared" si="69"/>
        <v>Match</v>
      </c>
      <c r="Q767" s="8">
        <v>46500</v>
      </c>
      <c r="R767" s="8">
        <v>11625</v>
      </c>
      <c r="S767" s="8">
        <v>34875</v>
      </c>
      <c r="T767" s="8">
        <v>25136.54</v>
      </c>
      <c r="U767" s="8">
        <v>9738.4599999999991</v>
      </c>
      <c r="V767" s="8" t="b">
        <f t="shared" si="70"/>
        <v>0</v>
      </c>
      <c r="W767" s="8">
        <f t="shared" si="71"/>
        <v>0</v>
      </c>
      <c r="X767" t="s">
        <v>28</v>
      </c>
      <c r="Y767" t="s">
        <v>70</v>
      </c>
      <c r="Z767" t="s">
        <v>38</v>
      </c>
      <c r="AA767">
        <v>3.5</v>
      </c>
      <c r="AB767" t="s">
        <v>90</v>
      </c>
      <c r="AC767" t="s">
        <v>40</v>
      </c>
    </row>
    <row r="768" spans="1:29" x14ac:dyDescent="0.3">
      <c r="A768" t="s">
        <v>895</v>
      </c>
      <c r="B768" s="6">
        <v>45717</v>
      </c>
      <c r="C768" s="6" t="str">
        <f t="shared" si="66"/>
        <v>12 PM - 4 PM</v>
      </c>
      <c r="D768" s="4">
        <v>0.58819444444444446</v>
      </c>
      <c r="E768" t="s">
        <v>69</v>
      </c>
      <c r="F768" t="s">
        <v>24</v>
      </c>
      <c r="G768" t="s">
        <v>88</v>
      </c>
      <c r="H768" t="s">
        <v>53</v>
      </c>
      <c r="I768" t="s">
        <v>63</v>
      </c>
      <c r="J768" t="s">
        <v>78</v>
      </c>
      <c r="K768">
        <v>1</v>
      </c>
      <c r="L768" s="8">
        <v>3650</v>
      </c>
      <c r="M768" s="8" t="str">
        <f t="shared" si="67"/>
        <v>11-20%</v>
      </c>
      <c r="N768">
        <v>15</v>
      </c>
      <c r="O768" t="str">
        <f t="shared" si="68"/>
        <v>Valid</v>
      </c>
      <c r="P768" t="str">
        <f t="shared" si="69"/>
        <v>Match</v>
      </c>
      <c r="Q768" s="8">
        <v>3650</v>
      </c>
      <c r="R768" s="8">
        <v>547.5</v>
      </c>
      <c r="S768" s="8">
        <v>3102.5</v>
      </c>
      <c r="T768" s="8">
        <v>2339.2800000000002</v>
      </c>
      <c r="U768" s="8">
        <v>763.22</v>
      </c>
      <c r="V768" s="8" t="b">
        <f t="shared" si="70"/>
        <v>0</v>
      </c>
      <c r="W768" s="8">
        <f t="shared" si="71"/>
        <v>0</v>
      </c>
      <c r="X768" t="s">
        <v>248</v>
      </c>
      <c r="Y768" t="s">
        <v>70</v>
      </c>
      <c r="Z768" t="s">
        <v>85</v>
      </c>
      <c r="AA768">
        <v>4</v>
      </c>
      <c r="AB768" t="s">
        <v>127</v>
      </c>
      <c r="AC768" t="s">
        <v>71</v>
      </c>
    </row>
    <row r="769" spans="1:29" x14ac:dyDescent="0.3">
      <c r="A769" t="s">
        <v>896</v>
      </c>
      <c r="B769" s="6">
        <v>45955</v>
      </c>
      <c r="C769" s="6" t="str">
        <f t="shared" si="66"/>
        <v>12 AM - 4 AM</v>
      </c>
      <c r="D769" s="4">
        <v>4.7222222222222221E-2</v>
      </c>
      <c r="E769" t="s">
        <v>622</v>
      </c>
      <c r="F769" t="s">
        <v>24</v>
      </c>
      <c r="G769" t="s">
        <v>88</v>
      </c>
      <c r="H769" t="s">
        <v>62</v>
      </c>
      <c r="I769" t="s">
        <v>98</v>
      </c>
      <c r="J769" t="s">
        <v>64</v>
      </c>
      <c r="K769">
        <v>1</v>
      </c>
      <c r="L769" s="8">
        <v>1250</v>
      </c>
      <c r="M769" s="8" t="str">
        <f t="shared" si="67"/>
        <v>1-10%</v>
      </c>
      <c r="N769">
        <v>5</v>
      </c>
      <c r="O769" t="str">
        <f t="shared" si="68"/>
        <v>Valid</v>
      </c>
      <c r="P769" t="str">
        <f t="shared" si="69"/>
        <v>Match</v>
      </c>
      <c r="Q769" s="8">
        <v>1250</v>
      </c>
      <c r="R769" s="8">
        <v>62.5</v>
      </c>
      <c r="S769" s="8">
        <v>1187.5</v>
      </c>
      <c r="T769" s="8">
        <v>770.63</v>
      </c>
      <c r="U769" s="8">
        <v>416.87</v>
      </c>
      <c r="V769" s="8" t="b">
        <f t="shared" si="70"/>
        <v>0</v>
      </c>
      <c r="W769" s="8">
        <f t="shared" si="71"/>
        <v>0</v>
      </c>
      <c r="X769" t="s">
        <v>28</v>
      </c>
      <c r="Y769" t="s">
        <v>37</v>
      </c>
      <c r="Z769" t="s">
        <v>45</v>
      </c>
      <c r="AA769">
        <v>3.5</v>
      </c>
      <c r="AB769" t="s">
        <v>57</v>
      </c>
      <c r="AC769" t="s">
        <v>71</v>
      </c>
    </row>
    <row r="770" spans="1:29" x14ac:dyDescent="0.3">
      <c r="A770" t="s">
        <v>897</v>
      </c>
      <c r="B770" s="6">
        <v>45669</v>
      </c>
      <c r="C770" s="6" t="str">
        <f t="shared" ref="C770:C833" si="72">IF(D770&lt;TIME(4,0,0),"12 AM - 4 AM",IF(D770&lt;TIME(8,0,0),"4 AM - 8 AM",IF(D770&lt;TIME(12,0,0),"8 AM - 12 PM",IF(D770&lt;TIME(16,0,0),"12 PM - 4 PM",IF(D770&lt;TIME(20,0,0),"4 PM - 8 PM","8 PM - 12 AM")))))</f>
        <v>4 AM - 8 AM</v>
      </c>
      <c r="D770" s="4">
        <v>0.32361111111111113</v>
      </c>
      <c r="E770" t="s">
        <v>622</v>
      </c>
      <c r="F770" t="s">
        <v>24</v>
      </c>
      <c r="G770" t="s">
        <v>25</v>
      </c>
      <c r="H770" t="s">
        <v>113</v>
      </c>
      <c r="I770" t="s">
        <v>82</v>
      </c>
      <c r="J770" t="s">
        <v>35</v>
      </c>
      <c r="K770">
        <v>1</v>
      </c>
      <c r="L770" s="8" t="s">
        <v>898</v>
      </c>
      <c r="M770" s="8" t="str">
        <f t="shared" ref="M770:M833" si="73">IF(N770&lt;0,"Invalid",IF(N770=0,"0%",IF(N770&lt;=10,"1-10%",IF(N770&lt;=20,"11-20%",IF(N770&lt;=30,"21-30%","30%+")))))</f>
        <v>21-30%</v>
      </c>
      <c r="N770">
        <v>30</v>
      </c>
      <c r="O770" t="str">
        <f t="shared" ref="O770:O833" si="74">IF(OR(N770&lt;0,N770&gt;100),"Invalid Discount","Valid")</f>
        <v>Valid</v>
      </c>
      <c r="P770" t="str">
        <f t="shared" ref="P770:P833" si="75">IF(ROUND(R770,2)=ROUND(Q770*N770/100,2),"Match","Mismatch")</f>
        <v>Match</v>
      </c>
      <c r="Q770" s="8">
        <v>8000</v>
      </c>
      <c r="R770" s="8">
        <v>2400</v>
      </c>
      <c r="S770" s="8">
        <v>5600</v>
      </c>
      <c r="T770" s="8">
        <v>5093.42</v>
      </c>
      <c r="U770" s="8">
        <v>506.58</v>
      </c>
      <c r="V770" s="8" t="b">
        <f t="shared" ref="V770:V833" si="76">IF(AND(S770-T770&lt;0,U770=S770-T770),TRUE,FALSE)</f>
        <v>0</v>
      </c>
      <c r="W770" s="8">
        <f t="shared" ref="W770:W833" si="77">IF(V770=TRUE,ABS(U770),0)</f>
        <v>0</v>
      </c>
      <c r="X770" t="s">
        <v>36</v>
      </c>
      <c r="Y770" t="s">
        <v>104</v>
      </c>
      <c r="Z770" t="s">
        <v>80</v>
      </c>
      <c r="AA770">
        <v>3.5</v>
      </c>
      <c r="AB770" t="s">
        <v>151</v>
      </c>
      <c r="AC770" t="s">
        <v>30</v>
      </c>
    </row>
    <row r="771" spans="1:29" x14ac:dyDescent="0.3">
      <c r="A771" t="s">
        <v>899</v>
      </c>
      <c r="B771" s="6">
        <v>45797</v>
      </c>
      <c r="C771" s="6" t="str">
        <f t="shared" si="72"/>
        <v>8 PM - 12 AM</v>
      </c>
      <c r="D771" s="4">
        <v>0.89513888888888893</v>
      </c>
      <c r="E771" t="s">
        <v>32</v>
      </c>
      <c r="F771" t="s">
        <v>24</v>
      </c>
      <c r="G771" t="s">
        <v>33</v>
      </c>
      <c r="H771" t="s">
        <v>62</v>
      </c>
      <c r="I771" t="s">
        <v>63</v>
      </c>
      <c r="J771" t="s">
        <v>35</v>
      </c>
      <c r="K771">
        <v>1</v>
      </c>
      <c r="L771" s="8">
        <v>3350</v>
      </c>
      <c r="M771" s="8" t="str">
        <f t="shared" si="73"/>
        <v>11-20%</v>
      </c>
      <c r="N771">
        <v>15</v>
      </c>
      <c r="O771" t="str">
        <f t="shared" si="74"/>
        <v>Valid</v>
      </c>
      <c r="P771" t="str">
        <f t="shared" si="75"/>
        <v>Match</v>
      </c>
      <c r="Q771" s="8">
        <v>3350</v>
      </c>
      <c r="R771" s="8">
        <v>502.5</v>
      </c>
      <c r="S771" s="8">
        <v>2847.5</v>
      </c>
      <c r="T771" s="8">
        <v>1990.75</v>
      </c>
      <c r="U771" s="8">
        <v>856.75</v>
      </c>
      <c r="V771" s="8" t="b">
        <f t="shared" si="76"/>
        <v>0</v>
      </c>
      <c r="W771" s="8">
        <f t="shared" si="77"/>
        <v>0</v>
      </c>
      <c r="X771" t="s">
        <v>55</v>
      </c>
      <c r="Y771" t="s">
        <v>37</v>
      </c>
      <c r="Z771" t="s">
        <v>56</v>
      </c>
      <c r="AA771">
        <v>4.5</v>
      </c>
      <c r="AB771" t="s">
        <v>111</v>
      </c>
      <c r="AC771" t="s">
        <v>86</v>
      </c>
    </row>
    <row r="772" spans="1:29" x14ac:dyDescent="0.3">
      <c r="A772" t="s">
        <v>900</v>
      </c>
      <c r="B772" s="6">
        <v>45993</v>
      </c>
      <c r="C772" s="6" t="str">
        <f t="shared" si="72"/>
        <v>8 PM - 12 AM</v>
      </c>
      <c r="D772" s="4">
        <v>0.89513888888888893</v>
      </c>
      <c r="E772" t="s">
        <v>60</v>
      </c>
      <c r="F772" t="s">
        <v>24</v>
      </c>
      <c r="G772" t="s">
        <v>42</v>
      </c>
      <c r="H772" t="s">
        <v>113</v>
      </c>
      <c r="I772" t="s">
        <v>54</v>
      </c>
      <c r="J772" t="s">
        <v>35</v>
      </c>
      <c r="K772">
        <v>1</v>
      </c>
      <c r="L772" s="8">
        <v>106350</v>
      </c>
      <c r="M772" s="8" t="str">
        <f t="shared" si="73"/>
        <v>11-20%</v>
      </c>
      <c r="N772">
        <v>20</v>
      </c>
      <c r="O772" t="str">
        <f t="shared" si="74"/>
        <v>Valid</v>
      </c>
      <c r="P772" t="str">
        <f t="shared" si="75"/>
        <v>Match</v>
      </c>
      <c r="Q772" s="8">
        <v>106350</v>
      </c>
      <c r="R772" s="8">
        <v>21270</v>
      </c>
      <c r="S772" s="8">
        <v>85080</v>
      </c>
      <c r="T772" s="8">
        <v>68458.899999999994</v>
      </c>
      <c r="U772" s="8">
        <v>16621.099999999999</v>
      </c>
      <c r="V772" s="8" t="b">
        <f t="shared" si="76"/>
        <v>0</v>
      </c>
      <c r="W772" s="8">
        <f t="shared" si="77"/>
        <v>0</v>
      </c>
      <c r="X772" t="s">
        <v>55</v>
      </c>
      <c r="Y772" t="s">
        <v>94</v>
      </c>
      <c r="Z772" t="s">
        <v>80</v>
      </c>
      <c r="AA772">
        <v>4</v>
      </c>
      <c r="AB772" t="s">
        <v>39</v>
      </c>
      <c r="AC772" t="s">
        <v>86</v>
      </c>
    </row>
    <row r="773" spans="1:29" x14ac:dyDescent="0.3">
      <c r="A773" t="s">
        <v>901</v>
      </c>
      <c r="B773" s="6">
        <v>45854</v>
      </c>
      <c r="C773" s="6" t="str">
        <f t="shared" si="72"/>
        <v>12 PM - 4 PM</v>
      </c>
      <c r="D773" s="4">
        <v>0.62569444444444444</v>
      </c>
      <c r="E773" t="s">
        <v>108</v>
      </c>
      <c r="F773" t="s">
        <v>24</v>
      </c>
      <c r="G773" t="s">
        <v>25</v>
      </c>
      <c r="H773" t="s">
        <v>53</v>
      </c>
      <c r="I773" t="s">
        <v>63</v>
      </c>
      <c r="J773" t="s">
        <v>35</v>
      </c>
      <c r="K773">
        <v>1</v>
      </c>
      <c r="L773" s="8">
        <v>7750</v>
      </c>
      <c r="M773" s="8" t="str">
        <f t="shared" si="73"/>
        <v>1-10%</v>
      </c>
      <c r="N773">
        <v>10</v>
      </c>
      <c r="O773" t="str">
        <f t="shared" si="74"/>
        <v>Valid</v>
      </c>
      <c r="P773" t="str">
        <f t="shared" si="75"/>
        <v>Match</v>
      </c>
      <c r="Q773" s="8">
        <v>7750</v>
      </c>
      <c r="R773" s="8">
        <v>775</v>
      </c>
      <c r="S773" s="8">
        <v>6975</v>
      </c>
      <c r="T773" s="8">
        <v>5487.05</v>
      </c>
      <c r="U773" s="8">
        <v>1487.95</v>
      </c>
      <c r="V773" s="8" t="b">
        <f t="shared" si="76"/>
        <v>0</v>
      </c>
      <c r="W773" s="8">
        <f t="shared" si="77"/>
        <v>0</v>
      </c>
      <c r="X773" t="s">
        <v>36</v>
      </c>
      <c r="Y773" t="s">
        <v>65</v>
      </c>
      <c r="Z773" t="s">
        <v>38</v>
      </c>
      <c r="AA773">
        <v>3.5</v>
      </c>
      <c r="AB773" t="s">
        <v>29</v>
      </c>
      <c r="AC773" t="s">
        <v>40</v>
      </c>
    </row>
    <row r="774" spans="1:29" x14ac:dyDescent="0.3">
      <c r="A774" t="s">
        <v>902</v>
      </c>
      <c r="B774" s="6">
        <v>45839</v>
      </c>
      <c r="C774" s="6" t="str">
        <f t="shared" si="72"/>
        <v>8 PM - 12 AM</v>
      </c>
      <c r="D774" s="4">
        <v>0.84652777777777777</v>
      </c>
      <c r="E774" t="s">
        <v>23</v>
      </c>
      <c r="F774" t="s">
        <v>24</v>
      </c>
      <c r="G774" t="s">
        <v>110</v>
      </c>
      <c r="H774" t="s">
        <v>102</v>
      </c>
      <c r="I774" t="s">
        <v>27</v>
      </c>
      <c r="J774" t="s">
        <v>78</v>
      </c>
      <c r="K774">
        <v>1</v>
      </c>
      <c r="L774" s="8">
        <v>3300</v>
      </c>
      <c r="M774" s="8" t="str">
        <f t="shared" si="73"/>
        <v>1-10%</v>
      </c>
      <c r="N774">
        <v>10</v>
      </c>
      <c r="O774" t="str">
        <f t="shared" si="74"/>
        <v>Valid</v>
      </c>
      <c r="P774" t="str">
        <f t="shared" si="75"/>
        <v>Match</v>
      </c>
      <c r="Q774" s="8">
        <v>3300</v>
      </c>
      <c r="R774" s="8">
        <v>330</v>
      </c>
      <c r="S774" s="8">
        <v>2970</v>
      </c>
      <c r="T774" s="8">
        <v>2212.81</v>
      </c>
      <c r="U774" s="8">
        <v>757.19</v>
      </c>
      <c r="V774" s="8" t="b">
        <f t="shared" si="76"/>
        <v>0</v>
      </c>
      <c r="W774" s="8">
        <f t="shared" si="77"/>
        <v>0</v>
      </c>
      <c r="X774" t="s">
        <v>28</v>
      </c>
      <c r="Y774" t="s">
        <v>94</v>
      </c>
      <c r="Z774" t="s">
        <v>45</v>
      </c>
      <c r="AA774">
        <v>3</v>
      </c>
      <c r="AB774" t="s">
        <v>29</v>
      </c>
      <c r="AC774" t="s">
        <v>86</v>
      </c>
    </row>
    <row r="775" spans="1:29" x14ac:dyDescent="0.3">
      <c r="A775" t="s">
        <v>903</v>
      </c>
      <c r="B775" s="6">
        <v>45835</v>
      </c>
      <c r="C775" s="6" t="str">
        <f t="shared" si="72"/>
        <v>8 AM - 12 PM</v>
      </c>
      <c r="D775" s="4">
        <v>0.37986111111111109</v>
      </c>
      <c r="E775" t="s">
        <v>622</v>
      </c>
      <c r="F775" t="s">
        <v>24</v>
      </c>
      <c r="G775" t="s">
        <v>120</v>
      </c>
      <c r="H775" t="s">
        <v>26</v>
      </c>
      <c r="I775" t="s">
        <v>98</v>
      </c>
      <c r="J775" t="s">
        <v>35</v>
      </c>
      <c r="K775">
        <v>1</v>
      </c>
      <c r="L775" s="8">
        <v>12950</v>
      </c>
      <c r="M775" s="8" t="str">
        <f t="shared" si="73"/>
        <v>21-30%</v>
      </c>
      <c r="N775">
        <v>30</v>
      </c>
      <c r="O775" t="str">
        <f t="shared" si="74"/>
        <v>Valid</v>
      </c>
      <c r="P775" t="str">
        <f t="shared" si="75"/>
        <v>Match</v>
      </c>
      <c r="Q775" s="8">
        <v>12950</v>
      </c>
      <c r="R775" s="8">
        <v>3885</v>
      </c>
      <c r="S775" s="8">
        <v>9065</v>
      </c>
      <c r="T775" s="8">
        <v>8030.37</v>
      </c>
      <c r="U775" s="8">
        <v>1034.6300000000001</v>
      </c>
      <c r="V775" s="8" t="b">
        <f t="shared" si="76"/>
        <v>0</v>
      </c>
      <c r="W775" s="8">
        <f t="shared" si="77"/>
        <v>0</v>
      </c>
      <c r="X775" t="s">
        <v>79</v>
      </c>
      <c r="Y775" t="s">
        <v>104</v>
      </c>
      <c r="Z775" t="s">
        <v>56</v>
      </c>
      <c r="AA775">
        <v>3.5</v>
      </c>
      <c r="AB775" t="s">
        <v>48</v>
      </c>
      <c r="AC775" t="s">
        <v>58</v>
      </c>
    </row>
    <row r="776" spans="1:29" x14ac:dyDescent="0.3">
      <c r="A776" t="s">
        <v>904</v>
      </c>
      <c r="B776" s="6">
        <v>45664</v>
      </c>
      <c r="C776" s="6" t="str">
        <f t="shared" si="72"/>
        <v>8 PM - 12 AM</v>
      </c>
      <c r="D776" s="4">
        <v>0.89652777777777781</v>
      </c>
      <c r="E776" t="s">
        <v>32</v>
      </c>
      <c r="F776" t="s">
        <v>24</v>
      </c>
      <c r="G776" t="s">
        <v>61</v>
      </c>
      <c r="H776" t="s">
        <v>74</v>
      </c>
      <c r="I776" t="s">
        <v>44</v>
      </c>
      <c r="J776" t="s">
        <v>35</v>
      </c>
      <c r="K776">
        <v>2</v>
      </c>
      <c r="L776" s="8">
        <v>41000</v>
      </c>
      <c r="M776" s="8" t="str">
        <f t="shared" si="73"/>
        <v>21-30%</v>
      </c>
      <c r="N776">
        <v>25</v>
      </c>
      <c r="O776" t="str">
        <f t="shared" si="74"/>
        <v>Valid</v>
      </c>
      <c r="P776" t="str">
        <f t="shared" si="75"/>
        <v>Match</v>
      </c>
      <c r="Q776" s="8">
        <v>82000</v>
      </c>
      <c r="R776" s="8">
        <v>20500</v>
      </c>
      <c r="S776" s="8">
        <v>61500</v>
      </c>
      <c r="T776" s="8">
        <v>49268.639999999999</v>
      </c>
      <c r="U776" s="8">
        <v>12231.36</v>
      </c>
      <c r="V776" s="8" t="b">
        <f t="shared" si="76"/>
        <v>0</v>
      </c>
      <c r="W776" s="8">
        <f t="shared" si="77"/>
        <v>0</v>
      </c>
      <c r="X776" t="s">
        <v>36</v>
      </c>
      <c r="Y776" t="s">
        <v>37</v>
      </c>
      <c r="Z776" t="s">
        <v>56</v>
      </c>
      <c r="AA776">
        <v>4</v>
      </c>
      <c r="AB776" t="s">
        <v>151</v>
      </c>
      <c r="AC776" t="s">
        <v>86</v>
      </c>
    </row>
    <row r="777" spans="1:29" x14ac:dyDescent="0.3">
      <c r="A777" t="s">
        <v>905</v>
      </c>
      <c r="B777" s="6">
        <v>45807</v>
      </c>
      <c r="C777" s="6" t="str">
        <f t="shared" si="72"/>
        <v>8 PM - 12 AM</v>
      </c>
      <c r="D777" s="4">
        <v>0.84375</v>
      </c>
      <c r="E777" t="s">
        <v>23</v>
      </c>
      <c r="F777" t="s">
        <v>24</v>
      </c>
      <c r="G777" t="s">
        <v>110</v>
      </c>
      <c r="H777" t="s">
        <v>43</v>
      </c>
      <c r="I777" t="s">
        <v>27</v>
      </c>
      <c r="J777" t="s">
        <v>45</v>
      </c>
      <c r="K777">
        <v>1</v>
      </c>
      <c r="L777" s="8">
        <v>4450</v>
      </c>
      <c r="M777" s="8" t="str">
        <f t="shared" si="73"/>
        <v>21-30%</v>
      </c>
      <c r="N777">
        <v>25</v>
      </c>
      <c r="O777" t="str">
        <f t="shared" si="74"/>
        <v>Valid</v>
      </c>
      <c r="P777" t="str">
        <f t="shared" si="75"/>
        <v>Match</v>
      </c>
      <c r="Q777" s="8">
        <v>4450</v>
      </c>
      <c r="R777" s="8">
        <v>1112.5</v>
      </c>
      <c r="S777" s="8">
        <v>3337.5</v>
      </c>
      <c r="T777" s="8">
        <v>3021.56</v>
      </c>
      <c r="U777" s="8">
        <v>315.94</v>
      </c>
      <c r="V777" s="8" t="b">
        <f t="shared" si="76"/>
        <v>0</v>
      </c>
      <c r="W777" s="8">
        <f t="shared" si="77"/>
        <v>0</v>
      </c>
      <c r="X777" t="s">
        <v>79</v>
      </c>
      <c r="Y777" t="s">
        <v>70</v>
      </c>
      <c r="Z777" t="s">
        <v>38</v>
      </c>
      <c r="AA777">
        <v>3.5</v>
      </c>
      <c r="AB777" t="s">
        <v>111</v>
      </c>
      <c r="AC777" t="s">
        <v>58</v>
      </c>
    </row>
    <row r="778" spans="1:29" x14ac:dyDescent="0.3">
      <c r="A778" t="s">
        <v>906</v>
      </c>
      <c r="B778" s="6">
        <v>45900</v>
      </c>
      <c r="C778" s="6" t="str">
        <f t="shared" si="72"/>
        <v>4 PM - 8 PM</v>
      </c>
      <c r="D778" s="4">
        <v>0.69861111111111107</v>
      </c>
      <c r="E778" t="s">
        <v>108</v>
      </c>
      <c r="F778" t="s">
        <v>24</v>
      </c>
      <c r="G778" t="s">
        <v>110</v>
      </c>
      <c r="H778" t="s">
        <v>53</v>
      </c>
      <c r="I778" t="s">
        <v>98</v>
      </c>
      <c r="J778" t="s">
        <v>45</v>
      </c>
      <c r="K778">
        <v>1</v>
      </c>
      <c r="L778" s="8">
        <v>4500</v>
      </c>
      <c r="M778" s="8" t="str">
        <f t="shared" si="73"/>
        <v>11-20%</v>
      </c>
      <c r="N778">
        <v>15</v>
      </c>
      <c r="O778" t="str">
        <f t="shared" si="74"/>
        <v>Valid</v>
      </c>
      <c r="P778" t="str">
        <f t="shared" si="75"/>
        <v>Match</v>
      </c>
      <c r="Q778" s="8">
        <v>4500</v>
      </c>
      <c r="R778" s="8">
        <v>675</v>
      </c>
      <c r="S778" s="8">
        <v>3825</v>
      </c>
      <c r="T778" s="8">
        <v>2950.32</v>
      </c>
      <c r="U778" s="8">
        <v>874.68</v>
      </c>
      <c r="V778" s="8" t="b">
        <f t="shared" si="76"/>
        <v>0</v>
      </c>
      <c r="W778" s="8">
        <f t="shared" si="77"/>
        <v>0</v>
      </c>
      <c r="X778" t="s">
        <v>79</v>
      </c>
      <c r="Y778" t="s">
        <v>65</v>
      </c>
      <c r="Z778" t="s">
        <v>56</v>
      </c>
      <c r="AA778">
        <v>4</v>
      </c>
      <c r="AB778" t="s">
        <v>90</v>
      </c>
      <c r="AC778" t="s">
        <v>30</v>
      </c>
    </row>
    <row r="779" spans="1:29" x14ac:dyDescent="0.3">
      <c r="A779" t="s">
        <v>907</v>
      </c>
      <c r="B779" s="6">
        <v>45736</v>
      </c>
      <c r="C779" s="6" t="str">
        <f t="shared" si="72"/>
        <v>12 PM - 4 PM</v>
      </c>
      <c r="D779" s="4">
        <v>0.65833333333333333</v>
      </c>
      <c r="E779" t="s">
        <v>77</v>
      </c>
      <c r="F779" t="s">
        <v>96</v>
      </c>
      <c r="G779" t="s">
        <v>129</v>
      </c>
      <c r="H779" t="s">
        <v>26</v>
      </c>
      <c r="I779" t="s">
        <v>103</v>
      </c>
      <c r="J779" t="s">
        <v>64</v>
      </c>
      <c r="K779">
        <v>4</v>
      </c>
      <c r="L779" s="8">
        <v>3450</v>
      </c>
      <c r="M779" s="8" t="str">
        <f t="shared" si="73"/>
        <v>11-20%</v>
      </c>
      <c r="N779">
        <v>20</v>
      </c>
      <c r="O779" t="str">
        <f t="shared" si="74"/>
        <v>Valid</v>
      </c>
      <c r="P779" t="str">
        <f t="shared" si="75"/>
        <v>Match</v>
      </c>
      <c r="Q779" s="8">
        <v>13800</v>
      </c>
      <c r="R779" s="8">
        <v>2760</v>
      </c>
      <c r="S779" s="8">
        <v>11040</v>
      </c>
      <c r="T779" s="8">
        <v>10011.450000000001</v>
      </c>
      <c r="U779" s="8">
        <v>1028.55</v>
      </c>
      <c r="V779" s="8" t="b">
        <f t="shared" si="76"/>
        <v>0</v>
      </c>
      <c r="W779" s="8">
        <f t="shared" si="77"/>
        <v>0</v>
      </c>
      <c r="X779" t="s">
        <v>36</v>
      </c>
      <c r="Y779" t="s">
        <v>47</v>
      </c>
      <c r="Z779" t="s">
        <v>64</v>
      </c>
      <c r="AA779">
        <v>5</v>
      </c>
      <c r="AB779" t="s">
        <v>127</v>
      </c>
      <c r="AC779" t="s">
        <v>67</v>
      </c>
    </row>
    <row r="780" spans="1:29" x14ac:dyDescent="0.3">
      <c r="A780" t="s">
        <v>908</v>
      </c>
      <c r="B780" s="6">
        <v>45907</v>
      </c>
      <c r="C780" s="6" t="str">
        <f t="shared" si="72"/>
        <v>4 AM - 8 AM</v>
      </c>
      <c r="D780" s="4">
        <v>0.29444444444444445</v>
      </c>
      <c r="E780" t="s">
        <v>157</v>
      </c>
      <c r="F780" t="s">
        <v>24</v>
      </c>
      <c r="G780" t="s">
        <v>84</v>
      </c>
      <c r="H780" t="s">
        <v>113</v>
      </c>
      <c r="I780" t="s">
        <v>63</v>
      </c>
      <c r="J780" t="s">
        <v>35</v>
      </c>
      <c r="K780">
        <v>1</v>
      </c>
      <c r="L780" s="8">
        <v>26250</v>
      </c>
      <c r="M780" s="8" t="str">
        <f t="shared" si="73"/>
        <v>1-10%</v>
      </c>
      <c r="N780">
        <v>10</v>
      </c>
      <c r="O780" t="str">
        <f t="shared" si="74"/>
        <v>Valid</v>
      </c>
      <c r="P780" t="str">
        <f t="shared" si="75"/>
        <v>Match</v>
      </c>
      <c r="Q780" s="8">
        <v>26250</v>
      </c>
      <c r="R780" s="8">
        <v>2625</v>
      </c>
      <c r="S780" s="8">
        <v>23625</v>
      </c>
      <c r="T780" s="8">
        <v>13883.42</v>
      </c>
      <c r="U780" s="8">
        <v>9741.58</v>
      </c>
      <c r="V780" s="8" t="b">
        <f t="shared" si="76"/>
        <v>0</v>
      </c>
      <c r="W780" s="8">
        <f t="shared" si="77"/>
        <v>0</v>
      </c>
      <c r="X780" t="s">
        <v>28</v>
      </c>
      <c r="Y780" t="s">
        <v>104</v>
      </c>
      <c r="Z780" t="s">
        <v>38</v>
      </c>
      <c r="AA780">
        <v>4.5</v>
      </c>
      <c r="AB780" t="s">
        <v>155</v>
      </c>
      <c r="AC780" t="s">
        <v>30</v>
      </c>
    </row>
    <row r="781" spans="1:29" x14ac:dyDescent="0.3">
      <c r="A781" t="s">
        <v>909</v>
      </c>
      <c r="B781" s="6">
        <v>45756</v>
      </c>
      <c r="C781" s="6" t="str">
        <f t="shared" si="72"/>
        <v>4 PM - 8 PM</v>
      </c>
      <c r="D781" s="4">
        <v>0.76111111111111107</v>
      </c>
      <c r="E781" t="s">
        <v>60</v>
      </c>
      <c r="F781" t="s">
        <v>51</v>
      </c>
      <c r="G781" t="s">
        <v>153</v>
      </c>
      <c r="H781" t="s">
        <v>62</v>
      </c>
      <c r="I781" t="s">
        <v>98</v>
      </c>
      <c r="J781" t="s">
        <v>45</v>
      </c>
      <c r="K781">
        <v>3</v>
      </c>
      <c r="L781" s="8">
        <v>3650</v>
      </c>
      <c r="M781" s="8" t="str">
        <f t="shared" si="73"/>
        <v>11-20%</v>
      </c>
      <c r="N781">
        <v>15</v>
      </c>
      <c r="O781" t="str">
        <f t="shared" si="74"/>
        <v>Valid</v>
      </c>
      <c r="P781" t="str">
        <f t="shared" si="75"/>
        <v>Match</v>
      </c>
      <c r="Q781" s="8">
        <v>10950</v>
      </c>
      <c r="R781" s="8">
        <v>1642.5</v>
      </c>
      <c r="S781" s="8">
        <v>9307.5</v>
      </c>
      <c r="T781" s="8">
        <v>8019.07</v>
      </c>
      <c r="U781" s="8">
        <v>1288.43</v>
      </c>
      <c r="V781" s="8" t="b">
        <f t="shared" si="76"/>
        <v>0</v>
      </c>
      <c r="W781" s="8">
        <f t="shared" si="77"/>
        <v>0</v>
      </c>
      <c r="X781" t="s">
        <v>79</v>
      </c>
      <c r="Y781" t="s">
        <v>47</v>
      </c>
      <c r="Z781" t="s">
        <v>38</v>
      </c>
      <c r="AA781">
        <v>5</v>
      </c>
      <c r="AB781" t="s">
        <v>99</v>
      </c>
      <c r="AC781" t="s">
        <v>40</v>
      </c>
    </row>
    <row r="782" spans="1:29" x14ac:dyDescent="0.3">
      <c r="A782" t="s">
        <v>910</v>
      </c>
      <c r="B782" s="6">
        <v>45797</v>
      </c>
      <c r="C782" s="6" t="str">
        <f t="shared" si="72"/>
        <v>8 AM - 12 PM</v>
      </c>
      <c r="D782" s="4">
        <v>0.44374999999999998</v>
      </c>
      <c r="E782" t="s">
        <v>622</v>
      </c>
      <c r="F782" t="s">
        <v>24</v>
      </c>
      <c r="G782" t="s">
        <v>33</v>
      </c>
      <c r="H782" t="s">
        <v>113</v>
      </c>
      <c r="I782" t="s">
        <v>82</v>
      </c>
      <c r="J782" t="s">
        <v>45</v>
      </c>
      <c r="K782">
        <v>1</v>
      </c>
      <c r="L782" s="8">
        <v>4300</v>
      </c>
      <c r="M782" s="8" t="str">
        <f t="shared" si="73"/>
        <v>11-20%</v>
      </c>
      <c r="N782">
        <v>15</v>
      </c>
      <c r="O782" t="str">
        <f t="shared" si="74"/>
        <v>Valid</v>
      </c>
      <c r="P782" t="str">
        <f t="shared" si="75"/>
        <v>Match</v>
      </c>
      <c r="Q782" s="8">
        <v>4300</v>
      </c>
      <c r="R782" s="8">
        <v>645</v>
      </c>
      <c r="S782" s="8">
        <v>3655</v>
      </c>
      <c r="T782" s="8">
        <v>2636.86</v>
      </c>
      <c r="U782" s="8">
        <v>1018.14</v>
      </c>
      <c r="V782" s="8" t="b">
        <f t="shared" si="76"/>
        <v>0</v>
      </c>
      <c r="W782" s="8">
        <f t="shared" si="77"/>
        <v>0</v>
      </c>
      <c r="X782" t="s">
        <v>46</v>
      </c>
      <c r="Y782" t="s">
        <v>104</v>
      </c>
      <c r="Z782" t="s">
        <v>85</v>
      </c>
      <c r="AA782">
        <v>4</v>
      </c>
      <c r="AB782" t="s">
        <v>111</v>
      </c>
      <c r="AC782" t="s">
        <v>86</v>
      </c>
    </row>
    <row r="783" spans="1:29" x14ac:dyDescent="0.3">
      <c r="A783" t="s">
        <v>911</v>
      </c>
      <c r="B783" s="6">
        <v>45798</v>
      </c>
      <c r="C783" s="6" t="str">
        <f t="shared" si="72"/>
        <v>8 AM - 12 PM</v>
      </c>
      <c r="D783" s="4">
        <v>0.45</v>
      </c>
      <c r="E783" t="s">
        <v>60</v>
      </c>
      <c r="F783" t="s">
        <v>24</v>
      </c>
      <c r="G783" t="s">
        <v>42</v>
      </c>
      <c r="H783" t="s">
        <v>62</v>
      </c>
      <c r="I783" t="s">
        <v>125</v>
      </c>
      <c r="J783" t="s">
        <v>35</v>
      </c>
      <c r="K783">
        <v>1</v>
      </c>
      <c r="L783" s="8">
        <v>54100</v>
      </c>
      <c r="M783" s="8" t="str">
        <f t="shared" si="73"/>
        <v>11-20%</v>
      </c>
      <c r="N783">
        <v>15</v>
      </c>
      <c r="O783" t="str">
        <f t="shared" si="74"/>
        <v>Valid</v>
      </c>
      <c r="P783" t="str">
        <f t="shared" si="75"/>
        <v>Match</v>
      </c>
      <c r="Q783" s="8">
        <v>54100</v>
      </c>
      <c r="R783" s="8">
        <v>8115</v>
      </c>
      <c r="S783" s="8">
        <v>45985</v>
      </c>
      <c r="T783" s="8">
        <v>36740.17</v>
      </c>
      <c r="U783" s="8">
        <v>9244.83</v>
      </c>
      <c r="V783" s="8" t="b">
        <f t="shared" si="76"/>
        <v>0</v>
      </c>
      <c r="W783" s="8">
        <f t="shared" si="77"/>
        <v>0</v>
      </c>
      <c r="X783" t="s">
        <v>28</v>
      </c>
      <c r="Y783" t="s">
        <v>89</v>
      </c>
      <c r="Z783" t="s">
        <v>64</v>
      </c>
      <c r="AA783">
        <v>4</v>
      </c>
      <c r="AB783" t="s">
        <v>111</v>
      </c>
      <c r="AC783" t="s">
        <v>40</v>
      </c>
    </row>
    <row r="784" spans="1:29" x14ac:dyDescent="0.3">
      <c r="A784" t="s">
        <v>912</v>
      </c>
      <c r="B784" s="6">
        <v>45968</v>
      </c>
      <c r="C784" s="6" t="str">
        <f t="shared" si="72"/>
        <v>4 AM - 8 AM</v>
      </c>
      <c r="D784" s="4">
        <v>0.27500000000000002</v>
      </c>
      <c r="E784" t="s">
        <v>69</v>
      </c>
      <c r="F784" t="s">
        <v>24</v>
      </c>
      <c r="G784" t="s">
        <v>25</v>
      </c>
      <c r="H784" t="s">
        <v>113</v>
      </c>
      <c r="I784" t="s">
        <v>27</v>
      </c>
      <c r="J784" t="s">
        <v>200</v>
      </c>
      <c r="K784">
        <v>1</v>
      </c>
      <c r="L784" s="8">
        <v>4300</v>
      </c>
      <c r="M784" s="8" t="str">
        <f t="shared" si="73"/>
        <v>1-10%</v>
      </c>
      <c r="N784">
        <v>10</v>
      </c>
      <c r="O784" t="str">
        <f t="shared" si="74"/>
        <v>Valid</v>
      </c>
      <c r="P784" t="str">
        <f t="shared" si="75"/>
        <v>Match</v>
      </c>
      <c r="Q784" s="8">
        <v>4300</v>
      </c>
      <c r="R784" s="8">
        <v>430</v>
      </c>
      <c r="S784" s="8">
        <v>3870</v>
      </c>
      <c r="T784" s="8">
        <v>3056.53</v>
      </c>
      <c r="U784" s="8">
        <v>813.47</v>
      </c>
      <c r="V784" s="8" t="b">
        <f t="shared" si="76"/>
        <v>0</v>
      </c>
      <c r="W784" s="8">
        <f t="shared" si="77"/>
        <v>0</v>
      </c>
      <c r="X784" t="s">
        <v>55</v>
      </c>
      <c r="Y784" t="s">
        <v>104</v>
      </c>
      <c r="Z784" t="s">
        <v>64</v>
      </c>
      <c r="AA784">
        <v>4</v>
      </c>
      <c r="AB784" t="s">
        <v>75</v>
      </c>
      <c r="AC784" t="s">
        <v>58</v>
      </c>
    </row>
    <row r="785" spans="1:29" x14ac:dyDescent="0.3">
      <c r="A785" t="s">
        <v>913</v>
      </c>
      <c r="B785" s="6">
        <v>45900</v>
      </c>
      <c r="C785" s="6" t="str">
        <f t="shared" si="72"/>
        <v>12 PM - 4 PM</v>
      </c>
      <c r="D785" s="4">
        <v>0.63263888888888886</v>
      </c>
      <c r="E785" t="s">
        <v>23</v>
      </c>
      <c r="F785" t="s">
        <v>24</v>
      </c>
      <c r="G785" t="s">
        <v>33</v>
      </c>
      <c r="H785" t="s">
        <v>102</v>
      </c>
      <c r="I785" t="s">
        <v>54</v>
      </c>
      <c r="J785" t="s">
        <v>45</v>
      </c>
      <c r="K785">
        <v>1</v>
      </c>
      <c r="L785" s="8">
        <v>1750</v>
      </c>
      <c r="M785" s="8" t="str">
        <f t="shared" si="73"/>
        <v>21-30%</v>
      </c>
      <c r="N785">
        <v>30</v>
      </c>
      <c r="O785" t="str">
        <f t="shared" si="74"/>
        <v>Valid</v>
      </c>
      <c r="P785" t="str">
        <f t="shared" si="75"/>
        <v>Match</v>
      </c>
      <c r="Q785" s="8">
        <v>1750</v>
      </c>
      <c r="R785" s="8">
        <v>525</v>
      </c>
      <c r="S785" s="8">
        <v>1225</v>
      </c>
      <c r="T785" s="8">
        <v>967.45</v>
      </c>
      <c r="U785" s="8">
        <v>257.55</v>
      </c>
      <c r="V785" s="8" t="b">
        <f t="shared" si="76"/>
        <v>0</v>
      </c>
      <c r="W785" s="8">
        <f t="shared" si="77"/>
        <v>0</v>
      </c>
      <c r="X785" t="s">
        <v>79</v>
      </c>
      <c r="Y785" t="s">
        <v>47</v>
      </c>
      <c r="Z785" t="s">
        <v>38</v>
      </c>
      <c r="AA785">
        <v>4</v>
      </c>
      <c r="AB785" t="s">
        <v>90</v>
      </c>
      <c r="AC785" t="s">
        <v>30</v>
      </c>
    </row>
    <row r="786" spans="1:29" x14ac:dyDescent="0.3">
      <c r="A786" t="s">
        <v>914</v>
      </c>
      <c r="B786" s="6">
        <v>45971</v>
      </c>
      <c r="C786" s="6" t="str">
        <f t="shared" si="72"/>
        <v>4 PM - 8 PM</v>
      </c>
      <c r="D786" s="4">
        <v>0.73333333333333328</v>
      </c>
      <c r="E786" t="s">
        <v>108</v>
      </c>
      <c r="F786" t="s">
        <v>24</v>
      </c>
      <c r="G786" t="s">
        <v>120</v>
      </c>
      <c r="H786" t="s">
        <v>62</v>
      </c>
      <c r="I786" t="s">
        <v>82</v>
      </c>
      <c r="J786" t="s">
        <v>35</v>
      </c>
      <c r="K786">
        <v>1</v>
      </c>
      <c r="L786" s="8">
        <v>9150</v>
      </c>
      <c r="M786" s="8" t="str">
        <f t="shared" si="73"/>
        <v>21-30%</v>
      </c>
      <c r="N786">
        <v>30</v>
      </c>
      <c r="O786" t="str">
        <f t="shared" si="74"/>
        <v>Valid</v>
      </c>
      <c r="P786" t="str">
        <f t="shared" si="75"/>
        <v>Match</v>
      </c>
      <c r="Q786" s="8">
        <v>9150</v>
      </c>
      <c r="R786" s="8">
        <v>2745</v>
      </c>
      <c r="S786" s="8">
        <v>6405</v>
      </c>
      <c r="T786" s="8">
        <v>5301.09</v>
      </c>
      <c r="U786" s="8">
        <v>1103.9100000000001</v>
      </c>
      <c r="V786" s="8" t="b">
        <f t="shared" si="76"/>
        <v>0</v>
      </c>
      <c r="W786" s="8">
        <f t="shared" si="77"/>
        <v>0</v>
      </c>
      <c r="X786" t="s">
        <v>55</v>
      </c>
      <c r="Y786" t="s">
        <v>65</v>
      </c>
      <c r="Z786" t="s">
        <v>56</v>
      </c>
      <c r="AA786">
        <v>4</v>
      </c>
      <c r="AB786" t="s">
        <v>75</v>
      </c>
      <c r="AC786" t="s">
        <v>49</v>
      </c>
    </row>
    <row r="787" spans="1:29" x14ac:dyDescent="0.3">
      <c r="A787" t="s">
        <v>915</v>
      </c>
      <c r="B787" s="6">
        <v>45711</v>
      </c>
      <c r="C787" s="6" t="str">
        <f t="shared" si="72"/>
        <v>4 PM - 8 PM</v>
      </c>
      <c r="D787" s="4">
        <v>0.69861111111111107</v>
      </c>
      <c r="E787" t="s">
        <v>69</v>
      </c>
      <c r="F787" t="s">
        <v>51</v>
      </c>
      <c r="G787" t="s">
        <v>153</v>
      </c>
      <c r="H787" t="s">
        <v>102</v>
      </c>
      <c r="I787" t="s">
        <v>63</v>
      </c>
      <c r="J787" t="s">
        <v>35</v>
      </c>
      <c r="K787">
        <v>2</v>
      </c>
      <c r="L787" s="8">
        <v>2450</v>
      </c>
      <c r="M787" s="8" t="str">
        <f t="shared" si="73"/>
        <v>21-30%</v>
      </c>
      <c r="N787">
        <v>25</v>
      </c>
      <c r="O787" t="str">
        <f t="shared" si="74"/>
        <v>Valid</v>
      </c>
      <c r="P787" t="str">
        <f t="shared" si="75"/>
        <v>Match</v>
      </c>
      <c r="Q787" s="8">
        <v>4900</v>
      </c>
      <c r="R787" s="8">
        <v>1225</v>
      </c>
      <c r="S787" s="8">
        <v>3675</v>
      </c>
      <c r="T787" s="8">
        <v>2695.86</v>
      </c>
      <c r="U787" s="8">
        <v>979.14</v>
      </c>
      <c r="V787" s="8" t="b">
        <f t="shared" si="76"/>
        <v>0</v>
      </c>
      <c r="W787" s="8">
        <f t="shared" si="77"/>
        <v>0</v>
      </c>
      <c r="X787" t="s">
        <v>55</v>
      </c>
      <c r="Y787" t="s">
        <v>70</v>
      </c>
      <c r="Z787" t="s">
        <v>56</v>
      </c>
      <c r="AA787">
        <v>3</v>
      </c>
      <c r="AB787" t="s">
        <v>66</v>
      </c>
      <c r="AC787" t="s">
        <v>30</v>
      </c>
    </row>
    <row r="788" spans="1:29" x14ac:dyDescent="0.3">
      <c r="A788" t="s">
        <v>916</v>
      </c>
      <c r="B788" s="6">
        <v>45923</v>
      </c>
      <c r="C788" s="6" t="str">
        <f t="shared" si="72"/>
        <v>8 PM - 12 AM</v>
      </c>
      <c r="D788" s="4">
        <v>0.88680555555555551</v>
      </c>
      <c r="E788" t="s">
        <v>77</v>
      </c>
      <c r="F788" t="s">
        <v>24</v>
      </c>
      <c r="G788" t="s">
        <v>61</v>
      </c>
      <c r="H788" t="s">
        <v>53</v>
      </c>
      <c r="I788" t="s">
        <v>54</v>
      </c>
      <c r="J788" t="s">
        <v>45</v>
      </c>
      <c r="K788">
        <v>1</v>
      </c>
      <c r="L788" s="8">
        <v>40000</v>
      </c>
      <c r="M788" s="8" t="str">
        <f t="shared" si="73"/>
        <v>11-20%</v>
      </c>
      <c r="N788">
        <v>15</v>
      </c>
      <c r="O788" t="str">
        <f t="shared" si="74"/>
        <v>Valid</v>
      </c>
      <c r="P788" t="str">
        <f t="shared" si="75"/>
        <v>Match</v>
      </c>
      <c r="Q788" s="8">
        <v>40000</v>
      </c>
      <c r="R788" s="8">
        <v>6000</v>
      </c>
      <c r="S788" s="8">
        <v>34000</v>
      </c>
      <c r="T788" s="8">
        <v>24132.78</v>
      </c>
      <c r="U788" s="8">
        <v>9867.2199999999993</v>
      </c>
      <c r="V788" s="8" t="b">
        <f t="shared" si="76"/>
        <v>0</v>
      </c>
      <c r="W788" s="8">
        <f t="shared" si="77"/>
        <v>0</v>
      </c>
      <c r="X788" t="s">
        <v>79</v>
      </c>
      <c r="Y788" t="s">
        <v>70</v>
      </c>
      <c r="Z788" t="s">
        <v>64</v>
      </c>
      <c r="AA788">
        <v>3.5</v>
      </c>
      <c r="AB788" t="s">
        <v>155</v>
      </c>
      <c r="AC788" t="s">
        <v>86</v>
      </c>
    </row>
    <row r="789" spans="1:29" x14ac:dyDescent="0.3">
      <c r="A789" t="s">
        <v>917</v>
      </c>
      <c r="B789" s="6">
        <v>45948</v>
      </c>
      <c r="C789" s="6" t="str">
        <f t="shared" si="72"/>
        <v>4 PM - 8 PM</v>
      </c>
      <c r="D789" s="4">
        <v>0.76597222222222228</v>
      </c>
      <c r="E789" t="s">
        <v>108</v>
      </c>
      <c r="F789" t="s">
        <v>96</v>
      </c>
      <c r="G789" t="s">
        <v>134</v>
      </c>
      <c r="H789" t="s">
        <v>34</v>
      </c>
      <c r="I789" t="s">
        <v>63</v>
      </c>
      <c r="J789" t="s">
        <v>35</v>
      </c>
      <c r="K789">
        <v>1</v>
      </c>
      <c r="L789" s="8">
        <v>1850</v>
      </c>
      <c r="M789" s="8" t="str">
        <f t="shared" si="73"/>
        <v>1-10%</v>
      </c>
      <c r="N789">
        <v>10</v>
      </c>
      <c r="O789" t="str">
        <f t="shared" si="74"/>
        <v>Valid</v>
      </c>
      <c r="P789" t="str">
        <f t="shared" si="75"/>
        <v>Match</v>
      </c>
      <c r="Q789" s="8">
        <v>1850</v>
      </c>
      <c r="R789" s="8">
        <v>185</v>
      </c>
      <c r="S789" s="8">
        <v>1665</v>
      </c>
      <c r="T789" s="8">
        <v>973.25</v>
      </c>
      <c r="U789" s="8">
        <v>691.75</v>
      </c>
      <c r="V789" s="8" t="b">
        <f t="shared" si="76"/>
        <v>0</v>
      </c>
      <c r="W789" s="8">
        <f t="shared" si="77"/>
        <v>0</v>
      </c>
      <c r="X789" t="s">
        <v>79</v>
      </c>
      <c r="Y789" t="s">
        <v>37</v>
      </c>
      <c r="Z789" t="s">
        <v>64</v>
      </c>
      <c r="AA789">
        <v>3.5</v>
      </c>
      <c r="AB789" t="s">
        <v>57</v>
      </c>
      <c r="AC789" t="s">
        <v>71</v>
      </c>
    </row>
    <row r="790" spans="1:29" x14ac:dyDescent="0.3">
      <c r="A790" t="s">
        <v>918</v>
      </c>
      <c r="B790" s="6">
        <v>45871</v>
      </c>
      <c r="C790" s="6" t="str">
        <f t="shared" si="72"/>
        <v>12 PM - 4 PM</v>
      </c>
      <c r="D790" s="4">
        <v>0.65</v>
      </c>
      <c r="E790" t="s">
        <v>60</v>
      </c>
      <c r="F790" t="s">
        <v>24</v>
      </c>
      <c r="G790" t="s">
        <v>110</v>
      </c>
      <c r="H790" t="s">
        <v>26</v>
      </c>
      <c r="I790" t="s">
        <v>98</v>
      </c>
      <c r="J790" t="s">
        <v>45</v>
      </c>
      <c r="K790">
        <v>2</v>
      </c>
      <c r="L790" s="8">
        <v>900</v>
      </c>
      <c r="M790" s="8" t="str">
        <f t="shared" si="73"/>
        <v>0%</v>
      </c>
      <c r="N790">
        <v>0</v>
      </c>
      <c r="O790" t="str">
        <f t="shared" si="74"/>
        <v>Valid</v>
      </c>
      <c r="P790" t="str">
        <f t="shared" si="75"/>
        <v>Match</v>
      </c>
      <c r="Q790" s="8">
        <v>1800</v>
      </c>
      <c r="R790" s="8">
        <v>0</v>
      </c>
      <c r="S790" s="8">
        <v>1800</v>
      </c>
      <c r="T790" s="8">
        <v>1280.69</v>
      </c>
      <c r="U790" s="8">
        <v>519.30999999999995</v>
      </c>
      <c r="V790" s="8" t="b">
        <f t="shared" si="76"/>
        <v>0</v>
      </c>
      <c r="W790" s="8">
        <f t="shared" si="77"/>
        <v>0</v>
      </c>
      <c r="X790" t="s">
        <v>36</v>
      </c>
      <c r="Y790" t="s">
        <v>47</v>
      </c>
      <c r="Z790" t="s">
        <v>64</v>
      </c>
      <c r="AA790">
        <v>4</v>
      </c>
      <c r="AB790" t="s">
        <v>90</v>
      </c>
      <c r="AC790" t="s">
        <v>71</v>
      </c>
    </row>
    <row r="791" spans="1:29" x14ac:dyDescent="0.3">
      <c r="A791" t="s">
        <v>919</v>
      </c>
      <c r="B791" s="6">
        <v>45961</v>
      </c>
      <c r="C791" s="6" t="str">
        <f t="shared" si="72"/>
        <v>4 PM - 8 PM</v>
      </c>
      <c r="D791" s="4">
        <v>0.81180555555555556</v>
      </c>
      <c r="E791" t="s">
        <v>60</v>
      </c>
      <c r="F791" t="s">
        <v>24</v>
      </c>
      <c r="G791" t="s">
        <v>61</v>
      </c>
      <c r="H791" t="s">
        <v>74</v>
      </c>
      <c r="I791" t="s">
        <v>54</v>
      </c>
      <c r="J791" t="s">
        <v>45</v>
      </c>
      <c r="K791">
        <v>2</v>
      </c>
      <c r="L791" s="8">
        <v>35100</v>
      </c>
      <c r="M791" s="8" t="str">
        <f t="shared" si="73"/>
        <v>21-30%</v>
      </c>
      <c r="N791">
        <v>30</v>
      </c>
      <c r="O791" t="str">
        <f t="shared" si="74"/>
        <v>Valid</v>
      </c>
      <c r="P791" t="str">
        <f t="shared" si="75"/>
        <v>Match</v>
      </c>
      <c r="Q791" s="8">
        <v>70200</v>
      </c>
      <c r="R791" s="8">
        <v>21060</v>
      </c>
      <c r="S791" s="8">
        <v>49140</v>
      </c>
      <c r="T791" s="8">
        <v>44019.519999999997</v>
      </c>
      <c r="U791" s="8">
        <v>5120.4799999999996</v>
      </c>
      <c r="V791" s="8" t="b">
        <f t="shared" si="76"/>
        <v>0</v>
      </c>
      <c r="W791" s="8">
        <f t="shared" si="77"/>
        <v>0</v>
      </c>
      <c r="X791" t="s">
        <v>55</v>
      </c>
      <c r="Y791" t="s">
        <v>37</v>
      </c>
      <c r="Z791" t="s">
        <v>64</v>
      </c>
      <c r="AA791">
        <v>4</v>
      </c>
      <c r="AB791" t="s">
        <v>57</v>
      </c>
      <c r="AC791" t="s">
        <v>58</v>
      </c>
    </row>
    <row r="792" spans="1:29" x14ac:dyDescent="0.3">
      <c r="A792" t="s">
        <v>920</v>
      </c>
      <c r="B792" s="6">
        <v>45936</v>
      </c>
      <c r="C792" s="6" t="str">
        <f t="shared" si="72"/>
        <v>8 AM - 12 PM</v>
      </c>
      <c r="D792" s="4">
        <v>0.33333333333333331</v>
      </c>
      <c r="E792" t="s">
        <v>108</v>
      </c>
      <c r="F792" t="s">
        <v>51</v>
      </c>
      <c r="G792" t="s">
        <v>153</v>
      </c>
      <c r="H792" t="s">
        <v>62</v>
      </c>
      <c r="I792" t="s">
        <v>103</v>
      </c>
      <c r="J792" t="s">
        <v>35</v>
      </c>
      <c r="K792">
        <v>1</v>
      </c>
      <c r="L792" s="8">
        <v>3500</v>
      </c>
      <c r="M792" s="8" t="str">
        <f t="shared" si="73"/>
        <v>11-20%</v>
      </c>
      <c r="N792">
        <v>20</v>
      </c>
      <c r="O792" t="str">
        <f t="shared" si="74"/>
        <v>Valid</v>
      </c>
      <c r="P792" t="str">
        <f t="shared" si="75"/>
        <v>Match</v>
      </c>
      <c r="Q792" s="8">
        <v>3500</v>
      </c>
      <c r="R792" s="8">
        <v>700</v>
      </c>
      <c r="S792" s="8">
        <v>2800</v>
      </c>
      <c r="T792" s="8">
        <v>2588.46</v>
      </c>
      <c r="U792" s="8">
        <v>211.54</v>
      </c>
      <c r="V792" s="8" t="b">
        <f t="shared" si="76"/>
        <v>0</v>
      </c>
      <c r="W792" s="8">
        <f t="shared" si="77"/>
        <v>0</v>
      </c>
      <c r="X792" t="s">
        <v>28</v>
      </c>
      <c r="Y792" t="s">
        <v>65</v>
      </c>
      <c r="Z792" t="s">
        <v>80</v>
      </c>
      <c r="AA792">
        <v>4</v>
      </c>
      <c r="AB792" t="s">
        <v>57</v>
      </c>
      <c r="AC792" t="s">
        <v>49</v>
      </c>
    </row>
    <row r="793" spans="1:29" x14ac:dyDescent="0.3">
      <c r="A793" t="s">
        <v>921</v>
      </c>
      <c r="B793" s="6">
        <v>45893</v>
      </c>
      <c r="C793" s="6" t="str">
        <f t="shared" si="72"/>
        <v>4 AM - 8 AM</v>
      </c>
      <c r="D793" s="4">
        <v>0.22013888888888888</v>
      </c>
      <c r="E793" t="s">
        <v>622</v>
      </c>
      <c r="F793" t="s">
        <v>51</v>
      </c>
      <c r="G793" t="s">
        <v>73</v>
      </c>
      <c r="H793" t="s">
        <v>74</v>
      </c>
      <c r="I793" t="s">
        <v>44</v>
      </c>
      <c r="J793" t="s">
        <v>35</v>
      </c>
      <c r="K793">
        <v>1</v>
      </c>
      <c r="L793" s="8">
        <v>4500</v>
      </c>
      <c r="M793" s="8" t="str">
        <f t="shared" si="73"/>
        <v>0%</v>
      </c>
      <c r="N793">
        <v>0</v>
      </c>
      <c r="O793" t="str">
        <f t="shared" si="74"/>
        <v>Valid</v>
      </c>
      <c r="P793" t="str">
        <f t="shared" si="75"/>
        <v>Match</v>
      </c>
      <c r="Q793" s="8">
        <v>4500</v>
      </c>
      <c r="R793" s="8">
        <v>0</v>
      </c>
      <c r="S793" s="8">
        <v>4500</v>
      </c>
      <c r="T793" s="8">
        <v>2578.16</v>
      </c>
      <c r="U793" s="8">
        <v>1921.84</v>
      </c>
      <c r="V793" s="8" t="b">
        <f t="shared" si="76"/>
        <v>0</v>
      </c>
      <c r="W793" s="8">
        <f t="shared" si="77"/>
        <v>0</v>
      </c>
      <c r="X793" t="s">
        <v>55</v>
      </c>
      <c r="Y793" t="s">
        <v>37</v>
      </c>
      <c r="Z793" t="s">
        <v>56</v>
      </c>
      <c r="AA793">
        <v>4</v>
      </c>
      <c r="AB793" t="s">
        <v>90</v>
      </c>
      <c r="AC793" t="s">
        <v>30</v>
      </c>
    </row>
    <row r="794" spans="1:29" x14ac:dyDescent="0.3">
      <c r="A794" t="s">
        <v>922</v>
      </c>
      <c r="B794" s="6">
        <v>45952</v>
      </c>
      <c r="C794" s="6" t="str">
        <f t="shared" si="72"/>
        <v>8 AM - 12 PM</v>
      </c>
      <c r="D794" s="4">
        <v>0.37916666666666665</v>
      </c>
      <c r="E794" t="s">
        <v>69</v>
      </c>
      <c r="F794" t="s">
        <v>24</v>
      </c>
      <c r="G794" t="s">
        <v>42</v>
      </c>
      <c r="H794" t="s">
        <v>62</v>
      </c>
      <c r="I794" t="s">
        <v>63</v>
      </c>
      <c r="J794" t="s">
        <v>35</v>
      </c>
      <c r="K794">
        <v>1</v>
      </c>
      <c r="L794" s="8">
        <v>26150</v>
      </c>
      <c r="M794" s="8" t="str">
        <f t="shared" si="73"/>
        <v>11-20%</v>
      </c>
      <c r="N794">
        <v>20</v>
      </c>
      <c r="O794" t="str">
        <f t="shared" si="74"/>
        <v>Valid</v>
      </c>
      <c r="P794" t="str">
        <f t="shared" si="75"/>
        <v>Match</v>
      </c>
      <c r="Q794" s="8">
        <v>26150</v>
      </c>
      <c r="R794" s="8">
        <v>5230</v>
      </c>
      <c r="S794" s="8">
        <v>20920</v>
      </c>
      <c r="T794" s="8">
        <v>17275.830000000002</v>
      </c>
      <c r="U794" s="8">
        <v>3644.17</v>
      </c>
      <c r="V794" s="8" t="b">
        <f t="shared" si="76"/>
        <v>0</v>
      </c>
      <c r="W794" s="8">
        <f t="shared" si="77"/>
        <v>0</v>
      </c>
      <c r="X794" t="s">
        <v>55</v>
      </c>
      <c r="Y794" t="s">
        <v>70</v>
      </c>
      <c r="Z794" t="s">
        <v>38</v>
      </c>
      <c r="AA794">
        <v>4</v>
      </c>
      <c r="AB794" t="s">
        <v>57</v>
      </c>
      <c r="AC794" t="s">
        <v>40</v>
      </c>
    </row>
    <row r="795" spans="1:29" x14ac:dyDescent="0.3">
      <c r="A795" t="s">
        <v>923</v>
      </c>
      <c r="B795" s="6">
        <v>45942</v>
      </c>
      <c r="C795" s="6" t="str">
        <f t="shared" si="72"/>
        <v>8 PM - 12 AM</v>
      </c>
      <c r="D795" s="4">
        <v>0.8881944444444444</v>
      </c>
      <c r="E795" t="s">
        <v>23</v>
      </c>
      <c r="F795" t="s">
        <v>24</v>
      </c>
      <c r="G795" t="s">
        <v>84</v>
      </c>
      <c r="H795" t="s">
        <v>53</v>
      </c>
      <c r="I795" t="s">
        <v>92</v>
      </c>
      <c r="J795" t="s">
        <v>78</v>
      </c>
      <c r="K795">
        <v>1</v>
      </c>
      <c r="L795" s="8">
        <v>25750</v>
      </c>
      <c r="M795" s="8" t="str">
        <f t="shared" si="73"/>
        <v>0%</v>
      </c>
      <c r="N795">
        <v>0</v>
      </c>
      <c r="O795" t="str">
        <f t="shared" si="74"/>
        <v>Valid</v>
      </c>
      <c r="P795" t="str">
        <f t="shared" si="75"/>
        <v>Match</v>
      </c>
      <c r="Q795" s="8">
        <v>25750</v>
      </c>
      <c r="R795" s="8">
        <v>0</v>
      </c>
      <c r="S795" s="8">
        <v>25750</v>
      </c>
      <c r="T795" s="8">
        <v>14813.78</v>
      </c>
      <c r="U795" s="8">
        <v>10936.22</v>
      </c>
      <c r="V795" s="8" t="b">
        <f t="shared" si="76"/>
        <v>0</v>
      </c>
      <c r="W795" s="8">
        <f t="shared" si="77"/>
        <v>0</v>
      </c>
      <c r="X795" t="s">
        <v>36</v>
      </c>
      <c r="Y795" t="s">
        <v>70</v>
      </c>
      <c r="Z795" t="s">
        <v>38</v>
      </c>
      <c r="AA795">
        <v>3</v>
      </c>
      <c r="AB795" t="s">
        <v>57</v>
      </c>
      <c r="AC795" t="s">
        <v>30</v>
      </c>
    </row>
    <row r="796" spans="1:29" x14ac:dyDescent="0.3">
      <c r="A796" t="s">
        <v>924</v>
      </c>
      <c r="B796" s="6">
        <v>45678</v>
      </c>
      <c r="C796" s="6" t="str">
        <f t="shared" si="72"/>
        <v>4 PM - 8 PM</v>
      </c>
      <c r="D796" s="4">
        <v>0.79166666666666663</v>
      </c>
      <c r="E796" t="s">
        <v>108</v>
      </c>
      <c r="F796" t="s">
        <v>24</v>
      </c>
      <c r="G796" t="s">
        <v>25</v>
      </c>
      <c r="H796" t="s">
        <v>74</v>
      </c>
      <c r="I796" t="s">
        <v>98</v>
      </c>
      <c r="J796" t="s">
        <v>78</v>
      </c>
      <c r="K796">
        <v>1</v>
      </c>
      <c r="L796" s="8">
        <v>4200</v>
      </c>
      <c r="M796" s="8" t="str">
        <f t="shared" si="73"/>
        <v>11-20%</v>
      </c>
      <c r="N796">
        <v>20</v>
      </c>
      <c r="O796" t="str">
        <f t="shared" si="74"/>
        <v>Valid</v>
      </c>
      <c r="P796" t="str">
        <f t="shared" si="75"/>
        <v>Match</v>
      </c>
      <c r="Q796" s="8">
        <v>4200</v>
      </c>
      <c r="R796" s="8">
        <v>840</v>
      </c>
      <c r="S796" s="8">
        <v>3360</v>
      </c>
      <c r="T796" s="8">
        <v>2260.09</v>
      </c>
      <c r="U796" s="8">
        <v>1099.9100000000001</v>
      </c>
      <c r="V796" s="8" t="b">
        <f t="shared" si="76"/>
        <v>0</v>
      </c>
      <c r="W796" s="8">
        <f t="shared" si="77"/>
        <v>0</v>
      </c>
      <c r="X796" t="s">
        <v>79</v>
      </c>
      <c r="Y796" t="s">
        <v>47</v>
      </c>
      <c r="Z796" t="s">
        <v>56</v>
      </c>
      <c r="AA796">
        <v>4</v>
      </c>
      <c r="AB796" t="s">
        <v>151</v>
      </c>
      <c r="AC796" t="s">
        <v>86</v>
      </c>
    </row>
    <row r="797" spans="1:29" x14ac:dyDescent="0.3">
      <c r="A797" t="s">
        <v>925</v>
      </c>
      <c r="B797" s="6">
        <v>45852</v>
      </c>
      <c r="C797" s="6" t="str">
        <f t="shared" si="72"/>
        <v>12 AM - 4 AM</v>
      </c>
      <c r="D797" s="4">
        <v>2.361111111111111E-2</v>
      </c>
      <c r="E797" t="s">
        <v>108</v>
      </c>
      <c r="F797" t="s">
        <v>24</v>
      </c>
      <c r="G797" t="s">
        <v>110</v>
      </c>
      <c r="H797" t="s">
        <v>113</v>
      </c>
      <c r="I797" t="s">
        <v>98</v>
      </c>
      <c r="J797" t="s">
        <v>35</v>
      </c>
      <c r="K797">
        <v>2</v>
      </c>
      <c r="L797" s="8">
        <v>3600</v>
      </c>
      <c r="M797" s="8" t="str">
        <f t="shared" si="73"/>
        <v>11-20%</v>
      </c>
      <c r="N797">
        <v>15</v>
      </c>
      <c r="O797" t="str">
        <f t="shared" si="74"/>
        <v>Valid</v>
      </c>
      <c r="P797" t="str">
        <f t="shared" si="75"/>
        <v>Match</v>
      </c>
      <c r="Q797" s="8">
        <v>7200</v>
      </c>
      <c r="R797" s="8">
        <v>1080</v>
      </c>
      <c r="S797" s="8">
        <v>6120</v>
      </c>
      <c r="T797" s="8">
        <v>5091.33</v>
      </c>
      <c r="U797" s="8">
        <v>1028.67</v>
      </c>
      <c r="V797" s="8" t="b">
        <f t="shared" si="76"/>
        <v>0</v>
      </c>
      <c r="W797" s="8">
        <f t="shared" si="77"/>
        <v>0</v>
      </c>
      <c r="X797" t="s">
        <v>79</v>
      </c>
      <c r="Y797" t="s">
        <v>37</v>
      </c>
      <c r="Z797" t="s">
        <v>38</v>
      </c>
      <c r="AA797">
        <v>4</v>
      </c>
      <c r="AB797" t="s">
        <v>29</v>
      </c>
      <c r="AC797" t="s">
        <v>49</v>
      </c>
    </row>
    <row r="798" spans="1:29" x14ac:dyDescent="0.3">
      <c r="A798" t="s">
        <v>926</v>
      </c>
      <c r="B798" s="6">
        <v>45684</v>
      </c>
      <c r="C798" s="6" t="str">
        <f t="shared" si="72"/>
        <v>4 PM - 8 PM</v>
      </c>
      <c r="D798" s="4">
        <v>0.76875000000000004</v>
      </c>
      <c r="E798" t="s">
        <v>23</v>
      </c>
      <c r="F798" t="s">
        <v>96</v>
      </c>
      <c r="G798" t="s">
        <v>145</v>
      </c>
      <c r="H798" t="s">
        <v>113</v>
      </c>
      <c r="I798" t="s">
        <v>98</v>
      </c>
      <c r="J798" t="s">
        <v>78</v>
      </c>
      <c r="K798">
        <v>1</v>
      </c>
      <c r="L798" s="8" t="s">
        <v>927</v>
      </c>
      <c r="M798" s="8" t="str">
        <f t="shared" si="73"/>
        <v>11-20%</v>
      </c>
      <c r="N798">
        <v>20</v>
      </c>
      <c r="O798" t="str">
        <f t="shared" si="74"/>
        <v>Valid</v>
      </c>
      <c r="P798" t="str">
        <f t="shared" si="75"/>
        <v>Match</v>
      </c>
      <c r="Q798" s="8">
        <v>2250</v>
      </c>
      <c r="R798" s="8">
        <v>450</v>
      </c>
      <c r="S798" s="8">
        <v>1800</v>
      </c>
      <c r="T798" s="8">
        <v>1489</v>
      </c>
      <c r="U798" s="8">
        <v>311</v>
      </c>
      <c r="V798" s="8" t="b">
        <f t="shared" si="76"/>
        <v>0</v>
      </c>
      <c r="W798" s="8">
        <f t="shared" si="77"/>
        <v>0</v>
      </c>
      <c r="X798" t="s">
        <v>55</v>
      </c>
      <c r="Y798" t="s">
        <v>70</v>
      </c>
      <c r="Z798" t="s">
        <v>38</v>
      </c>
      <c r="AA798">
        <v>4</v>
      </c>
      <c r="AB798" t="s">
        <v>151</v>
      </c>
      <c r="AC798" t="s">
        <v>49</v>
      </c>
    </row>
    <row r="799" spans="1:29" x14ac:dyDescent="0.3">
      <c r="A799" t="s">
        <v>928</v>
      </c>
      <c r="B799" s="6">
        <v>45849</v>
      </c>
      <c r="C799" s="6" t="str">
        <f t="shared" si="72"/>
        <v>8 PM - 12 AM</v>
      </c>
      <c r="D799" s="4">
        <v>0.95486111111111116</v>
      </c>
      <c r="E799" t="s">
        <v>23</v>
      </c>
      <c r="F799" t="s">
        <v>51</v>
      </c>
      <c r="G799" t="s">
        <v>101</v>
      </c>
      <c r="H799" t="s">
        <v>43</v>
      </c>
      <c r="I799" t="s">
        <v>63</v>
      </c>
      <c r="J799" t="s">
        <v>35</v>
      </c>
      <c r="K799">
        <v>2</v>
      </c>
      <c r="L799" s="8">
        <v>12550</v>
      </c>
      <c r="M799" s="8" t="str">
        <f t="shared" si="73"/>
        <v>11-20%</v>
      </c>
      <c r="N799">
        <v>20</v>
      </c>
      <c r="O799" t="str">
        <f t="shared" si="74"/>
        <v>Valid</v>
      </c>
      <c r="P799" t="str">
        <f t="shared" si="75"/>
        <v>Match</v>
      </c>
      <c r="Q799" s="8">
        <v>25100</v>
      </c>
      <c r="R799" s="8">
        <v>5020</v>
      </c>
      <c r="S799" s="8">
        <v>20080</v>
      </c>
      <c r="T799" s="8">
        <v>14608.64</v>
      </c>
      <c r="U799" s="8">
        <v>5471.36</v>
      </c>
      <c r="V799" s="8" t="b">
        <f t="shared" si="76"/>
        <v>0</v>
      </c>
      <c r="W799" s="8">
        <f t="shared" si="77"/>
        <v>0</v>
      </c>
      <c r="X799" t="s">
        <v>79</v>
      </c>
      <c r="Y799" t="s">
        <v>104</v>
      </c>
      <c r="Z799" t="s">
        <v>85</v>
      </c>
      <c r="AA799">
        <v>3</v>
      </c>
      <c r="AB799" t="s">
        <v>29</v>
      </c>
      <c r="AC799" t="s">
        <v>58</v>
      </c>
    </row>
    <row r="800" spans="1:29" x14ac:dyDescent="0.3">
      <c r="A800" t="s">
        <v>929</v>
      </c>
      <c r="B800" s="6">
        <v>45839</v>
      </c>
      <c r="C800" s="6" t="str">
        <f t="shared" si="72"/>
        <v>12 PM - 4 PM</v>
      </c>
      <c r="D800" s="4">
        <v>0.50555555555555554</v>
      </c>
      <c r="E800" t="s">
        <v>77</v>
      </c>
      <c r="F800" t="s">
        <v>51</v>
      </c>
      <c r="G800" t="s">
        <v>153</v>
      </c>
      <c r="H800" t="s">
        <v>74</v>
      </c>
      <c r="I800" t="s">
        <v>44</v>
      </c>
      <c r="J800" t="s">
        <v>35</v>
      </c>
      <c r="K800">
        <v>1</v>
      </c>
      <c r="L800" s="8">
        <v>2100</v>
      </c>
      <c r="M800" s="8" t="str">
        <f t="shared" si="73"/>
        <v>21-30%</v>
      </c>
      <c r="N800">
        <v>25</v>
      </c>
      <c r="O800" t="str">
        <f t="shared" si="74"/>
        <v>Valid</v>
      </c>
      <c r="P800" t="str">
        <f t="shared" si="75"/>
        <v>Match</v>
      </c>
      <c r="Q800" s="8">
        <v>2100</v>
      </c>
      <c r="R800" s="8">
        <v>525</v>
      </c>
      <c r="S800" s="8">
        <v>1575</v>
      </c>
      <c r="T800" s="8">
        <v>1249.1600000000001</v>
      </c>
      <c r="U800" s="8">
        <v>325.83999999999997</v>
      </c>
      <c r="V800" s="8" t="b">
        <f t="shared" si="76"/>
        <v>0</v>
      </c>
      <c r="W800" s="8">
        <f t="shared" si="77"/>
        <v>0</v>
      </c>
      <c r="X800" t="s">
        <v>79</v>
      </c>
      <c r="Y800" t="s">
        <v>70</v>
      </c>
      <c r="Z800" t="s">
        <v>38</v>
      </c>
      <c r="AA800">
        <v>4.5</v>
      </c>
      <c r="AB800" t="s">
        <v>29</v>
      </c>
      <c r="AC800" t="s">
        <v>86</v>
      </c>
    </row>
    <row r="801" spans="1:29" x14ac:dyDescent="0.3">
      <c r="A801" t="s">
        <v>930</v>
      </c>
      <c r="B801" s="6">
        <v>45889</v>
      </c>
      <c r="C801" s="6" t="str">
        <f t="shared" si="72"/>
        <v>12 PM - 4 PM</v>
      </c>
      <c r="D801" s="4">
        <v>0.65763888888888888</v>
      </c>
      <c r="E801" t="s">
        <v>60</v>
      </c>
      <c r="F801" t="s">
        <v>24</v>
      </c>
      <c r="G801" t="s">
        <v>84</v>
      </c>
      <c r="H801" t="s">
        <v>62</v>
      </c>
      <c r="I801" t="s">
        <v>98</v>
      </c>
      <c r="J801" t="s">
        <v>78</v>
      </c>
      <c r="K801">
        <v>1</v>
      </c>
      <c r="L801" s="8">
        <v>27550</v>
      </c>
      <c r="M801" s="8" t="str">
        <f t="shared" si="73"/>
        <v>21-30%</v>
      </c>
      <c r="N801">
        <v>30</v>
      </c>
      <c r="O801" t="str">
        <f t="shared" si="74"/>
        <v>Valid</v>
      </c>
      <c r="P801" t="str">
        <f t="shared" si="75"/>
        <v>Match</v>
      </c>
      <c r="Q801" s="8">
        <v>27550</v>
      </c>
      <c r="R801" s="8">
        <v>8265</v>
      </c>
      <c r="S801" s="8">
        <v>19285</v>
      </c>
      <c r="T801" s="8">
        <v>18788.03</v>
      </c>
      <c r="U801" s="8">
        <v>496.97</v>
      </c>
      <c r="V801" s="8" t="b">
        <f t="shared" si="76"/>
        <v>0</v>
      </c>
      <c r="W801" s="8">
        <f t="shared" si="77"/>
        <v>0</v>
      </c>
      <c r="X801" t="s">
        <v>79</v>
      </c>
      <c r="Y801" t="s">
        <v>89</v>
      </c>
      <c r="Z801" t="s">
        <v>64</v>
      </c>
      <c r="AA801">
        <v>4</v>
      </c>
      <c r="AB801" t="s">
        <v>90</v>
      </c>
      <c r="AC801" t="s">
        <v>40</v>
      </c>
    </row>
    <row r="802" spans="1:29" x14ac:dyDescent="0.3">
      <c r="A802" t="s">
        <v>931</v>
      </c>
      <c r="B802" s="6">
        <v>45753</v>
      </c>
      <c r="C802" s="6" t="str">
        <f t="shared" si="72"/>
        <v>12 AM - 4 AM</v>
      </c>
      <c r="D802" s="4">
        <v>0.11458333333333333</v>
      </c>
      <c r="E802" t="s">
        <v>622</v>
      </c>
      <c r="F802" t="s">
        <v>24</v>
      </c>
      <c r="G802" t="s">
        <v>61</v>
      </c>
      <c r="H802" t="s">
        <v>53</v>
      </c>
      <c r="I802" t="s">
        <v>54</v>
      </c>
      <c r="J802" t="s">
        <v>35</v>
      </c>
      <c r="K802">
        <v>1</v>
      </c>
      <c r="L802" s="8">
        <v>9150</v>
      </c>
      <c r="M802" s="8" t="str">
        <f t="shared" si="73"/>
        <v>21-30%</v>
      </c>
      <c r="N802">
        <v>25</v>
      </c>
      <c r="O802" t="str">
        <f t="shared" si="74"/>
        <v>Valid</v>
      </c>
      <c r="P802" t="str">
        <f t="shared" si="75"/>
        <v>Match</v>
      </c>
      <c r="Q802" s="8">
        <v>9150</v>
      </c>
      <c r="R802" s="8">
        <v>2287.5</v>
      </c>
      <c r="S802" s="8">
        <v>6862.5</v>
      </c>
      <c r="T802" s="8">
        <v>6623.17</v>
      </c>
      <c r="U802" s="8">
        <v>239.33</v>
      </c>
      <c r="V802" s="8" t="b">
        <f t="shared" si="76"/>
        <v>0</v>
      </c>
      <c r="W802" s="8">
        <f t="shared" si="77"/>
        <v>0</v>
      </c>
      <c r="X802" t="s">
        <v>79</v>
      </c>
      <c r="Y802" t="s">
        <v>65</v>
      </c>
      <c r="Z802" t="s">
        <v>80</v>
      </c>
      <c r="AA802">
        <v>2.5</v>
      </c>
      <c r="AB802" t="s">
        <v>99</v>
      </c>
      <c r="AC802" t="s">
        <v>30</v>
      </c>
    </row>
    <row r="803" spans="1:29" x14ac:dyDescent="0.3">
      <c r="A803" t="s">
        <v>932</v>
      </c>
      <c r="B803" s="6">
        <v>45754</v>
      </c>
      <c r="C803" s="6" t="str">
        <f t="shared" si="72"/>
        <v>4 AM - 8 AM</v>
      </c>
      <c r="D803" s="4">
        <v>0.17986111111111111</v>
      </c>
      <c r="E803" t="s">
        <v>108</v>
      </c>
      <c r="F803" t="s">
        <v>24</v>
      </c>
      <c r="G803" t="s">
        <v>33</v>
      </c>
      <c r="H803" t="s">
        <v>34</v>
      </c>
      <c r="I803" t="s">
        <v>82</v>
      </c>
      <c r="J803" t="s">
        <v>93</v>
      </c>
      <c r="K803">
        <v>2</v>
      </c>
      <c r="L803" s="8">
        <v>3300</v>
      </c>
      <c r="M803" s="8" t="str">
        <f t="shared" si="73"/>
        <v>0%</v>
      </c>
      <c r="N803">
        <v>0</v>
      </c>
      <c r="O803" t="str">
        <f t="shared" si="74"/>
        <v>Valid</v>
      </c>
      <c r="P803" t="str">
        <f t="shared" si="75"/>
        <v>Match</v>
      </c>
      <c r="Q803" s="8">
        <v>6600</v>
      </c>
      <c r="R803" s="8">
        <v>0</v>
      </c>
      <c r="S803" s="8">
        <v>6600</v>
      </c>
      <c r="T803" s="8">
        <v>3776.27</v>
      </c>
      <c r="U803" s="8">
        <v>2823.73</v>
      </c>
      <c r="V803" s="8" t="b">
        <f t="shared" si="76"/>
        <v>0</v>
      </c>
      <c r="W803" s="8">
        <f t="shared" si="77"/>
        <v>0</v>
      </c>
      <c r="X803" t="s">
        <v>55</v>
      </c>
      <c r="Y803" t="s">
        <v>89</v>
      </c>
      <c r="Z803" t="s">
        <v>56</v>
      </c>
      <c r="AA803">
        <v>4.5</v>
      </c>
      <c r="AB803" t="s">
        <v>99</v>
      </c>
      <c r="AC803" t="s">
        <v>49</v>
      </c>
    </row>
    <row r="804" spans="1:29" x14ac:dyDescent="0.3">
      <c r="A804" t="s">
        <v>933</v>
      </c>
      <c r="B804" s="6">
        <v>45668</v>
      </c>
      <c r="C804" s="6" t="str">
        <f t="shared" si="72"/>
        <v>12 AM - 4 AM</v>
      </c>
      <c r="D804" s="4">
        <v>0.10833333333333334</v>
      </c>
      <c r="E804" t="s">
        <v>622</v>
      </c>
      <c r="F804" t="s">
        <v>51</v>
      </c>
      <c r="G804" t="s">
        <v>140</v>
      </c>
      <c r="H804" t="s">
        <v>26</v>
      </c>
      <c r="I804" t="s">
        <v>98</v>
      </c>
      <c r="J804" t="s">
        <v>35</v>
      </c>
      <c r="K804">
        <v>1</v>
      </c>
      <c r="L804" s="8">
        <v>6700</v>
      </c>
      <c r="M804" s="8" t="str">
        <f t="shared" si="73"/>
        <v>30%+</v>
      </c>
      <c r="N804" t="s">
        <v>538</v>
      </c>
      <c r="O804" t="str">
        <f t="shared" si="74"/>
        <v>Invalid Discount</v>
      </c>
      <c r="P804" t="str">
        <f t="shared" si="75"/>
        <v>Match</v>
      </c>
      <c r="Q804" s="8">
        <v>6700</v>
      </c>
      <c r="R804" s="8">
        <v>670</v>
      </c>
      <c r="S804" s="8">
        <v>6030</v>
      </c>
      <c r="T804" s="8">
        <v>4584.2</v>
      </c>
      <c r="U804" s="8">
        <v>1445.8</v>
      </c>
      <c r="V804" s="8" t="b">
        <f t="shared" si="76"/>
        <v>0</v>
      </c>
      <c r="W804" s="8">
        <f t="shared" si="77"/>
        <v>0</v>
      </c>
      <c r="X804" t="s">
        <v>28</v>
      </c>
      <c r="Y804" t="s">
        <v>47</v>
      </c>
      <c r="Z804" t="s">
        <v>45</v>
      </c>
      <c r="AA804">
        <v>5</v>
      </c>
      <c r="AB804" t="s">
        <v>151</v>
      </c>
      <c r="AC804" t="s">
        <v>71</v>
      </c>
    </row>
    <row r="805" spans="1:29" x14ac:dyDescent="0.3">
      <c r="A805" t="s">
        <v>934</v>
      </c>
      <c r="B805" s="6">
        <v>45993</v>
      </c>
      <c r="C805" s="6" t="str">
        <f t="shared" si="72"/>
        <v>4 AM - 8 AM</v>
      </c>
      <c r="D805" s="4">
        <v>0.25833333333333336</v>
      </c>
      <c r="E805" t="s">
        <v>32</v>
      </c>
      <c r="F805" t="s">
        <v>96</v>
      </c>
      <c r="G805" t="s">
        <v>145</v>
      </c>
      <c r="H805" t="s">
        <v>43</v>
      </c>
      <c r="I805" t="s">
        <v>44</v>
      </c>
      <c r="J805" t="s">
        <v>35</v>
      </c>
      <c r="K805">
        <v>2</v>
      </c>
      <c r="L805" s="8">
        <v>2450</v>
      </c>
      <c r="M805" s="8" t="str">
        <f t="shared" si="73"/>
        <v>0%</v>
      </c>
      <c r="N805">
        <v>0</v>
      </c>
      <c r="O805" t="str">
        <f t="shared" si="74"/>
        <v>Valid</v>
      </c>
      <c r="P805" t="str">
        <f t="shared" si="75"/>
        <v>Match</v>
      </c>
      <c r="Q805" s="8">
        <v>4900</v>
      </c>
      <c r="R805" s="8">
        <v>0</v>
      </c>
      <c r="S805" s="8">
        <v>4900</v>
      </c>
      <c r="T805" s="8">
        <v>3180.31</v>
      </c>
      <c r="U805" s="8">
        <v>1719.69</v>
      </c>
      <c r="V805" s="8" t="b">
        <f t="shared" si="76"/>
        <v>0</v>
      </c>
      <c r="W805" s="8">
        <f t="shared" si="77"/>
        <v>0</v>
      </c>
      <c r="X805" t="s">
        <v>36</v>
      </c>
      <c r="Y805" t="s">
        <v>47</v>
      </c>
      <c r="Z805" t="s">
        <v>64</v>
      </c>
      <c r="AA805">
        <v>4</v>
      </c>
      <c r="AB805" t="s">
        <v>39</v>
      </c>
      <c r="AC805" t="s">
        <v>86</v>
      </c>
    </row>
    <row r="806" spans="1:29" x14ac:dyDescent="0.3">
      <c r="A806" t="s">
        <v>935</v>
      </c>
      <c r="B806" s="6">
        <v>45926</v>
      </c>
      <c r="C806" s="6" t="str">
        <f t="shared" si="72"/>
        <v>12 AM - 4 AM</v>
      </c>
      <c r="D806" s="4">
        <v>7.7083333333333337E-2</v>
      </c>
      <c r="E806" t="s">
        <v>69</v>
      </c>
      <c r="F806" t="s">
        <v>24</v>
      </c>
      <c r="G806" t="s">
        <v>120</v>
      </c>
      <c r="H806" t="s">
        <v>113</v>
      </c>
      <c r="I806" t="s">
        <v>82</v>
      </c>
      <c r="J806" t="s">
        <v>35</v>
      </c>
      <c r="K806">
        <v>2</v>
      </c>
      <c r="L806" s="8">
        <v>9050</v>
      </c>
      <c r="M806" s="8" t="str">
        <f t="shared" si="73"/>
        <v>11-20%</v>
      </c>
      <c r="N806">
        <v>20</v>
      </c>
      <c r="O806" t="str">
        <f t="shared" si="74"/>
        <v>Valid</v>
      </c>
      <c r="P806" t="str">
        <f t="shared" si="75"/>
        <v>Match</v>
      </c>
      <c r="Q806" s="8">
        <v>18100</v>
      </c>
      <c r="R806" s="8">
        <v>3620</v>
      </c>
      <c r="S806" s="8">
        <v>14480</v>
      </c>
      <c r="T806" s="8">
        <v>12836.23</v>
      </c>
      <c r="U806" s="8">
        <v>1643.77</v>
      </c>
      <c r="V806" s="8" t="b">
        <f t="shared" si="76"/>
        <v>0</v>
      </c>
      <c r="W806" s="8">
        <f t="shared" si="77"/>
        <v>0</v>
      </c>
      <c r="X806" t="s">
        <v>36</v>
      </c>
      <c r="Y806" t="s">
        <v>1137</v>
      </c>
      <c r="Z806" t="s">
        <v>64</v>
      </c>
      <c r="AA806">
        <v>3.5</v>
      </c>
      <c r="AB806" t="s">
        <v>155</v>
      </c>
      <c r="AC806" t="s">
        <v>58</v>
      </c>
    </row>
    <row r="807" spans="1:29" x14ac:dyDescent="0.3">
      <c r="A807" t="s">
        <v>936</v>
      </c>
      <c r="B807" s="6">
        <v>46020</v>
      </c>
      <c r="C807" s="6" t="str">
        <f t="shared" si="72"/>
        <v>12 AM - 4 AM</v>
      </c>
      <c r="D807" s="4">
        <v>9.6527777777777782E-2</v>
      </c>
      <c r="E807" t="s">
        <v>69</v>
      </c>
      <c r="F807" t="s">
        <v>96</v>
      </c>
      <c r="G807" t="s">
        <v>129</v>
      </c>
      <c r="H807" t="s">
        <v>74</v>
      </c>
      <c r="I807" t="s">
        <v>98</v>
      </c>
      <c r="J807" t="s">
        <v>35</v>
      </c>
      <c r="K807">
        <v>2</v>
      </c>
      <c r="L807" s="8">
        <v>3400</v>
      </c>
      <c r="M807" s="8" t="str">
        <f t="shared" si="73"/>
        <v>11-20%</v>
      </c>
      <c r="N807">
        <v>15</v>
      </c>
      <c r="O807" t="str">
        <f t="shared" si="74"/>
        <v>Valid</v>
      </c>
      <c r="P807" t="str">
        <f t="shared" si="75"/>
        <v>Match</v>
      </c>
      <c r="Q807" s="8">
        <v>6800</v>
      </c>
      <c r="R807" s="8">
        <v>1020</v>
      </c>
      <c r="S807" s="8">
        <v>5780</v>
      </c>
      <c r="T807" s="8">
        <v>3728.91</v>
      </c>
      <c r="U807" s="8">
        <v>2051.09</v>
      </c>
      <c r="V807" s="8" t="b">
        <f t="shared" si="76"/>
        <v>0</v>
      </c>
      <c r="W807" s="8">
        <f t="shared" si="77"/>
        <v>0</v>
      </c>
      <c r="X807" t="s">
        <v>28</v>
      </c>
      <c r="Y807" t="s">
        <v>47</v>
      </c>
      <c r="Z807" t="s">
        <v>56</v>
      </c>
      <c r="AA807">
        <v>5</v>
      </c>
      <c r="AB807" t="s">
        <v>39</v>
      </c>
      <c r="AC807" t="s">
        <v>49</v>
      </c>
    </row>
    <row r="808" spans="1:29" x14ac:dyDescent="0.3">
      <c r="A808" t="s">
        <v>937</v>
      </c>
      <c r="B808" s="6">
        <v>45773</v>
      </c>
      <c r="C808" s="6" t="str">
        <f t="shared" si="72"/>
        <v>8 PM - 12 AM</v>
      </c>
      <c r="D808" s="4">
        <v>0.86458333333333337</v>
      </c>
      <c r="E808" t="s">
        <v>32</v>
      </c>
      <c r="F808" t="s">
        <v>51</v>
      </c>
      <c r="G808" t="s">
        <v>73</v>
      </c>
      <c r="H808" t="s">
        <v>102</v>
      </c>
      <c r="I808" t="s">
        <v>98</v>
      </c>
      <c r="J808" t="s">
        <v>45</v>
      </c>
      <c r="K808">
        <v>2</v>
      </c>
      <c r="L808" s="8">
        <v>5550</v>
      </c>
      <c r="M808" s="8" t="str">
        <f t="shared" si="73"/>
        <v>21-30%</v>
      </c>
      <c r="N808">
        <v>30</v>
      </c>
      <c r="O808" t="str">
        <f t="shared" si="74"/>
        <v>Valid</v>
      </c>
      <c r="P808" t="str">
        <f t="shared" si="75"/>
        <v>Match</v>
      </c>
      <c r="Q808" s="8">
        <v>11100</v>
      </c>
      <c r="R808" s="8">
        <v>3330</v>
      </c>
      <c r="S808" s="8">
        <v>7770</v>
      </c>
      <c r="T808" s="8">
        <v>6853.96</v>
      </c>
      <c r="U808" s="8">
        <v>916.04</v>
      </c>
      <c r="V808" s="8" t="b">
        <f t="shared" si="76"/>
        <v>0</v>
      </c>
      <c r="W808" s="8">
        <f t="shared" si="77"/>
        <v>0</v>
      </c>
      <c r="X808" t="s">
        <v>493</v>
      </c>
      <c r="Y808" t="s">
        <v>70</v>
      </c>
      <c r="Z808" t="s">
        <v>64</v>
      </c>
      <c r="AA808">
        <v>5</v>
      </c>
      <c r="AB808" t="s">
        <v>99</v>
      </c>
      <c r="AC808" t="s">
        <v>71</v>
      </c>
    </row>
    <row r="809" spans="1:29" x14ac:dyDescent="0.3">
      <c r="A809" t="s">
        <v>938</v>
      </c>
      <c r="B809" s="6">
        <v>45767</v>
      </c>
      <c r="C809" s="6" t="str">
        <f t="shared" si="72"/>
        <v>12 AM - 4 AM</v>
      </c>
      <c r="D809" s="4">
        <v>1.8749999999999999E-2</v>
      </c>
      <c r="E809" t="s">
        <v>622</v>
      </c>
      <c r="F809" t="s">
        <v>51</v>
      </c>
      <c r="G809" t="s">
        <v>140</v>
      </c>
      <c r="H809" t="s">
        <v>53</v>
      </c>
      <c r="I809" t="s">
        <v>98</v>
      </c>
      <c r="J809" t="s">
        <v>35</v>
      </c>
      <c r="K809">
        <v>2</v>
      </c>
      <c r="L809" s="8">
        <v>2550</v>
      </c>
      <c r="M809" s="8" t="str">
        <f t="shared" si="73"/>
        <v>0%</v>
      </c>
      <c r="N809">
        <v>0</v>
      </c>
      <c r="O809" t="str">
        <f t="shared" si="74"/>
        <v>Valid</v>
      </c>
      <c r="P809" t="str">
        <f t="shared" si="75"/>
        <v>Match</v>
      </c>
      <c r="Q809" s="8">
        <v>5100</v>
      </c>
      <c r="R809" s="8">
        <v>0</v>
      </c>
      <c r="S809" s="8">
        <v>5100</v>
      </c>
      <c r="T809" s="8">
        <v>3718.83</v>
      </c>
      <c r="U809" s="8">
        <v>1381.17</v>
      </c>
      <c r="V809" s="8" t="b">
        <f t="shared" si="76"/>
        <v>0</v>
      </c>
      <c r="W809" s="8">
        <f t="shared" si="77"/>
        <v>0</v>
      </c>
      <c r="X809" t="s">
        <v>230</v>
      </c>
      <c r="Y809" t="s">
        <v>47</v>
      </c>
      <c r="Z809" t="s">
        <v>38</v>
      </c>
      <c r="AA809">
        <v>3</v>
      </c>
      <c r="AB809" t="s">
        <v>99</v>
      </c>
      <c r="AC809" t="s">
        <v>30</v>
      </c>
    </row>
    <row r="810" spans="1:29" x14ac:dyDescent="0.3">
      <c r="A810" t="s">
        <v>939</v>
      </c>
      <c r="B810" s="6">
        <v>45856</v>
      </c>
      <c r="C810" s="6" t="str">
        <f t="shared" si="72"/>
        <v>4 PM - 8 PM</v>
      </c>
      <c r="D810" s="4">
        <v>0.80902777777777779</v>
      </c>
      <c r="E810" t="s">
        <v>69</v>
      </c>
      <c r="F810" t="s">
        <v>24</v>
      </c>
      <c r="G810" t="s">
        <v>25</v>
      </c>
      <c r="H810" t="s">
        <v>74</v>
      </c>
      <c r="I810" t="s">
        <v>98</v>
      </c>
      <c r="J810" t="s">
        <v>35</v>
      </c>
      <c r="K810">
        <v>1</v>
      </c>
      <c r="L810" s="8">
        <v>6650</v>
      </c>
      <c r="M810" s="8" t="str">
        <f t="shared" si="73"/>
        <v>21-30%</v>
      </c>
      <c r="N810">
        <v>25</v>
      </c>
      <c r="O810" t="str">
        <f t="shared" si="74"/>
        <v>Valid</v>
      </c>
      <c r="P810" t="str">
        <f t="shared" si="75"/>
        <v>Match</v>
      </c>
      <c r="Q810" s="8">
        <v>6650</v>
      </c>
      <c r="R810" s="8">
        <v>1662.5</v>
      </c>
      <c r="S810" s="8">
        <v>4987.5</v>
      </c>
      <c r="T810" s="8">
        <v>3916.51</v>
      </c>
      <c r="U810" s="8">
        <v>1070.99</v>
      </c>
      <c r="V810" s="8" t="b">
        <f t="shared" si="76"/>
        <v>0</v>
      </c>
      <c r="W810" s="8">
        <f t="shared" si="77"/>
        <v>0</v>
      </c>
      <c r="X810" t="s">
        <v>36</v>
      </c>
      <c r="Y810" t="s">
        <v>89</v>
      </c>
      <c r="Z810" t="s">
        <v>45</v>
      </c>
      <c r="AA810">
        <v>3.5</v>
      </c>
      <c r="AB810" t="s">
        <v>29</v>
      </c>
      <c r="AC810" t="s">
        <v>58</v>
      </c>
    </row>
    <row r="811" spans="1:29" x14ac:dyDescent="0.3">
      <c r="A811" t="s">
        <v>940</v>
      </c>
      <c r="B811" s="6">
        <v>45678</v>
      </c>
      <c r="C811" s="6" t="str">
        <f t="shared" si="72"/>
        <v>4 PM - 8 PM</v>
      </c>
      <c r="D811" s="4">
        <v>0.70138888888888884</v>
      </c>
      <c r="E811" t="s">
        <v>77</v>
      </c>
      <c r="F811" t="s">
        <v>96</v>
      </c>
      <c r="G811" t="s">
        <v>97</v>
      </c>
      <c r="H811" t="s">
        <v>113</v>
      </c>
      <c r="I811" t="s">
        <v>63</v>
      </c>
      <c r="J811" t="s">
        <v>45</v>
      </c>
      <c r="K811">
        <v>1</v>
      </c>
      <c r="L811" s="8">
        <v>4000</v>
      </c>
      <c r="M811" s="8" t="str">
        <f t="shared" si="73"/>
        <v>1-10%</v>
      </c>
      <c r="N811">
        <v>10</v>
      </c>
      <c r="O811" t="str">
        <f t="shared" si="74"/>
        <v>Valid</v>
      </c>
      <c r="P811" t="str">
        <f t="shared" si="75"/>
        <v>Match</v>
      </c>
      <c r="Q811" s="8">
        <v>4000</v>
      </c>
      <c r="R811" s="8">
        <v>400</v>
      </c>
      <c r="S811" s="8">
        <v>3600</v>
      </c>
      <c r="T811" s="8">
        <v>2359.4299999999998</v>
      </c>
      <c r="U811" s="8">
        <v>1240.57</v>
      </c>
      <c r="V811" s="8" t="b">
        <f t="shared" si="76"/>
        <v>0</v>
      </c>
      <c r="W811" s="8">
        <f t="shared" si="77"/>
        <v>0</v>
      </c>
      <c r="X811" t="s">
        <v>79</v>
      </c>
      <c r="Y811" t="s">
        <v>70</v>
      </c>
      <c r="Z811" t="s">
        <v>85</v>
      </c>
      <c r="AA811">
        <v>3.5</v>
      </c>
      <c r="AB811" t="s">
        <v>151</v>
      </c>
      <c r="AC811" t="s">
        <v>86</v>
      </c>
    </row>
    <row r="812" spans="1:29" x14ac:dyDescent="0.3">
      <c r="A812" t="s">
        <v>941</v>
      </c>
      <c r="B812" s="6">
        <v>45759</v>
      </c>
      <c r="C812" s="6" t="str">
        <f t="shared" si="72"/>
        <v>12 AM - 4 AM</v>
      </c>
      <c r="D812" s="4">
        <v>0.10902777777777778</v>
      </c>
      <c r="E812" t="s">
        <v>32</v>
      </c>
      <c r="F812" t="s">
        <v>24</v>
      </c>
      <c r="G812" t="s">
        <v>25</v>
      </c>
      <c r="H812" t="s">
        <v>74</v>
      </c>
      <c r="I812" t="s">
        <v>54</v>
      </c>
      <c r="J812" t="s">
        <v>93</v>
      </c>
      <c r="K812">
        <v>3</v>
      </c>
      <c r="L812" s="8">
        <v>5950</v>
      </c>
      <c r="M812" s="8" t="str">
        <f t="shared" si="73"/>
        <v>11-20%</v>
      </c>
      <c r="N812">
        <v>15</v>
      </c>
      <c r="O812" t="str">
        <f t="shared" si="74"/>
        <v>Valid</v>
      </c>
      <c r="P812" t="str">
        <f t="shared" si="75"/>
        <v>Match</v>
      </c>
      <c r="Q812" s="8">
        <v>17850</v>
      </c>
      <c r="R812" s="8">
        <v>2677.5</v>
      </c>
      <c r="S812" s="8">
        <v>15172.5</v>
      </c>
      <c r="T812" s="8">
        <v>10839.66</v>
      </c>
      <c r="U812" s="8">
        <v>4332.84</v>
      </c>
      <c r="V812" s="8" t="b">
        <f t="shared" si="76"/>
        <v>0</v>
      </c>
      <c r="W812" s="8">
        <f t="shared" si="77"/>
        <v>0</v>
      </c>
      <c r="X812" t="s">
        <v>55</v>
      </c>
      <c r="Y812" t="s">
        <v>94</v>
      </c>
      <c r="Z812" t="s">
        <v>45</v>
      </c>
      <c r="AA812">
        <v>4</v>
      </c>
      <c r="AB812" t="s">
        <v>99</v>
      </c>
      <c r="AC812" t="s">
        <v>71</v>
      </c>
    </row>
    <row r="813" spans="1:29" x14ac:dyDescent="0.3">
      <c r="A813" t="s">
        <v>942</v>
      </c>
      <c r="B813" s="6">
        <v>45924</v>
      </c>
      <c r="C813" s="6" t="str">
        <f t="shared" si="72"/>
        <v>4 PM - 8 PM</v>
      </c>
      <c r="D813" s="4">
        <v>0.78472222222222221</v>
      </c>
      <c r="E813" t="s">
        <v>108</v>
      </c>
      <c r="F813" t="s">
        <v>96</v>
      </c>
      <c r="G813" t="s">
        <v>115</v>
      </c>
      <c r="H813" t="s">
        <v>102</v>
      </c>
      <c r="I813" t="s">
        <v>103</v>
      </c>
      <c r="J813" t="s">
        <v>64</v>
      </c>
      <c r="K813">
        <v>1</v>
      </c>
      <c r="L813" s="8">
        <v>9500</v>
      </c>
      <c r="M813" s="8" t="str">
        <f t="shared" si="73"/>
        <v>1-10%</v>
      </c>
      <c r="N813">
        <v>5</v>
      </c>
      <c r="O813" t="str">
        <f t="shared" si="74"/>
        <v>Valid</v>
      </c>
      <c r="P813" t="str">
        <f t="shared" si="75"/>
        <v>Match</v>
      </c>
      <c r="Q813" s="8">
        <v>9500</v>
      </c>
      <c r="R813" s="8">
        <v>475</v>
      </c>
      <c r="S813" s="8">
        <v>9025</v>
      </c>
      <c r="T813" s="8">
        <v>6427.96</v>
      </c>
      <c r="U813" s="8">
        <v>2597.04</v>
      </c>
      <c r="V813" s="8" t="b">
        <f t="shared" si="76"/>
        <v>0</v>
      </c>
      <c r="W813" s="8">
        <f t="shared" si="77"/>
        <v>0</v>
      </c>
      <c r="X813" t="s">
        <v>55</v>
      </c>
      <c r="Y813" t="s">
        <v>94</v>
      </c>
      <c r="Z813" t="s">
        <v>38</v>
      </c>
      <c r="AA813">
        <v>3</v>
      </c>
      <c r="AB813" t="s">
        <v>155</v>
      </c>
      <c r="AC813" t="s">
        <v>40</v>
      </c>
    </row>
    <row r="814" spans="1:29" x14ac:dyDescent="0.3">
      <c r="A814" t="s">
        <v>943</v>
      </c>
      <c r="B814" s="6">
        <v>45923</v>
      </c>
      <c r="C814" s="6" t="str">
        <f t="shared" si="72"/>
        <v>8 PM - 12 AM</v>
      </c>
      <c r="D814" s="4">
        <v>0.89444444444444449</v>
      </c>
      <c r="E814" t="s">
        <v>622</v>
      </c>
      <c r="F814" t="s">
        <v>24</v>
      </c>
      <c r="G814" t="s">
        <v>61</v>
      </c>
      <c r="H814" t="s">
        <v>26</v>
      </c>
      <c r="I814" t="s">
        <v>44</v>
      </c>
      <c r="J814" t="s">
        <v>35</v>
      </c>
      <c r="K814">
        <v>1</v>
      </c>
      <c r="L814" s="8">
        <v>7050</v>
      </c>
      <c r="M814" s="8" t="str">
        <f t="shared" si="73"/>
        <v>1-10%</v>
      </c>
      <c r="N814">
        <v>5</v>
      </c>
      <c r="O814" t="str">
        <f t="shared" si="74"/>
        <v>Valid</v>
      </c>
      <c r="P814" t="str">
        <f t="shared" si="75"/>
        <v>Match</v>
      </c>
      <c r="Q814" s="8">
        <v>7050</v>
      </c>
      <c r="R814" s="8">
        <v>352.5</v>
      </c>
      <c r="S814" s="8">
        <v>6697.5</v>
      </c>
      <c r="T814" s="8">
        <v>4586.8</v>
      </c>
      <c r="U814" s="8">
        <v>2110.6999999999998</v>
      </c>
      <c r="V814" s="8" t="b">
        <f t="shared" si="76"/>
        <v>0</v>
      </c>
      <c r="W814" s="8">
        <f t="shared" si="77"/>
        <v>0</v>
      </c>
      <c r="X814" t="s">
        <v>28</v>
      </c>
      <c r="Y814" t="s">
        <v>37</v>
      </c>
      <c r="Z814" t="s">
        <v>85</v>
      </c>
      <c r="AA814">
        <v>4</v>
      </c>
      <c r="AB814" t="s">
        <v>155</v>
      </c>
      <c r="AC814" t="s">
        <v>86</v>
      </c>
    </row>
    <row r="815" spans="1:29" x14ac:dyDescent="0.3">
      <c r="A815" t="s">
        <v>944</v>
      </c>
      <c r="B815" s="6">
        <v>45661</v>
      </c>
      <c r="C815" s="6" t="str">
        <f t="shared" si="72"/>
        <v>12 PM - 4 PM</v>
      </c>
      <c r="D815" s="4">
        <v>0.61875000000000002</v>
      </c>
      <c r="E815" t="s">
        <v>108</v>
      </c>
      <c r="F815" t="s">
        <v>96</v>
      </c>
      <c r="G815" t="s">
        <v>129</v>
      </c>
      <c r="H815" t="s">
        <v>62</v>
      </c>
      <c r="I815" t="s">
        <v>63</v>
      </c>
      <c r="J815" t="s">
        <v>93</v>
      </c>
      <c r="K815">
        <v>3</v>
      </c>
      <c r="L815" s="8">
        <v>1050</v>
      </c>
      <c r="M815" s="8" t="str">
        <f t="shared" si="73"/>
        <v>1-10%</v>
      </c>
      <c r="N815">
        <v>5</v>
      </c>
      <c r="O815" t="str">
        <f t="shared" si="74"/>
        <v>Valid</v>
      </c>
      <c r="P815" t="str">
        <f t="shared" si="75"/>
        <v>Match</v>
      </c>
      <c r="Q815" s="8">
        <v>3150</v>
      </c>
      <c r="R815" s="8">
        <v>157.5</v>
      </c>
      <c r="S815" s="8">
        <v>2992.5</v>
      </c>
      <c r="T815" s="8">
        <v>1917.24</v>
      </c>
      <c r="U815" s="8">
        <v>1075.26</v>
      </c>
      <c r="V815" s="8" t="b">
        <f t="shared" si="76"/>
        <v>0</v>
      </c>
      <c r="W815" s="8">
        <f t="shared" si="77"/>
        <v>0</v>
      </c>
      <c r="X815" t="s">
        <v>79</v>
      </c>
      <c r="Y815" t="s">
        <v>94</v>
      </c>
      <c r="Z815" t="s">
        <v>64</v>
      </c>
      <c r="AA815">
        <v>3</v>
      </c>
      <c r="AB815" t="s">
        <v>151</v>
      </c>
      <c r="AC815" t="s">
        <v>71</v>
      </c>
    </row>
    <row r="816" spans="1:29" x14ac:dyDescent="0.3">
      <c r="A816" t="s">
        <v>945</v>
      </c>
      <c r="B816" s="6">
        <v>45663</v>
      </c>
      <c r="C816" s="6" t="str">
        <f t="shared" si="72"/>
        <v>8 AM - 12 PM</v>
      </c>
      <c r="D816" s="4">
        <v>0.46041666666666664</v>
      </c>
      <c r="E816" t="s">
        <v>69</v>
      </c>
      <c r="F816" t="s">
        <v>24</v>
      </c>
      <c r="G816" t="s">
        <v>33</v>
      </c>
      <c r="H816" t="s">
        <v>62</v>
      </c>
      <c r="I816" t="s">
        <v>54</v>
      </c>
      <c r="J816" t="s">
        <v>64</v>
      </c>
      <c r="K816" t="s">
        <v>189</v>
      </c>
      <c r="L816" s="8">
        <v>1450</v>
      </c>
      <c r="M816" s="8" t="str">
        <f t="shared" si="73"/>
        <v>21-30%</v>
      </c>
      <c r="N816">
        <v>25</v>
      </c>
      <c r="O816" t="str">
        <f t="shared" si="74"/>
        <v>Valid</v>
      </c>
      <c r="P816" t="str">
        <f t="shared" si="75"/>
        <v>Match</v>
      </c>
      <c r="Q816" s="8">
        <v>1450</v>
      </c>
      <c r="R816" s="8">
        <v>362.5</v>
      </c>
      <c r="S816" s="8">
        <v>1087.5</v>
      </c>
      <c r="T816" s="8">
        <v>977.77</v>
      </c>
      <c r="U816" s="8">
        <v>109.73</v>
      </c>
      <c r="V816" s="8" t="b">
        <f t="shared" si="76"/>
        <v>0</v>
      </c>
      <c r="W816" s="8">
        <f t="shared" si="77"/>
        <v>0</v>
      </c>
      <c r="X816" t="s">
        <v>79</v>
      </c>
      <c r="Y816" t="s">
        <v>94</v>
      </c>
      <c r="Z816" t="s">
        <v>85</v>
      </c>
      <c r="AA816">
        <v>4</v>
      </c>
      <c r="AB816" t="s">
        <v>151</v>
      </c>
      <c r="AC816" t="s">
        <v>49</v>
      </c>
    </row>
    <row r="817" spans="1:29" x14ac:dyDescent="0.3">
      <c r="A817" t="s">
        <v>946</v>
      </c>
      <c r="B817" s="6">
        <v>45667</v>
      </c>
      <c r="C817" s="6" t="str">
        <f t="shared" si="72"/>
        <v>8 AM - 12 PM</v>
      </c>
      <c r="D817" s="4">
        <v>0.43888888888888888</v>
      </c>
      <c r="E817" t="s">
        <v>622</v>
      </c>
      <c r="F817" t="s">
        <v>24</v>
      </c>
      <c r="G817" t="s">
        <v>33</v>
      </c>
      <c r="H817" t="s">
        <v>43</v>
      </c>
      <c r="I817" t="s">
        <v>27</v>
      </c>
      <c r="J817" t="s">
        <v>35</v>
      </c>
      <c r="K817">
        <v>1</v>
      </c>
      <c r="L817" s="8">
        <v>3800</v>
      </c>
      <c r="M817" s="8" t="str">
        <f t="shared" si="73"/>
        <v>11-20%</v>
      </c>
      <c r="N817">
        <v>20</v>
      </c>
      <c r="O817" t="str">
        <f t="shared" si="74"/>
        <v>Valid</v>
      </c>
      <c r="P817" t="str">
        <f t="shared" si="75"/>
        <v>Match</v>
      </c>
      <c r="Q817" s="8">
        <v>3800</v>
      </c>
      <c r="R817" s="8">
        <v>760</v>
      </c>
      <c r="S817" s="8">
        <v>3040</v>
      </c>
      <c r="T817" s="8">
        <v>2368.71</v>
      </c>
      <c r="U817" s="8">
        <v>671.29</v>
      </c>
      <c r="V817" s="8" t="b">
        <f t="shared" si="76"/>
        <v>0</v>
      </c>
      <c r="W817" s="8">
        <f t="shared" si="77"/>
        <v>0</v>
      </c>
      <c r="X817" t="s">
        <v>28</v>
      </c>
      <c r="Y817" t="s">
        <v>47</v>
      </c>
      <c r="Z817" t="s">
        <v>64</v>
      </c>
      <c r="AA817">
        <v>3</v>
      </c>
      <c r="AB817" t="s">
        <v>151</v>
      </c>
      <c r="AC817" t="s">
        <v>58</v>
      </c>
    </row>
    <row r="818" spans="1:29" x14ac:dyDescent="0.3">
      <c r="A818" t="s">
        <v>947</v>
      </c>
      <c r="B818" s="6">
        <v>45805</v>
      </c>
      <c r="C818" s="6" t="str">
        <f t="shared" si="72"/>
        <v>8 PM - 12 AM</v>
      </c>
      <c r="D818" s="4">
        <v>0.90069444444444446</v>
      </c>
      <c r="E818" t="s">
        <v>108</v>
      </c>
      <c r="F818" t="s">
        <v>24</v>
      </c>
      <c r="G818" t="s">
        <v>33</v>
      </c>
      <c r="H818" t="s">
        <v>102</v>
      </c>
      <c r="I818" t="s">
        <v>82</v>
      </c>
      <c r="J818" t="s">
        <v>93</v>
      </c>
      <c r="K818">
        <v>1</v>
      </c>
      <c r="L818" s="8">
        <v>3400</v>
      </c>
      <c r="M818" s="8" t="str">
        <f t="shared" si="73"/>
        <v>21-30%</v>
      </c>
      <c r="N818">
        <v>25</v>
      </c>
      <c r="O818" t="str">
        <f t="shared" si="74"/>
        <v>Valid</v>
      </c>
      <c r="P818" t="str">
        <f t="shared" si="75"/>
        <v>Match</v>
      </c>
      <c r="Q818" s="8">
        <v>3400</v>
      </c>
      <c r="R818" s="8">
        <v>850</v>
      </c>
      <c r="S818" s="8">
        <v>2550</v>
      </c>
      <c r="T818" s="8">
        <v>1907.18</v>
      </c>
      <c r="U818" s="8">
        <v>642.82000000000005</v>
      </c>
      <c r="V818" s="8" t="b">
        <f t="shared" si="76"/>
        <v>0</v>
      </c>
      <c r="W818" s="8">
        <f t="shared" si="77"/>
        <v>0</v>
      </c>
      <c r="X818" t="s">
        <v>36</v>
      </c>
      <c r="Y818" t="s">
        <v>47</v>
      </c>
      <c r="Z818" t="s">
        <v>80</v>
      </c>
      <c r="AA818">
        <v>3</v>
      </c>
      <c r="AB818" t="s">
        <v>111</v>
      </c>
      <c r="AC818" t="s">
        <v>40</v>
      </c>
    </row>
    <row r="819" spans="1:29" x14ac:dyDescent="0.3">
      <c r="A819" t="s">
        <v>948</v>
      </c>
      <c r="B819" s="6">
        <v>45759</v>
      </c>
      <c r="C819" s="6" t="str">
        <f t="shared" si="72"/>
        <v>12 AM - 4 AM</v>
      </c>
      <c r="D819" s="4">
        <v>4.3055555555555555E-2</v>
      </c>
      <c r="E819" t="s">
        <v>77</v>
      </c>
      <c r="F819" t="s">
        <v>96</v>
      </c>
      <c r="G819" t="s">
        <v>97</v>
      </c>
      <c r="H819" t="s">
        <v>113</v>
      </c>
      <c r="I819" t="s">
        <v>63</v>
      </c>
      <c r="J819" t="s">
        <v>35</v>
      </c>
      <c r="K819">
        <v>1</v>
      </c>
      <c r="L819" s="8">
        <v>3300</v>
      </c>
      <c r="M819" s="8" t="str">
        <f t="shared" si="73"/>
        <v>1-10%</v>
      </c>
      <c r="N819">
        <v>10</v>
      </c>
      <c r="O819" t="str">
        <f t="shared" si="74"/>
        <v>Valid</v>
      </c>
      <c r="P819" t="str">
        <f t="shared" si="75"/>
        <v>Match</v>
      </c>
      <c r="Q819" s="8">
        <v>3300</v>
      </c>
      <c r="R819" s="8">
        <v>330</v>
      </c>
      <c r="S819" s="8">
        <v>2970</v>
      </c>
      <c r="T819" s="8">
        <v>2182.4699999999998</v>
      </c>
      <c r="U819" s="8">
        <v>787.53</v>
      </c>
      <c r="V819" s="8" t="b">
        <f t="shared" si="76"/>
        <v>0</v>
      </c>
      <c r="W819" s="8">
        <f t="shared" si="77"/>
        <v>0</v>
      </c>
      <c r="X819" t="s">
        <v>79</v>
      </c>
      <c r="Y819" t="s">
        <v>104</v>
      </c>
      <c r="Z819" t="s">
        <v>64</v>
      </c>
      <c r="AA819">
        <v>5</v>
      </c>
      <c r="AB819" t="s">
        <v>99</v>
      </c>
      <c r="AC819" t="s">
        <v>71</v>
      </c>
    </row>
    <row r="820" spans="1:29" x14ac:dyDescent="0.3">
      <c r="A820" t="s">
        <v>949</v>
      </c>
      <c r="B820" s="6">
        <v>45835</v>
      </c>
      <c r="C820" s="6" t="str">
        <f t="shared" si="72"/>
        <v>12 PM - 4 PM</v>
      </c>
      <c r="D820" s="4">
        <v>0.60069444444444442</v>
      </c>
      <c r="E820" t="s">
        <v>23</v>
      </c>
      <c r="F820" t="s">
        <v>51</v>
      </c>
      <c r="G820" t="s">
        <v>52</v>
      </c>
      <c r="H820" t="s">
        <v>26</v>
      </c>
      <c r="I820" t="s">
        <v>54</v>
      </c>
      <c r="J820" t="s">
        <v>35</v>
      </c>
      <c r="K820">
        <v>1</v>
      </c>
      <c r="L820" s="8">
        <v>43850</v>
      </c>
      <c r="M820" s="8" t="str">
        <f t="shared" si="73"/>
        <v>21-30%</v>
      </c>
      <c r="N820">
        <v>30</v>
      </c>
      <c r="O820" t="str">
        <f t="shared" si="74"/>
        <v>Valid</v>
      </c>
      <c r="P820" t="str">
        <f t="shared" si="75"/>
        <v>Match</v>
      </c>
      <c r="Q820" s="8">
        <v>43850</v>
      </c>
      <c r="R820" s="8">
        <v>13155</v>
      </c>
      <c r="S820" s="8">
        <v>30695</v>
      </c>
      <c r="T820" s="8">
        <v>24166.67</v>
      </c>
      <c r="U820" s="8">
        <v>6528.33</v>
      </c>
      <c r="V820" s="8" t="b">
        <f t="shared" si="76"/>
        <v>0</v>
      </c>
      <c r="W820" s="8">
        <f t="shared" si="77"/>
        <v>0</v>
      </c>
      <c r="X820" t="s">
        <v>36</v>
      </c>
      <c r="Y820" t="s">
        <v>94</v>
      </c>
      <c r="Z820" t="s">
        <v>85</v>
      </c>
      <c r="AA820">
        <v>2.5</v>
      </c>
      <c r="AB820" t="s">
        <v>48</v>
      </c>
      <c r="AC820" t="s">
        <v>58</v>
      </c>
    </row>
    <row r="821" spans="1:29" x14ac:dyDescent="0.3">
      <c r="A821" t="s">
        <v>950</v>
      </c>
      <c r="B821" s="6">
        <v>45690</v>
      </c>
      <c r="C821" s="6" t="str">
        <f t="shared" si="72"/>
        <v>8 PM - 12 AM</v>
      </c>
      <c r="D821" s="4">
        <v>0.9506944444444444</v>
      </c>
      <c r="E821" t="s">
        <v>77</v>
      </c>
      <c r="F821" t="s">
        <v>24</v>
      </c>
      <c r="G821" t="s">
        <v>110</v>
      </c>
      <c r="H821" t="s">
        <v>113</v>
      </c>
      <c r="I821" t="s">
        <v>63</v>
      </c>
      <c r="J821" t="s">
        <v>35</v>
      </c>
      <c r="K821">
        <v>1</v>
      </c>
      <c r="M821" s="8" t="str">
        <f t="shared" si="73"/>
        <v>1-10%</v>
      </c>
      <c r="N821">
        <v>5</v>
      </c>
      <c r="O821" t="str">
        <f t="shared" si="74"/>
        <v>Valid</v>
      </c>
      <c r="P821" t="str">
        <f t="shared" si="75"/>
        <v>Match</v>
      </c>
      <c r="Q821" s="8">
        <v>6900</v>
      </c>
      <c r="R821" s="8">
        <v>345</v>
      </c>
      <c r="S821" s="8">
        <v>6555</v>
      </c>
      <c r="T821" s="8">
        <v>4819.8500000000004</v>
      </c>
      <c r="U821" s="8">
        <v>1735.15</v>
      </c>
      <c r="V821" s="8" t="b">
        <f t="shared" si="76"/>
        <v>0</v>
      </c>
      <c r="W821" s="8">
        <f t="shared" si="77"/>
        <v>0</v>
      </c>
      <c r="X821" t="s">
        <v>79</v>
      </c>
      <c r="Y821" t="s">
        <v>47</v>
      </c>
      <c r="Z821" t="s">
        <v>38</v>
      </c>
      <c r="AA821">
        <v>3</v>
      </c>
      <c r="AB821" t="s">
        <v>66</v>
      </c>
      <c r="AC821" t="s">
        <v>30</v>
      </c>
    </row>
    <row r="822" spans="1:29" x14ac:dyDescent="0.3">
      <c r="A822" t="s">
        <v>951</v>
      </c>
      <c r="B822" s="6">
        <v>45818</v>
      </c>
      <c r="C822" s="6" t="str">
        <f t="shared" si="72"/>
        <v>12 AM - 4 AM</v>
      </c>
      <c r="D822" s="4">
        <v>0.1111111111111111</v>
      </c>
      <c r="E822" t="s">
        <v>622</v>
      </c>
      <c r="F822" t="s">
        <v>96</v>
      </c>
      <c r="G822" t="s">
        <v>145</v>
      </c>
      <c r="H822" t="s">
        <v>62</v>
      </c>
      <c r="I822" t="s">
        <v>63</v>
      </c>
      <c r="J822" t="s">
        <v>35</v>
      </c>
      <c r="K822">
        <v>3</v>
      </c>
      <c r="L822" s="8">
        <v>1550</v>
      </c>
      <c r="M822" s="8" t="str">
        <f t="shared" si="73"/>
        <v>1-10%</v>
      </c>
      <c r="N822">
        <v>10</v>
      </c>
      <c r="O822" t="str">
        <f t="shared" si="74"/>
        <v>Valid</v>
      </c>
      <c r="P822" t="str">
        <f t="shared" si="75"/>
        <v>Match</v>
      </c>
      <c r="Q822" s="8">
        <v>4650</v>
      </c>
      <c r="R822" s="8">
        <v>465</v>
      </c>
      <c r="S822" s="8">
        <v>4185</v>
      </c>
      <c r="T822" s="8">
        <v>2833.86</v>
      </c>
      <c r="U822" s="8">
        <v>1351.14</v>
      </c>
      <c r="V822" s="8" t="b">
        <f t="shared" si="76"/>
        <v>0</v>
      </c>
      <c r="W822" s="8">
        <f t="shared" si="77"/>
        <v>0</v>
      </c>
      <c r="X822" t="s">
        <v>347</v>
      </c>
      <c r="Y822" t="s">
        <v>65</v>
      </c>
      <c r="Z822" t="s">
        <v>56</v>
      </c>
      <c r="AA822">
        <v>3.5</v>
      </c>
      <c r="AB822" t="s">
        <v>48</v>
      </c>
      <c r="AC822" t="s">
        <v>86</v>
      </c>
    </row>
    <row r="823" spans="1:29" x14ac:dyDescent="0.3">
      <c r="A823" t="s">
        <v>952</v>
      </c>
      <c r="B823" s="6">
        <v>45732</v>
      </c>
      <c r="C823" s="6" t="str">
        <f t="shared" si="72"/>
        <v>12 AM - 4 AM</v>
      </c>
      <c r="D823" s="4">
        <v>7.2222222222222215E-2</v>
      </c>
      <c r="E823" t="s">
        <v>108</v>
      </c>
      <c r="F823" t="s">
        <v>24</v>
      </c>
      <c r="G823" t="s">
        <v>42</v>
      </c>
      <c r="H823" t="s">
        <v>43</v>
      </c>
      <c r="I823" t="s">
        <v>44</v>
      </c>
      <c r="J823" t="s">
        <v>35</v>
      </c>
      <c r="K823">
        <v>2</v>
      </c>
      <c r="L823" s="8">
        <v>89700</v>
      </c>
      <c r="M823" s="8" t="str">
        <f t="shared" si="73"/>
        <v>1-10%</v>
      </c>
      <c r="N823">
        <v>10</v>
      </c>
      <c r="O823" t="str">
        <f t="shared" si="74"/>
        <v>Valid</v>
      </c>
      <c r="P823" t="str">
        <f t="shared" si="75"/>
        <v>Match</v>
      </c>
      <c r="Q823" s="8">
        <v>179400</v>
      </c>
      <c r="R823" s="8">
        <v>17940</v>
      </c>
      <c r="S823" s="8">
        <v>161460</v>
      </c>
      <c r="T823" s="8">
        <v>120260.05</v>
      </c>
      <c r="U823" s="8">
        <v>41199.949999999997</v>
      </c>
      <c r="V823" s="8" t="b">
        <f t="shared" si="76"/>
        <v>0</v>
      </c>
      <c r="W823" s="8">
        <f t="shared" si="77"/>
        <v>0</v>
      </c>
      <c r="X823" t="s">
        <v>347</v>
      </c>
      <c r="Y823" t="s">
        <v>47</v>
      </c>
      <c r="Z823" t="s">
        <v>64</v>
      </c>
      <c r="AA823">
        <v>4</v>
      </c>
      <c r="AB823" t="s">
        <v>127</v>
      </c>
      <c r="AC823" t="s">
        <v>30</v>
      </c>
    </row>
    <row r="824" spans="1:29" x14ac:dyDescent="0.3">
      <c r="A824" t="s">
        <v>953</v>
      </c>
      <c r="B824" s="6">
        <v>45732</v>
      </c>
      <c r="C824" s="6" t="str">
        <f t="shared" si="72"/>
        <v>8 PM - 12 AM</v>
      </c>
      <c r="D824" s="4">
        <v>0.85486111111111107</v>
      </c>
      <c r="E824" t="s">
        <v>77</v>
      </c>
      <c r="F824" t="s">
        <v>24</v>
      </c>
      <c r="G824" t="s">
        <v>42</v>
      </c>
      <c r="H824" t="s">
        <v>34</v>
      </c>
      <c r="I824" t="s">
        <v>63</v>
      </c>
      <c r="J824" t="s">
        <v>93</v>
      </c>
      <c r="K824">
        <v>1</v>
      </c>
      <c r="L824" s="8">
        <v>74850</v>
      </c>
      <c r="M824" s="8" t="str">
        <f t="shared" si="73"/>
        <v>1-10%</v>
      </c>
      <c r="N824">
        <v>5</v>
      </c>
      <c r="O824" t="str">
        <f t="shared" si="74"/>
        <v>Valid</v>
      </c>
      <c r="P824" t="str">
        <f t="shared" si="75"/>
        <v>Match</v>
      </c>
      <c r="Q824" s="8">
        <v>74850</v>
      </c>
      <c r="R824" s="8">
        <v>3742.5</v>
      </c>
      <c r="S824" s="8">
        <v>71107.5</v>
      </c>
      <c r="T824" s="8">
        <v>40997.74</v>
      </c>
      <c r="U824" s="8">
        <v>30109.759999999998</v>
      </c>
      <c r="V824" s="8" t="b">
        <f t="shared" si="76"/>
        <v>0</v>
      </c>
      <c r="W824" s="8">
        <f t="shared" si="77"/>
        <v>0</v>
      </c>
      <c r="X824" t="s">
        <v>55</v>
      </c>
      <c r="Y824" t="s">
        <v>47</v>
      </c>
      <c r="Z824" t="s">
        <v>38</v>
      </c>
      <c r="AA824">
        <v>5</v>
      </c>
      <c r="AB824" t="s">
        <v>127</v>
      </c>
      <c r="AC824" t="s">
        <v>30</v>
      </c>
    </row>
    <row r="825" spans="1:29" x14ac:dyDescent="0.3">
      <c r="A825" t="s">
        <v>954</v>
      </c>
      <c r="B825" s="6">
        <v>45982</v>
      </c>
      <c r="C825" s="6" t="str">
        <f t="shared" si="72"/>
        <v>4 AM - 8 AM</v>
      </c>
      <c r="D825" s="4">
        <v>0.30138888888888887</v>
      </c>
      <c r="E825" t="s">
        <v>60</v>
      </c>
      <c r="F825" t="s">
        <v>24</v>
      </c>
      <c r="G825" t="s">
        <v>61</v>
      </c>
      <c r="H825" t="s">
        <v>62</v>
      </c>
      <c r="I825" t="s">
        <v>63</v>
      </c>
      <c r="J825" t="s">
        <v>35</v>
      </c>
      <c r="K825">
        <v>1</v>
      </c>
      <c r="L825" s="8">
        <v>39850</v>
      </c>
      <c r="M825" s="8" t="str">
        <f t="shared" si="73"/>
        <v>11-20%</v>
      </c>
      <c r="N825">
        <v>20</v>
      </c>
      <c r="O825" t="str">
        <f t="shared" si="74"/>
        <v>Valid</v>
      </c>
      <c r="P825" t="str">
        <f t="shared" si="75"/>
        <v>Match</v>
      </c>
      <c r="Q825" s="8">
        <v>39850</v>
      </c>
      <c r="R825" s="8">
        <v>7970</v>
      </c>
      <c r="S825" s="8">
        <v>31880</v>
      </c>
      <c r="T825" s="8">
        <v>23408.61</v>
      </c>
      <c r="U825" s="8">
        <v>8471.39</v>
      </c>
      <c r="V825" s="8" t="b">
        <f t="shared" si="76"/>
        <v>0</v>
      </c>
      <c r="W825" s="8">
        <f t="shared" si="77"/>
        <v>0</v>
      </c>
      <c r="X825" t="s">
        <v>79</v>
      </c>
      <c r="Y825" t="s">
        <v>37</v>
      </c>
      <c r="Z825" t="s">
        <v>56</v>
      </c>
      <c r="AA825">
        <v>5</v>
      </c>
      <c r="AB825" t="s">
        <v>75</v>
      </c>
      <c r="AC825" t="s">
        <v>58</v>
      </c>
    </row>
    <row r="826" spans="1:29" x14ac:dyDescent="0.3">
      <c r="A826" t="s">
        <v>955</v>
      </c>
      <c r="B826" s="6">
        <v>45960</v>
      </c>
      <c r="C826" s="6" t="str">
        <f t="shared" si="72"/>
        <v>4 PM - 8 PM</v>
      </c>
      <c r="D826" s="4">
        <v>0.81874999999999998</v>
      </c>
      <c r="E826" t="s">
        <v>622</v>
      </c>
      <c r="F826" t="s">
        <v>24</v>
      </c>
      <c r="G826" t="s">
        <v>33</v>
      </c>
      <c r="H826" t="s">
        <v>53</v>
      </c>
      <c r="I826" t="s">
        <v>54</v>
      </c>
      <c r="J826" t="s">
        <v>78</v>
      </c>
      <c r="K826">
        <v>1</v>
      </c>
      <c r="L826" s="8">
        <v>3400</v>
      </c>
      <c r="M826" s="8" t="str">
        <f t="shared" si="73"/>
        <v>21-30%</v>
      </c>
      <c r="N826">
        <v>30</v>
      </c>
      <c r="O826" t="str">
        <f t="shared" si="74"/>
        <v>Valid</v>
      </c>
      <c r="P826" t="str">
        <f t="shared" si="75"/>
        <v>Match</v>
      </c>
      <c r="Q826" s="8">
        <v>3400</v>
      </c>
      <c r="R826" s="8">
        <v>1020</v>
      </c>
      <c r="S826" s="8">
        <v>2380</v>
      </c>
      <c r="T826" s="8">
        <v>2439.9699999999998</v>
      </c>
      <c r="U826" s="8">
        <v>-59.97</v>
      </c>
      <c r="V826" s="8" t="b">
        <f t="shared" si="76"/>
        <v>0</v>
      </c>
      <c r="W826" s="8">
        <f t="shared" si="77"/>
        <v>0</v>
      </c>
      <c r="X826" t="s">
        <v>28</v>
      </c>
      <c r="Y826" t="s">
        <v>65</v>
      </c>
      <c r="Z826" t="s">
        <v>38</v>
      </c>
      <c r="AA826">
        <v>4</v>
      </c>
      <c r="AB826" t="s">
        <v>57</v>
      </c>
      <c r="AC826" t="s">
        <v>67</v>
      </c>
    </row>
    <row r="827" spans="1:29" x14ac:dyDescent="0.3">
      <c r="A827" t="s">
        <v>956</v>
      </c>
      <c r="B827" s="6">
        <v>45718</v>
      </c>
      <c r="C827" s="6" t="str">
        <f t="shared" si="72"/>
        <v>4 AM - 8 AM</v>
      </c>
      <c r="D827" s="4">
        <v>0.2902777777777778</v>
      </c>
      <c r="E827" t="s">
        <v>60</v>
      </c>
      <c r="F827" t="s">
        <v>24</v>
      </c>
      <c r="G827" t="s">
        <v>61</v>
      </c>
      <c r="H827" t="s">
        <v>43</v>
      </c>
      <c r="I827" t="s">
        <v>63</v>
      </c>
      <c r="J827" t="s">
        <v>35</v>
      </c>
      <c r="K827">
        <v>1</v>
      </c>
      <c r="L827" s="8">
        <v>38300</v>
      </c>
      <c r="M827" s="8" t="str">
        <f t="shared" si="73"/>
        <v>0%</v>
      </c>
      <c r="N827">
        <v>0</v>
      </c>
      <c r="O827" t="str">
        <f t="shared" si="74"/>
        <v>Valid</v>
      </c>
      <c r="P827" t="str">
        <f t="shared" si="75"/>
        <v>Match</v>
      </c>
      <c r="Q827" s="8">
        <v>38300</v>
      </c>
      <c r="R827" s="8">
        <v>0</v>
      </c>
      <c r="S827" s="8">
        <v>38300</v>
      </c>
      <c r="T827" s="8">
        <v>21323.53</v>
      </c>
      <c r="U827" s="8">
        <v>16976.47</v>
      </c>
      <c r="V827" s="8" t="b">
        <f t="shared" si="76"/>
        <v>0</v>
      </c>
      <c r="W827" s="8">
        <f t="shared" si="77"/>
        <v>0</v>
      </c>
      <c r="X827" t="s">
        <v>46</v>
      </c>
      <c r="Y827" t="s">
        <v>70</v>
      </c>
      <c r="Z827" t="s">
        <v>64</v>
      </c>
      <c r="AA827">
        <v>4.5</v>
      </c>
      <c r="AB827" t="s">
        <v>127</v>
      </c>
      <c r="AC827" t="s">
        <v>30</v>
      </c>
    </row>
    <row r="828" spans="1:29" x14ac:dyDescent="0.3">
      <c r="A828" t="s">
        <v>957</v>
      </c>
      <c r="B828" s="6">
        <v>45865</v>
      </c>
      <c r="C828" s="6" t="str">
        <f t="shared" si="72"/>
        <v>8 PM - 12 AM</v>
      </c>
      <c r="D828" s="4">
        <v>0.91736111111111107</v>
      </c>
      <c r="E828" t="s">
        <v>77</v>
      </c>
      <c r="F828" t="s">
        <v>24</v>
      </c>
      <c r="G828" t="s">
        <v>120</v>
      </c>
      <c r="H828" t="s">
        <v>34</v>
      </c>
      <c r="I828" t="s">
        <v>82</v>
      </c>
      <c r="J828" t="s">
        <v>45</v>
      </c>
      <c r="K828">
        <v>3</v>
      </c>
      <c r="L828" s="8">
        <v>3300</v>
      </c>
      <c r="M828" s="8" t="str">
        <f t="shared" si="73"/>
        <v>21-30%</v>
      </c>
      <c r="N828">
        <v>30</v>
      </c>
      <c r="O828" t="str">
        <f t="shared" si="74"/>
        <v>Valid</v>
      </c>
      <c r="P828" t="str">
        <f t="shared" si="75"/>
        <v>Match</v>
      </c>
      <c r="Q828" s="8">
        <v>9900</v>
      </c>
      <c r="R828" s="8">
        <v>2970</v>
      </c>
      <c r="S828" s="8">
        <v>6930</v>
      </c>
      <c r="T828" s="8">
        <v>6318.7</v>
      </c>
      <c r="U828" s="8">
        <v>611.29999999999995</v>
      </c>
      <c r="V828" s="8" t="b">
        <f t="shared" si="76"/>
        <v>0</v>
      </c>
      <c r="W828" s="8">
        <f t="shared" si="77"/>
        <v>0</v>
      </c>
      <c r="X828" t="s">
        <v>347</v>
      </c>
      <c r="Y828" t="s">
        <v>70</v>
      </c>
      <c r="Z828" t="s">
        <v>80</v>
      </c>
      <c r="AA828">
        <v>2.5</v>
      </c>
      <c r="AB828" t="s">
        <v>29</v>
      </c>
      <c r="AC828" t="s">
        <v>30</v>
      </c>
    </row>
    <row r="829" spans="1:29" x14ac:dyDescent="0.3">
      <c r="A829" t="s">
        <v>958</v>
      </c>
      <c r="B829" s="6">
        <v>45936</v>
      </c>
      <c r="C829" s="6" t="str">
        <f t="shared" si="72"/>
        <v>12 AM - 4 AM</v>
      </c>
      <c r="D829" s="4">
        <v>6.458333333333334E-2</v>
      </c>
      <c r="E829" t="s">
        <v>622</v>
      </c>
      <c r="F829" t="s">
        <v>51</v>
      </c>
      <c r="G829" t="s">
        <v>101</v>
      </c>
      <c r="H829" t="s">
        <v>34</v>
      </c>
      <c r="I829" t="s">
        <v>98</v>
      </c>
      <c r="J829" t="s">
        <v>45</v>
      </c>
      <c r="K829">
        <v>1</v>
      </c>
      <c r="L829" s="8">
        <v>5150</v>
      </c>
      <c r="M829" s="8" t="str">
        <f t="shared" si="73"/>
        <v>0%</v>
      </c>
      <c r="N829">
        <v>0</v>
      </c>
      <c r="O829" t="str">
        <f t="shared" si="74"/>
        <v>Valid</v>
      </c>
      <c r="P829" t="str">
        <f t="shared" si="75"/>
        <v>Match</v>
      </c>
      <c r="Q829" s="8">
        <v>5150</v>
      </c>
      <c r="R829" s="8">
        <v>0</v>
      </c>
      <c r="S829" s="8">
        <v>5150</v>
      </c>
      <c r="T829" s="8">
        <v>3800.24</v>
      </c>
      <c r="U829" s="8">
        <v>1349.76</v>
      </c>
      <c r="V829" s="8" t="b">
        <f t="shared" si="76"/>
        <v>0</v>
      </c>
      <c r="W829" s="8">
        <f t="shared" si="77"/>
        <v>0</v>
      </c>
      <c r="X829" t="s">
        <v>79</v>
      </c>
      <c r="Y829" t="s">
        <v>104</v>
      </c>
      <c r="Z829" t="s">
        <v>45</v>
      </c>
      <c r="AA829">
        <v>5</v>
      </c>
      <c r="AB829" t="s">
        <v>57</v>
      </c>
      <c r="AC829" t="s">
        <v>49</v>
      </c>
    </row>
    <row r="830" spans="1:29" x14ac:dyDescent="0.3">
      <c r="A830" t="s">
        <v>959</v>
      </c>
      <c r="B830" s="6">
        <v>45733</v>
      </c>
      <c r="C830" s="6" t="str">
        <f t="shared" si="72"/>
        <v>4 PM - 8 PM</v>
      </c>
      <c r="D830" s="4">
        <v>0.77569444444444446</v>
      </c>
      <c r="E830" t="s">
        <v>69</v>
      </c>
      <c r="F830" t="s">
        <v>24</v>
      </c>
      <c r="G830" t="s">
        <v>42</v>
      </c>
      <c r="H830" t="s">
        <v>74</v>
      </c>
      <c r="I830" t="s">
        <v>44</v>
      </c>
      <c r="J830" t="s">
        <v>64</v>
      </c>
      <c r="K830">
        <v>2</v>
      </c>
      <c r="L830" s="8">
        <v>102150</v>
      </c>
      <c r="M830" s="8" t="str">
        <f t="shared" si="73"/>
        <v>1-10%</v>
      </c>
      <c r="N830">
        <v>5</v>
      </c>
      <c r="O830" t="str">
        <f t="shared" si="74"/>
        <v>Valid</v>
      </c>
      <c r="P830" t="str">
        <f t="shared" si="75"/>
        <v>Match</v>
      </c>
      <c r="Q830" s="8">
        <v>204300</v>
      </c>
      <c r="R830" s="8">
        <v>10215</v>
      </c>
      <c r="S830" s="8">
        <v>194085</v>
      </c>
      <c r="T830" s="8">
        <v>124863.53</v>
      </c>
      <c r="U830" s="8">
        <v>69221.47</v>
      </c>
      <c r="V830" s="8" t="b">
        <f t="shared" si="76"/>
        <v>0</v>
      </c>
      <c r="W830" s="8">
        <f t="shared" si="77"/>
        <v>0</v>
      </c>
      <c r="X830" t="s">
        <v>79</v>
      </c>
      <c r="Y830" t="s">
        <v>1137</v>
      </c>
      <c r="Z830" t="s">
        <v>80</v>
      </c>
      <c r="AA830">
        <v>4.5</v>
      </c>
      <c r="AB830" t="s">
        <v>127</v>
      </c>
      <c r="AC830" t="s">
        <v>49</v>
      </c>
    </row>
    <row r="831" spans="1:29" x14ac:dyDescent="0.3">
      <c r="A831" t="s">
        <v>960</v>
      </c>
      <c r="B831" s="6">
        <v>45720</v>
      </c>
      <c r="C831" s="6" t="str">
        <f t="shared" si="72"/>
        <v>12 AM - 4 AM</v>
      </c>
      <c r="D831" s="4">
        <v>1.7361111111111112E-2</v>
      </c>
      <c r="E831" t="s">
        <v>77</v>
      </c>
      <c r="F831" t="s">
        <v>51</v>
      </c>
      <c r="G831" t="s">
        <v>140</v>
      </c>
      <c r="H831" t="s">
        <v>62</v>
      </c>
      <c r="I831" t="s">
        <v>44</v>
      </c>
      <c r="J831" t="s">
        <v>64</v>
      </c>
      <c r="K831">
        <v>1</v>
      </c>
      <c r="L831" s="8">
        <v>2650</v>
      </c>
      <c r="M831" s="8" t="str">
        <f t="shared" si="73"/>
        <v>1-10%</v>
      </c>
      <c r="N831">
        <v>5</v>
      </c>
      <c r="O831" t="str">
        <f t="shared" si="74"/>
        <v>Valid</v>
      </c>
      <c r="P831" t="str">
        <f t="shared" si="75"/>
        <v>Match</v>
      </c>
      <c r="Q831" s="8">
        <v>2650</v>
      </c>
      <c r="R831" s="8">
        <v>132.5</v>
      </c>
      <c r="S831" s="8">
        <v>2517.5</v>
      </c>
      <c r="T831" s="8">
        <v>1689.11</v>
      </c>
      <c r="U831" s="8">
        <v>828.39</v>
      </c>
      <c r="V831" s="8" t="b">
        <f t="shared" si="76"/>
        <v>0</v>
      </c>
      <c r="W831" s="8">
        <f t="shared" si="77"/>
        <v>0</v>
      </c>
      <c r="X831" t="s">
        <v>55</v>
      </c>
      <c r="Y831" t="s">
        <v>47</v>
      </c>
      <c r="Z831" t="s">
        <v>56</v>
      </c>
      <c r="AA831">
        <v>3.5</v>
      </c>
      <c r="AB831" t="s">
        <v>127</v>
      </c>
      <c r="AC831" t="s">
        <v>86</v>
      </c>
    </row>
    <row r="832" spans="1:29" x14ac:dyDescent="0.3">
      <c r="A832" t="s">
        <v>961</v>
      </c>
      <c r="B832" s="6">
        <v>45700</v>
      </c>
      <c r="C832" s="6" t="str">
        <f t="shared" si="72"/>
        <v>4 PM - 8 PM</v>
      </c>
      <c r="D832" s="4">
        <v>0.6743055555555556</v>
      </c>
      <c r="E832" t="s">
        <v>77</v>
      </c>
      <c r="F832" t="s">
        <v>24</v>
      </c>
      <c r="G832" t="s">
        <v>25</v>
      </c>
      <c r="H832" t="s">
        <v>26</v>
      </c>
      <c r="I832" t="s">
        <v>82</v>
      </c>
      <c r="J832" t="s">
        <v>93</v>
      </c>
      <c r="K832">
        <v>1</v>
      </c>
      <c r="L832" s="8">
        <v>2700</v>
      </c>
      <c r="M832" s="8" t="str">
        <f t="shared" si="73"/>
        <v>11-20%</v>
      </c>
      <c r="N832">
        <v>15</v>
      </c>
      <c r="O832" t="str">
        <f t="shared" si="74"/>
        <v>Valid</v>
      </c>
      <c r="P832" t="str">
        <f t="shared" si="75"/>
        <v>Match</v>
      </c>
      <c r="Q832" s="8">
        <v>2700</v>
      </c>
      <c r="R832" s="8">
        <v>405</v>
      </c>
      <c r="S832" s="8">
        <v>2295</v>
      </c>
      <c r="T832" s="8">
        <v>1663.08</v>
      </c>
      <c r="U832" s="8">
        <v>631.91999999999996</v>
      </c>
      <c r="V832" s="8" t="b">
        <f t="shared" si="76"/>
        <v>0</v>
      </c>
      <c r="W832" s="8">
        <f t="shared" si="77"/>
        <v>0</v>
      </c>
      <c r="X832" t="s">
        <v>36</v>
      </c>
      <c r="Y832" t="s">
        <v>94</v>
      </c>
      <c r="Z832" t="s">
        <v>45</v>
      </c>
      <c r="AA832">
        <v>3.5</v>
      </c>
      <c r="AB832" t="s">
        <v>66</v>
      </c>
      <c r="AC832" t="s">
        <v>40</v>
      </c>
    </row>
    <row r="833" spans="1:29" x14ac:dyDescent="0.3">
      <c r="A833" t="s">
        <v>962</v>
      </c>
      <c r="B833" s="6">
        <v>45829</v>
      </c>
      <c r="C833" s="6" t="str">
        <f t="shared" si="72"/>
        <v>12 AM - 4 AM</v>
      </c>
      <c r="D833" s="4">
        <v>0.12430555555555556</v>
      </c>
      <c r="E833" t="s">
        <v>69</v>
      </c>
      <c r="F833" t="s">
        <v>24</v>
      </c>
      <c r="G833" t="s">
        <v>61</v>
      </c>
      <c r="H833" t="s">
        <v>53</v>
      </c>
      <c r="I833" t="s">
        <v>63</v>
      </c>
      <c r="J833" t="s">
        <v>64</v>
      </c>
      <c r="K833">
        <v>1</v>
      </c>
      <c r="L833" s="8">
        <v>12450</v>
      </c>
      <c r="M833" s="8" t="str">
        <f t="shared" si="73"/>
        <v>21-30%</v>
      </c>
      <c r="N833">
        <v>30</v>
      </c>
      <c r="O833" t="str">
        <f t="shared" si="74"/>
        <v>Valid</v>
      </c>
      <c r="P833" t="str">
        <f t="shared" si="75"/>
        <v>Match</v>
      </c>
      <c r="Q833" s="8">
        <v>12450</v>
      </c>
      <c r="R833" s="8">
        <v>3735</v>
      </c>
      <c r="S833" s="8">
        <v>8715</v>
      </c>
      <c r="T833" s="8">
        <v>7912.8</v>
      </c>
      <c r="U833" s="8">
        <v>802.2</v>
      </c>
      <c r="V833" s="8" t="b">
        <f t="shared" si="76"/>
        <v>0</v>
      </c>
      <c r="W833" s="8">
        <f t="shared" si="77"/>
        <v>0</v>
      </c>
      <c r="X833" t="s">
        <v>36</v>
      </c>
      <c r="Y833" t="s">
        <v>47</v>
      </c>
      <c r="Z833" t="s">
        <v>38</v>
      </c>
      <c r="AA833">
        <v>5</v>
      </c>
      <c r="AB833" t="s">
        <v>48</v>
      </c>
      <c r="AC833" t="s">
        <v>71</v>
      </c>
    </row>
    <row r="834" spans="1:29" x14ac:dyDescent="0.3">
      <c r="A834" t="s">
        <v>963</v>
      </c>
      <c r="B834" s="6">
        <v>45757</v>
      </c>
      <c r="C834" s="6" t="str">
        <f t="shared" ref="C834:C897" si="78">IF(D834&lt;TIME(4,0,0),"12 AM - 4 AM",IF(D834&lt;TIME(8,0,0),"4 AM - 8 AM",IF(D834&lt;TIME(12,0,0),"8 AM - 12 PM",IF(D834&lt;TIME(16,0,0),"12 PM - 4 PM",IF(D834&lt;TIME(20,0,0),"4 PM - 8 PM","8 PM - 12 AM")))))</f>
        <v>4 PM - 8 PM</v>
      </c>
      <c r="D834" s="4">
        <v>0.78541666666666665</v>
      </c>
      <c r="E834" t="s">
        <v>32</v>
      </c>
      <c r="F834" t="s">
        <v>24</v>
      </c>
      <c r="G834" t="s">
        <v>88</v>
      </c>
      <c r="H834" t="s">
        <v>53</v>
      </c>
      <c r="I834" t="s">
        <v>92</v>
      </c>
      <c r="J834" t="s">
        <v>45</v>
      </c>
      <c r="K834">
        <v>1</v>
      </c>
      <c r="L834" s="8">
        <v>4400</v>
      </c>
      <c r="M834" s="8" t="str">
        <f t="shared" ref="M834:M897" si="79">IF(N834&lt;0,"Invalid",IF(N834=0,"0%",IF(N834&lt;=10,"1-10%",IF(N834&lt;=20,"11-20%",IF(N834&lt;=30,"21-30%","30%+")))))</f>
        <v>11-20%</v>
      </c>
      <c r="N834">
        <v>15</v>
      </c>
      <c r="O834" t="str">
        <f t="shared" ref="O834:O897" si="80">IF(OR(N834&lt;0,N834&gt;100),"Invalid Discount","Valid")</f>
        <v>Valid</v>
      </c>
      <c r="P834" t="str">
        <f t="shared" ref="P834:P897" si="81">IF(ROUND(R834,2)=ROUND(Q834*N834/100,2),"Match","Mismatch")</f>
        <v>Match</v>
      </c>
      <c r="Q834" s="8">
        <v>4400</v>
      </c>
      <c r="R834" s="8">
        <v>660</v>
      </c>
      <c r="S834" s="8">
        <v>3740</v>
      </c>
      <c r="T834" s="8">
        <v>3040.52</v>
      </c>
      <c r="U834" s="8">
        <v>699.48</v>
      </c>
      <c r="V834" s="8" t="b">
        <f t="shared" ref="V834:V897" si="82">IF(AND(S834-T834&lt;0,U834=S834-T834),TRUE,FALSE)</f>
        <v>0</v>
      </c>
      <c r="W834" s="8">
        <f t="shared" ref="W834:W897" si="83">IF(V834=TRUE,ABS(U834),0)</f>
        <v>0</v>
      </c>
      <c r="X834" t="s">
        <v>55</v>
      </c>
      <c r="Y834" t="s">
        <v>89</v>
      </c>
      <c r="Z834" t="s">
        <v>38</v>
      </c>
      <c r="AA834">
        <v>4</v>
      </c>
      <c r="AB834" t="s">
        <v>99</v>
      </c>
      <c r="AC834" t="s">
        <v>67</v>
      </c>
    </row>
    <row r="835" spans="1:29" x14ac:dyDescent="0.3">
      <c r="A835" t="s">
        <v>964</v>
      </c>
      <c r="B835" s="6">
        <v>45774</v>
      </c>
      <c r="C835" s="6" t="str">
        <f t="shared" si="78"/>
        <v>4 AM - 8 AM</v>
      </c>
      <c r="D835" s="4">
        <v>0.22569444444444445</v>
      </c>
      <c r="E835" t="s">
        <v>32</v>
      </c>
      <c r="F835" t="s">
        <v>96</v>
      </c>
      <c r="G835" t="s">
        <v>115</v>
      </c>
      <c r="H835" t="s">
        <v>102</v>
      </c>
      <c r="I835" t="s">
        <v>103</v>
      </c>
      <c r="J835" t="s">
        <v>93</v>
      </c>
      <c r="K835">
        <v>1</v>
      </c>
      <c r="L835" s="8">
        <v>9200</v>
      </c>
      <c r="M835" s="8" t="str">
        <f t="shared" si="79"/>
        <v>1-10%</v>
      </c>
      <c r="N835">
        <v>5</v>
      </c>
      <c r="O835" t="str">
        <f t="shared" si="80"/>
        <v>Valid</v>
      </c>
      <c r="P835" t="str">
        <f t="shared" si="81"/>
        <v>Match</v>
      </c>
      <c r="Q835" s="8">
        <v>9200</v>
      </c>
      <c r="R835" s="8">
        <v>460</v>
      </c>
      <c r="S835" s="8">
        <v>8740</v>
      </c>
      <c r="T835" s="8">
        <v>6501.6</v>
      </c>
      <c r="U835" s="8">
        <v>2238.4</v>
      </c>
      <c r="V835" s="8" t="b">
        <f t="shared" si="82"/>
        <v>0</v>
      </c>
      <c r="W835" s="8">
        <f t="shared" si="83"/>
        <v>0</v>
      </c>
      <c r="X835" t="s">
        <v>36</v>
      </c>
      <c r="Y835" t="s">
        <v>104</v>
      </c>
      <c r="Z835" t="s">
        <v>56</v>
      </c>
      <c r="AA835">
        <v>4.5</v>
      </c>
      <c r="AB835" t="s">
        <v>99</v>
      </c>
      <c r="AC835" t="s">
        <v>30</v>
      </c>
    </row>
    <row r="836" spans="1:29" x14ac:dyDescent="0.3">
      <c r="A836" t="s">
        <v>965</v>
      </c>
      <c r="B836" s="6">
        <v>45993</v>
      </c>
      <c r="C836" s="6" t="str">
        <f t="shared" si="78"/>
        <v>12 AM - 4 AM</v>
      </c>
      <c r="D836" s="4">
        <v>9.3055555555555558E-2</v>
      </c>
      <c r="E836" t="s">
        <v>60</v>
      </c>
      <c r="F836" t="s">
        <v>51</v>
      </c>
      <c r="G836" t="s">
        <v>122</v>
      </c>
      <c r="H836" t="s">
        <v>102</v>
      </c>
      <c r="I836" t="s">
        <v>103</v>
      </c>
      <c r="J836" t="s">
        <v>35</v>
      </c>
      <c r="K836">
        <v>1</v>
      </c>
      <c r="L836" s="8">
        <v>5750</v>
      </c>
      <c r="M836" s="8" t="str">
        <f t="shared" si="79"/>
        <v>21-30%</v>
      </c>
      <c r="N836">
        <v>25</v>
      </c>
      <c r="O836" t="str">
        <f t="shared" si="80"/>
        <v>Valid</v>
      </c>
      <c r="P836" t="str">
        <f t="shared" si="81"/>
        <v>Match</v>
      </c>
      <c r="Q836" s="8">
        <v>5750</v>
      </c>
      <c r="R836" s="8">
        <v>1437.5</v>
      </c>
      <c r="S836" s="8">
        <v>4312.5</v>
      </c>
      <c r="T836" s="8">
        <v>4127.9799999999996</v>
      </c>
      <c r="U836" s="8">
        <v>184.52</v>
      </c>
      <c r="V836" s="8" t="b">
        <f t="shared" si="82"/>
        <v>0</v>
      </c>
      <c r="W836" s="8">
        <f t="shared" si="83"/>
        <v>0</v>
      </c>
      <c r="X836" t="s">
        <v>28</v>
      </c>
      <c r="Y836" t="s">
        <v>94</v>
      </c>
      <c r="Z836" t="s">
        <v>45</v>
      </c>
      <c r="AA836">
        <v>4</v>
      </c>
      <c r="AB836" t="s">
        <v>39</v>
      </c>
      <c r="AC836" t="s">
        <v>86</v>
      </c>
    </row>
    <row r="837" spans="1:29" x14ac:dyDescent="0.3">
      <c r="A837" t="s">
        <v>966</v>
      </c>
      <c r="B837" s="2">
        <f ca="1">DATE(VALUE(RIGHT(Table1[[#This Row],[Order_Date]],4)),VALUE(LEFT(Table1[[#This Row],[Order_Date]],2)),VALUE(MID(Table1[[#This Row],[Order_Date]],4,2)))</f>
        <v>46008</v>
      </c>
      <c r="C837" s="2" t="str">
        <f t="shared" si="78"/>
        <v>12 AM - 4 AM</v>
      </c>
      <c r="E837" t="s">
        <v>108</v>
      </c>
      <c r="F837" t="s">
        <v>24</v>
      </c>
      <c r="G837" t="s">
        <v>88</v>
      </c>
      <c r="H837" t="s">
        <v>74</v>
      </c>
      <c r="I837" t="s">
        <v>92</v>
      </c>
      <c r="J837" t="s">
        <v>64</v>
      </c>
      <c r="K837">
        <v>3</v>
      </c>
      <c r="L837" s="8">
        <v>1700</v>
      </c>
      <c r="M837" s="8" t="str">
        <f t="shared" si="79"/>
        <v>21-30%</v>
      </c>
      <c r="N837">
        <v>25</v>
      </c>
      <c r="O837" t="str">
        <f t="shared" si="80"/>
        <v>Valid</v>
      </c>
      <c r="P837" t="str">
        <f t="shared" si="81"/>
        <v>Match</v>
      </c>
      <c r="Q837" s="8">
        <v>5100</v>
      </c>
      <c r="R837" s="8">
        <v>1275</v>
      </c>
      <c r="S837" s="8">
        <v>3825</v>
      </c>
      <c r="T837" s="8">
        <v>3276.9</v>
      </c>
      <c r="U837" s="8">
        <v>548.1</v>
      </c>
      <c r="V837" s="8" t="b">
        <f t="shared" si="82"/>
        <v>0</v>
      </c>
      <c r="W837" s="8">
        <f t="shared" si="83"/>
        <v>0</v>
      </c>
      <c r="X837" t="s">
        <v>36</v>
      </c>
      <c r="Y837" t="s">
        <v>47</v>
      </c>
      <c r="Z837" t="s">
        <v>64</v>
      </c>
      <c r="AA837">
        <v>4</v>
      </c>
      <c r="AB837" t="s">
        <v>39</v>
      </c>
      <c r="AC837" t="s">
        <v>40</v>
      </c>
    </row>
    <row r="838" spans="1:29" x14ac:dyDescent="0.3">
      <c r="A838" t="s">
        <v>967</v>
      </c>
      <c r="B838" s="6">
        <v>46002</v>
      </c>
      <c r="C838" s="6" t="str">
        <f t="shared" si="78"/>
        <v>8 AM - 12 PM</v>
      </c>
      <c r="D838" s="4">
        <v>0.37916666666666665</v>
      </c>
      <c r="E838" t="s">
        <v>108</v>
      </c>
      <c r="F838" t="s">
        <v>96</v>
      </c>
      <c r="G838" t="s">
        <v>134</v>
      </c>
      <c r="H838" t="s">
        <v>74</v>
      </c>
      <c r="I838" t="s">
        <v>54</v>
      </c>
      <c r="J838" t="s">
        <v>35</v>
      </c>
      <c r="K838">
        <v>1</v>
      </c>
      <c r="L838" s="8">
        <v>3800</v>
      </c>
      <c r="M838" s="8" t="str">
        <f t="shared" si="79"/>
        <v>0%</v>
      </c>
      <c r="N838">
        <v>0</v>
      </c>
      <c r="O838" t="str">
        <f t="shared" si="80"/>
        <v>Valid</v>
      </c>
      <c r="P838" t="str">
        <f t="shared" si="81"/>
        <v>Match</v>
      </c>
      <c r="Q838" s="8">
        <v>3800</v>
      </c>
      <c r="R838" s="8">
        <v>0</v>
      </c>
      <c r="S838" s="8">
        <v>3800</v>
      </c>
      <c r="T838" s="8">
        <v>2611.73</v>
      </c>
      <c r="U838" s="8">
        <v>1188.27</v>
      </c>
      <c r="V838" s="8" t="b">
        <f t="shared" si="82"/>
        <v>0</v>
      </c>
      <c r="W838" s="8">
        <f t="shared" si="83"/>
        <v>0</v>
      </c>
      <c r="X838" t="s">
        <v>36</v>
      </c>
      <c r="Y838" t="s">
        <v>70</v>
      </c>
      <c r="Z838" t="s">
        <v>56</v>
      </c>
      <c r="AA838">
        <v>3.5</v>
      </c>
      <c r="AB838" t="s">
        <v>39</v>
      </c>
      <c r="AC838" t="s">
        <v>67</v>
      </c>
    </row>
    <row r="839" spans="1:29" x14ac:dyDescent="0.3">
      <c r="A839" t="s">
        <v>968</v>
      </c>
      <c r="B839" s="6">
        <v>46012</v>
      </c>
      <c r="C839" s="6" t="str">
        <f t="shared" si="78"/>
        <v>8 AM - 12 PM</v>
      </c>
      <c r="D839" s="4">
        <v>0.35486111111111113</v>
      </c>
      <c r="E839" t="s">
        <v>23</v>
      </c>
      <c r="F839" t="s">
        <v>51</v>
      </c>
      <c r="G839" t="s">
        <v>101</v>
      </c>
      <c r="H839" t="s">
        <v>62</v>
      </c>
      <c r="I839" t="s">
        <v>44</v>
      </c>
      <c r="J839" t="s">
        <v>35</v>
      </c>
      <c r="K839">
        <v>1</v>
      </c>
      <c r="L839" s="8">
        <v>9500</v>
      </c>
      <c r="M839" s="8" t="str">
        <f t="shared" si="79"/>
        <v>21-30%</v>
      </c>
      <c r="N839">
        <v>25</v>
      </c>
      <c r="O839" t="str">
        <f t="shared" si="80"/>
        <v>Valid</v>
      </c>
      <c r="P839" t="str">
        <f t="shared" si="81"/>
        <v>Match</v>
      </c>
      <c r="Q839" s="8">
        <v>9500</v>
      </c>
      <c r="R839" s="8">
        <v>2375</v>
      </c>
      <c r="S839" s="8">
        <v>7125</v>
      </c>
      <c r="T839" s="8">
        <v>6662.3</v>
      </c>
      <c r="U839" s="8">
        <v>462.7</v>
      </c>
      <c r="V839" s="8" t="b">
        <f t="shared" si="82"/>
        <v>0</v>
      </c>
      <c r="W839" s="8">
        <f t="shared" si="83"/>
        <v>0</v>
      </c>
      <c r="X839" t="s">
        <v>46</v>
      </c>
      <c r="Y839" t="s">
        <v>70</v>
      </c>
      <c r="Z839" t="s">
        <v>80</v>
      </c>
      <c r="AA839">
        <v>5</v>
      </c>
      <c r="AB839" t="s">
        <v>39</v>
      </c>
      <c r="AC839" t="s">
        <v>30</v>
      </c>
    </row>
    <row r="840" spans="1:29" x14ac:dyDescent="0.3">
      <c r="A840" t="s">
        <v>969</v>
      </c>
      <c r="B840" s="6">
        <v>45995</v>
      </c>
      <c r="C840" s="6" t="str">
        <f t="shared" si="78"/>
        <v>4 AM - 8 AM</v>
      </c>
      <c r="D840" s="4">
        <v>0.28402777777777777</v>
      </c>
      <c r="E840" t="s">
        <v>69</v>
      </c>
      <c r="F840" t="s">
        <v>51</v>
      </c>
      <c r="G840" t="s">
        <v>122</v>
      </c>
      <c r="H840" t="s">
        <v>113</v>
      </c>
      <c r="I840" t="s">
        <v>44</v>
      </c>
      <c r="J840" t="s">
        <v>93</v>
      </c>
      <c r="K840">
        <v>1</v>
      </c>
      <c r="L840" s="8">
        <v>5300</v>
      </c>
      <c r="M840" s="8" t="str">
        <f t="shared" si="79"/>
        <v>11-20%</v>
      </c>
      <c r="N840">
        <v>20</v>
      </c>
      <c r="O840" t="str">
        <f t="shared" si="80"/>
        <v>Valid</v>
      </c>
      <c r="P840" t="str">
        <f t="shared" si="81"/>
        <v>Match</v>
      </c>
      <c r="Q840" s="8">
        <v>5300</v>
      </c>
      <c r="R840" s="8">
        <v>1060</v>
      </c>
      <c r="S840" s="8">
        <v>4240</v>
      </c>
      <c r="T840" s="8">
        <v>3250.21</v>
      </c>
      <c r="U840" s="8">
        <v>989.79</v>
      </c>
      <c r="V840" s="8" t="b">
        <f t="shared" si="82"/>
        <v>0</v>
      </c>
      <c r="W840" s="8">
        <f t="shared" si="83"/>
        <v>0</v>
      </c>
      <c r="X840" t="s">
        <v>55</v>
      </c>
      <c r="Y840" t="s">
        <v>47</v>
      </c>
      <c r="Z840" t="s">
        <v>56</v>
      </c>
      <c r="AA840">
        <v>3.5</v>
      </c>
      <c r="AB840" t="s">
        <v>39</v>
      </c>
      <c r="AC840" t="s">
        <v>67</v>
      </c>
    </row>
    <row r="841" spans="1:29" x14ac:dyDescent="0.3">
      <c r="A841" t="s">
        <v>970</v>
      </c>
      <c r="B841" s="6">
        <v>45913</v>
      </c>
      <c r="C841" s="6" t="str">
        <f t="shared" si="78"/>
        <v>8 AM - 12 PM</v>
      </c>
      <c r="D841" s="4">
        <v>0.42152777777777778</v>
      </c>
      <c r="E841" t="s">
        <v>108</v>
      </c>
      <c r="F841" t="s">
        <v>51</v>
      </c>
      <c r="G841" t="s">
        <v>153</v>
      </c>
      <c r="H841" t="s">
        <v>26</v>
      </c>
      <c r="I841" t="s">
        <v>63</v>
      </c>
      <c r="J841" t="s">
        <v>78</v>
      </c>
      <c r="K841">
        <v>1</v>
      </c>
      <c r="L841" s="8">
        <v>3150</v>
      </c>
      <c r="M841" s="8" t="str">
        <f t="shared" si="79"/>
        <v>11-20%</v>
      </c>
      <c r="N841">
        <v>15</v>
      </c>
      <c r="O841" t="str">
        <f t="shared" si="80"/>
        <v>Valid</v>
      </c>
      <c r="P841" t="str">
        <f t="shared" si="81"/>
        <v>Match</v>
      </c>
      <c r="Q841" s="8">
        <v>3150</v>
      </c>
      <c r="R841" s="8">
        <v>472.5</v>
      </c>
      <c r="S841" s="8">
        <v>2677.5</v>
      </c>
      <c r="T841" s="8">
        <v>2285.14</v>
      </c>
      <c r="U841" s="8">
        <v>392.36</v>
      </c>
      <c r="V841" s="8" t="b">
        <f t="shared" si="82"/>
        <v>0</v>
      </c>
      <c r="W841" s="8">
        <f t="shared" si="83"/>
        <v>0</v>
      </c>
      <c r="X841" t="s">
        <v>28</v>
      </c>
      <c r="Y841" t="s">
        <v>1137</v>
      </c>
      <c r="Z841" t="s">
        <v>80</v>
      </c>
      <c r="AA841">
        <v>4</v>
      </c>
      <c r="AB841" t="s">
        <v>155</v>
      </c>
      <c r="AC841" t="s">
        <v>71</v>
      </c>
    </row>
    <row r="842" spans="1:29" x14ac:dyDescent="0.3">
      <c r="A842" t="s">
        <v>971</v>
      </c>
      <c r="B842" s="6">
        <v>45821</v>
      </c>
      <c r="C842" s="6" t="str">
        <f t="shared" si="78"/>
        <v>4 AM - 8 AM</v>
      </c>
      <c r="D842" s="4">
        <v>0.19166666666666668</v>
      </c>
      <c r="E842" t="s">
        <v>69</v>
      </c>
      <c r="F842" t="s">
        <v>24</v>
      </c>
      <c r="G842" t="s">
        <v>61</v>
      </c>
      <c r="H842" t="s">
        <v>53</v>
      </c>
      <c r="I842" t="s">
        <v>63</v>
      </c>
      <c r="J842" t="s">
        <v>35</v>
      </c>
      <c r="K842">
        <v>1</v>
      </c>
      <c r="L842" s="8">
        <v>31900</v>
      </c>
      <c r="M842" s="8" t="str">
        <f t="shared" si="79"/>
        <v>21-30%</v>
      </c>
      <c r="N842">
        <v>30</v>
      </c>
      <c r="O842" t="str">
        <f t="shared" si="80"/>
        <v>Valid</v>
      </c>
      <c r="P842" t="str">
        <f t="shared" si="81"/>
        <v>Match</v>
      </c>
      <c r="Q842" s="8">
        <v>31900</v>
      </c>
      <c r="R842" s="8">
        <v>9570</v>
      </c>
      <c r="S842" s="8">
        <v>22330</v>
      </c>
      <c r="T842" s="8">
        <v>16673.79</v>
      </c>
      <c r="U842" s="8">
        <v>5656.21</v>
      </c>
      <c r="V842" s="8" t="b">
        <f t="shared" si="82"/>
        <v>0</v>
      </c>
      <c r="W842" s="8">
        <f t="shared" si="83"/>
        <v>0</v>
      </c>
      <c r="X842" t="s">
        <v>28</v>
      </c>
      <c r="Y842" t="s">
        <v>94</v>
      </c>
      <c r="Z842" t="s">
        <v>45</v>
      </c>
      <c r="AA842" t="s">
        <v>1139</v>
      </c>
      <c r="AB842" t="s">
        <v>48</v>
      </c>
      <c r="AC842" t="s">
        <v>58</v>
      </c>
    </row>
    <row r="843" spans="1:29" x14ac:dyDescent="0.3">
      <c r="A843" t="s">
        <v>972</v>
      </c>
      <c r="B843" s="6">
        <v>45768</v>
      </c>
      <c r="C843" s="6" t="str">
        <f t="shared" si="78"/>
        <v>12 PM - 4 PM</v>
      </c>
      <c r="D843" s="4">
        <v>0.63749999999999996</v>
      </c>
      <c r="E843" t="s">
        <v>32</v>
      </c>
      <c r="F843" t="s">
        <v>24</v>
      </c>
      <c r="G843" t="s">
        <v>61</v>
      </c>
      <c r="H843" t="s">
        <v>34</v>
      </c>
      <c r="I843" t="s">
        <v>125</v>
      </c>
      <c r="J843" t="s">
        <v>78</v>
      </c>
      <c r="K843">
        <v>3</v>
      </c>
      <c r="L843" s="8">
        <v>17400</v>
      </c>
      <c r="M843" s="8" t="str">
        <f t="shared" si="79"/>
        <v>11-20%</v>
      </c>
      <c r="N843">
        <v>20</v>
      </c>
      <c r="O843" t="str">
        <f t="shared" si="80"/>
        <v>Valid</v>
      </c>
      <c r="P843" t="str">
        <f t="shared" si="81"/>
        <v>Match</v>
      </c>
      <c r="Q843" s="8">
        <v>52200</v>
      </c>
      <c r="R843" s="8">
        <v>10440</v>
      </c>
      <c r="S843" s="8">
        <v>41760</v>
      </c>
      <c r="T843" s="8">
        <v>32636.6</v>
      </c>
      <c r="U843" s="8">
        <v>9123.4</v>
      </c>
      <c r="V843" s="8" t="b">
        <f t="shared" si="82"/>
        <v>0</v>
      </c>
      <c r="W843" s="8">
        <f t="shared" si="83"/>
        <v>0</v>
      </c>
      <c r="X843" t="s">
        <v>36</v>
      </c>
      <c r="Y843" t="s">
        <v>65</v>
      </c>
      <c r="Z843" t="s">
        <v>64</v>
      </c>
      <c r="AA843">
        <v>3.5</v>
      </c>
      <c r="AB843" t="s">
        <v>99</v>
      </c>
      <c r="AC843" t="s">
        <v>49</v>
      </c>
    </row>
    <row r="844" spans="1:29" x14ac:dyDescent="0.3">
      <c r="A844" t="s">
        <v>973</v>
      </c>
      <c r="B844" s="6">
        <v>45895</v>
      </c>
      <c r="C844" s="6" t="str">
        <f t="shared" si="78"/>
        <v>12 AM - 4 AM</v>
      </c>
      <c r="D844" s="4">
        <v>8.819444444444445E-2</v>
      </c>
      <c r="E844" t="s">
        <v>622</v>
      </c>
      <c r="F844" t="s">
        <v>24</v>
      </c>
      <c r="G844" t="s">
        <v>120</v>
      </c>
      <c r="H844" t="s">
        <v>62</v>
      </c>
      <c r="I844" t="s">
        <v>27</v>
      </c>
      <c r="J844" t="s">
        <v>35</v>
      </c>
      <c r="K844">
        <v>3</v>
      </c>
      <c r="L844" s="8">
        <v>8350</v>
      </c>
      <c r="M844" s="8" t="str">
        <f t="shared" si="79"/>
        <v>0%</v>
      </c>
      <c r="N844">
        <v>0</v>
      </c>
      <c r="O844" t="str">
        <f t="shared" si="80"/>
        <v>Valid</v>
      </c>
      <c r="P844" t="str">
        <f t="shared" si="81"/>
        <v>Match</v>
      </c>
      <c r="Q844" s="8">
        <v>25050</v>
      </c>
      <c r="R844" s="8">
        <v>0</v>
      </c>
      <c r="S844" s="8">
        <v>25050</v>
      </c>
      <c r="T844" s="8">
        <v>16146.27</v>
      </c>
      <c r="U844" s="8">
        <v>8903.73</v>
      </c>
      <c r="V844" s="8" t="b">
        <f t="shared" si="82"/>
        <v>0</v>
      </c>
      <c r="W844" s="8">
        <f t="shared" si="83"/>
        <v>0</v>
      </c>
      <c r="X844" t="s">
        <v>36</v>
      </c>
      <c r="Y844" t="s">
        <v>94</v>
      </c>
      <c r="Z844" t="s">
        <v>45</v>
      </c>
      <c r="AA844">
        <v>4.5</v>
      </c>
      <c r="AB844" t="s">
        <v>90</v>
      </c>
      <c r="AC844" t="s">
        <v>86</v>
      </c>
    </row>
    <row r="845" spans="1:29" x14ac:dyDescent="0.3">
      <c r="A845" t="s">
        <v>974</v>
      </c>
      <c r="B845" s="6">
        <v>45986</v>
      </c>
      <c r="C845" s="6" t="str">
        <f t="shared" si="78"/>
        <v>12 PM - 4 PM</v>
      </c>
      <c r="D845" s="4">
        <v>0.5805555555555556</v>
      </c>
      <c r="E845" t="s">
        <v>60</v>
      </c>
      <c r="F845" t="s">
        <v>24</v>
      </c>
      <c r="G845" t="s">
        <v>120</v>
      </c>
      <c r="H845" t="s">
        <v>113</v>
      </c>
      <c r="I845" t="s">
        <v>27</v>
      </c>
      <c r="J845" t="s">
        <v>35</v>
      </c>
      <c r="K845">
        <v>3</v>
      </c>
      <c r="L845" s="8">
        <v>9650</v>
      </c>
      <c r="M845" s="8" t="str">
        <f t="shared" si="79"/>
        <v>21-30%</v>
      </c>
      <c r="N845">
        <v>25</v>
      </c>
      <c r="O845" t="str">
        <f t="shared" si="80"/>
        <v>Valid</v>
      </c>
      <c r="P845" t="str">
        <f t="shared" si="81"/>
        <v>Match</v>
      </c>
      <c r="Q845" s="8">
        <v>28950</v>
      </c>
      <c r="R845" s="8">
        <v>7237.5</v>
      </c>
      <c r="S845" s="8">
        <v>21712.5</v>
      </c>
      <c r="T845" s="8">
        <v>17703.310000000001</v>
      </c>
      <c r="U845" s="8">
        <v>4009.19</v>
      </c>
      <c r="V845" s="8" t="b">
        <f t="shared" si="82"/>
        <v>0</v>
      </c>
      <c r="W845" s="8">
        <f t="shared" si="83"/>
        <v>0</v>
      </c>
      <c r="X845" t="s">
        <v>28</v>
      </c>
      <c r="Y845" t="s">
        <v>89</v>
      </c>
      <c r="Z845" t="s">
        <v>80</v>
      </c>
      <c r="AA845">
        <v>4</v>
      </c>
      <c r="AB845" t="s">
        <v>75</v>
      </c>
      <c r="AC845" t="s">
        <v>86</v>
      </c>
    </row>
    <row r="846" spans="1:29" x14ac:dyDescent="0.3">
      <c r="A846" t="s">
        <v>975</v>
      </c>
      <c r="B846" s="6">
        <v>45886</v>
      </c>
      <c r="C846" s="6" t="str">
        <f t="shared" si="78"/>
        <v>12 AM - 4 AM</v>
      </c>
      <c r="D846" s="4">
        <v>7.3611111111111113E-2</v>
      </c>
      <c r="E846" t="s">
        <v>108</v>
      </c>
      <c r="F846" t="s">
        <v>24</v>
      </c>
      <c r="G846" t="s">
        <v>110</v>
      </c>
      <c r="H846" t="s">
        <v>62</v>
      </c>
      <c r="I846" t="s">
        <v>98</v>
      </c>
      <c r="J846" t="s">
        <v>93</v>
      </c>
      <c r="K846">
        <v>1</v>
      </c>
      <c r="L846" s="8">
        <v>4600</v>
      </c>
      <c r="M846" s="8" t="str">
        <f t="shared" si="79"/>
        <v>21-30%</v>
      </c>
      <c r="N846">
        <v>25</v>
      </c>
      <c r="O846" t="str">
        <f t="shared" si="80"/>
        <v>Valid</v>
      </c>
      <c r="P846" t="str">
        <f t="shared" si="81"/>
        <v>Match</v>
      </c>
      <c r="Q846" s="8">
        <v>4600</v>
      </c>
      <c r="R846" s="8">
        <v>1150</v>
      </c>
      <c r="S846" s="8">
        <v>3450</v>
      </c>
      <c r="T846" s="8">
        <v>2841.24</v>
      </c>
      <c r="U846" s="8">
        <v>608.76</v>
      </c>
      <c r="V846" s="8" t="b">
        <f t="shared" si="82"/>
        <v>0</v>
      </c>
      <c r="W846" s="8">
        <f t="shared" si="83"/>
        <v>0</v>
      </c>
      <c r="X846" t="s">
        <v>46</v>
      </c>
      <c r="Y846" t="s">
        <v>65</v>
      </c>
      <c r="Z846" t="s">
        <v>64</v>
      </c>
      <c r="AA846">
        <v>4</v>
      </c>
      <c r="AB846" t="s">
        <v>90</v>
      </c>
      <c r="AC846" t="s">
        <v>30</v>
      </c>
    </row>
    <row r="847" spans="1:29" x14ac:dyDescent="0.3">
      <c r="A847" t="s">
        <v>976</v>
      </c>
      <c r="B847" s="6">
        <v>45883</v>
      </c>
      <c r="C847" s="6" t="str">
        <f t="shared" si="78"/>
        <v>12 PM - 4 PM</v>
      </c>
      <c r="D847" s="4">
        <v>0.60833333333333328</v>
      </c>
      <c r="E847" t="s">
        <v>108</v>
      </c>
      <c r="F847" t="s">
        <v>96</v>
      </c>
      <c r="G847" t="s">
        <v>97</v>
      </c>
      <c r="H847" t="s">
        <v>62</v>
      </c>
      <c r="I847" t="s">
        <v>103</v>
      </c>
      <c r="J847" t="s">
        <v>35</v>
      </c>
      <c r="K847">
        <v>2</v>
      </c>
      <c r="L847" s="8">
        <v>4300</v>
      </c>
      <c r="M847" s="8" t="str">
        <f t="shared" si="79"/>
        <v>0%</v>
      </c>
      <c r="N847">
        <v>0</v>
      </c>
      <c r="O847" t="str">
        <f t="shared" si="80"/>
        <v>Valid</v>
      </c>
      <c r="P847" t="str">
        <f t="shared" si="81"/>
        <v>Match</v>
      </c>
      <c r="Q847" s="8">
        <v>8600</v>
      </c>
      <c r="R847" s="8">
        <v>0</v>
      </c>
      <c r="S847" s="8">
        <v>8600</v>
      </c>
      <c r="T847" s="8">
        <v>5129.1000000000004</v>
      </c>
      <c r="U847" s="8">
        <v>3470.9</v>
      </c>
      <c r="V847" s="8" t="b">
        <f t="shared" si="82"/>
        <v>0</v>
      </c>
      <c r="W847" s="8">
        <f t="shared" si="83"/>
        <v>0</v>
      </c>
      <c r="X847" t="s">
        <v>36</v>
      </c>
      <c r="Y847" t="s">
        <v>47</v>
      </c>
      <c r="Z847" t="s">
        <v>85</v>
      </c>
      <c r="AA847">
        <v>5</v>
      </c>
      <c r="AB847" t="s">
        <v>90</v>
      </c>
      <c r="AC847" t="s">
        <v>67</v>
      </c>
    </row>
    <row r="848" spans="1:29" x14ac:dyDescent="0.3">
      <c r="A848" t="s">
        <v>977</v>
      </c>
      <c r="B848" s="6">
        <v>45760</v>
      </c>
      <c r="C848" s="6" t="str">
        <f t="shared" si="78"/>
        <v>4 AM - 8 AM</v>
      </c>
      <c r="D848" s="4">
        <v>0.22083333333333333</v>
      </c>
      <c r="E848" t="s">
        <v>60</v>
      </c>
      <c r="F848" t="s">
        <v>24</v>
      </c>
      <c r="G848" t="s">
        <v>84</v>
      </c>
      <c r="H848" t="s">
        <v>113</v>
      </c>
      <c r="I848" t="s">
        <v>98</v>
      </c>
      <c r="J848" t="s">
        <v>45</v>
      </c>
      <c r="K848">
        <v>1</v>
      </c>
      <c r="L848" s="8">
        <v>20550</v>
      </c>
      <c r="M848" s="8" t="str">
        <f t="shared" si="79"/>
        <v>21-30%</v>
      </c>
      <c r="N848">
        <v>30</v>
      </c>
      <c r="O848" t="str">
        <f t="shared" si="80"/>
        <v>Valid</v>
      </c>
      <c r="P848" t="str">
        <f t="shared" si="81"/>
        <v>Match</v>
      </c>
      <c r="Q848" s="8">
        <v>20550</v>
      </c>
      <c r="R848" s="8">
        <v>6165</v>
      </c>
      <c r="S848" s="8">
        <v>14385</v>
      </c>
      <c r="T848" s="8">
        <v>11537.06</v>
      </c>
      <c r="U848" s="8">
        <v>2847.94</v>
      </c>
      <c r="V848" s="8" t="b">
        <f t="shared" si="82"/>
        <v>0</v>
      </c>
      <c r="W848" s="8">
        <f t="shared" si="83"/>
        <v>0</v>
      </c>
      <c r="X848" t="s">
        <v>55</v>
      </c>
      <c r="Y848" t="s">
        <v>104</v>
      </c>
      <c r="Z848" t="s">
        <v>64</v>
      </c>
      <c r="AA848">
        <v>4</v>
      </c>
      <c r="AB848" t="s">
        <v>99</v>
      </c>
      <c r="AC848" t="s">
        <v>30</v>
      </c>
    </row>
    <row r="849" spans="1:29" x14ac:dyDescent="0.3">
      <c r="A849" t="s">
        <v>978</v>
      </c>
      <c r="B849" s="6">
        <v>45960</v>
      </c>
      <c r="C849" s="6" t="str">
        <f t="shared" si="78"/>
        <v>8 PM - 12 AM</v>
      </c>
      <c r="D849" s="4">
        <v>0.86111111111111116</v>
      </c>
      <c r="E849" t="s">
        <v>23</v>
      </c>
      <c r="F849" t="s">
        <v>51</v>
      </c>
      <c r="G849" t="s">
        <v>52</v>
      </c>
      <c r="H849" t="s">
        <v>34</v>
      </c>
      <c r="I849" t="s">
        <v>44</v>
      </c>
      <c r="J849" t="s">
        <v>35</v>
      </c>
      <c r="K849">
        <v>1</v>
      </c>
      <c r="L849" s="8">
        <v>33650</v>
      </c>
      <c r="M849" s="8" t="str">
        <f t="shared" si="79"/>
        <v>1-10%</v>
      </c>
      <c r="N849">
        <v>5</v>
      </c>
      <c r="O849" t="str">
        <f t="shared" si="80"/>
        <v>Valid</v>
      </c>
      <c r="P849" t="str">
        <f t="shared" si="81"/>
        <v>Match</v>
      </c>
      <c r="Q849" s="8">
        <v>33650</v>
      </c>
      <c r="R849" s="8">
        <v>1682.5</v>
      </c>
      <c r="S849" s="8">
        <v>31967.5</v>
      </c>
      <c r="T849" s="8">
        <v>18894.72</v>
      </c>
      <c r="U849" s="8">
        <v>13072.78</v>
      </c>
      <c r="V849" s="8" t="b">
        <f t="shared" si="82"/>
        <v>0</v>
      </c>
      <c r="W849" s="8">
        <f t="shared" si="83"/>
        <v>0</v>
      </c>
      <c r="X849" t="s">
        <v>36</v>
      </c>
      <c r="Y849" t="s">
        <v>104</v>
      </c>
      <c r="Z849" t="s">
        <v>45</v>
      </c>
      <c r="AA849">
        <v>4</v>
      </c>
      <c r="AB849" t="s">
        <v>57</v>
      </c>
      <c r="AC849" t="s">
        <v>67</v>
      </c>
    </row>
    <row r="850" spans="1:29" x14ac:dyDescent="0.3">
      <c r="A850" t="s">
        <v>979</v>
      </c>
      <c r="B850" s="6">
        <v>45837</v>
      </c>
      <c r="C850" s="6" t="str">
        <f t="shared" si="78"/>
        <v>12 AM - 4 AM</v>
      </c>
      <c r="D850" s="4">
        <v>3.472222222222222E-3</v>
      </c>
      <c r="E850" t="s">
        <v>23</v>
      </c>
      <c r="F850" t="s">
        <v>24</v>
      </c>
      <c r="G850" t="s">
        <v>42</v>
      </c>
      <c r="H850" t="s">
        <v>26</v>
      </c>
      <c r="I850" t="s">
        <v>125</v>
      </c>
      <c r="J850" t="s">
        <v>93</v>
      </c>
      <c r="K850">
        <v>1</v>
      </c>
      <c r="L850" s="8">
        <v>98750</v>
      </c>
      <c r="M850" s="8" t="str">
        <f t="shared" si="79"/>
        <v>1-10%</v>
      </c>
      <c r="N850">
        <v>10</v>
      </c>
      <c r="O850" t="str">
        <f t="shared" si="80"/>
        <v>Valid</v>
      </c>
      <c r="P850" t="str">
        <f t="shared" si="81"/>
        <v>Match</v>
      </c>
      <c r="Q850" s="8">
        <v>98750</v>
      </c>
      <c r="R850" s="8">
        <v>9875</v>
      </c>
      <c r="S850" s="8">
        <v>88875</v>
      </c>
      <c r="T850" s="8">
        <v>55364.39</v>
      </c>
      <c r="U850" s="8">
        <v>33510.61</v>
      </c>
      <c r="V850" s="8" t="b">
        <f t="shared" si="82"/>
        <v>0</v>
      </c>
      <c r="W850" s="8">
        <f t="shared" si="83"/>
        <v>0</v>
      </c>
      <c r="X850" t="s">
        <v>55</v>
      </c>
      <c r="Y850" t="s">
        <v>94</v>
      </c>
      <c r="Z850" t="s">
        <v>64</v>
      </c>
      <c r="AA850">
        <v>4</v>
      </c>
      <c r="AB850" t="s">
        <v>48</v>
      </c>
      <c r="AC850" t="s">
        <v>30</v>
      </c>
    </row>
    <row r="851" spans="1:29" x14ac:dyDescent="0.3">
      <c r="A851" t="s">
        <v>980</v>
      </c>
      <c r="B851" s="6">
        <v>45875</v>
      </c>
      <c r="C851" s="6" t="str">
        <f t="shared" si="78"/>
        <v>12 PM - 4 PM</v>
      </c>
      <c r="D851" s="4">
        <v>0.52500000000000002</v>
      </c>
      <c r="E851" t="s">
        <v>23</v>
      </c>
      <c r="F851" t="s">
        <v>24</v>
      </c>
      <c r="G851" t="s">
        <v>42</v>
      </c>
      <c r="H851" t="s">
        <v>74</v>
      </c>
      <c r="I851" t="s">
        <v>44</v>
      </c>
      <c r="J851" t="s">
        <v>78</v>
      </c>
      <c r="K851">
        <v>2</v>
      </c>
      <c r="L851" s="8">
        <v>40150</v>
      </c>
      <c r="M851" s="8" t="str">
        <f t="shared" si="79"/>
        <v>11-20%</v>
      </c>
      <c r="N851">
        <v>15</v>
      </c>
      <c r="O851" t="str">
        <f t="shared" si="80"/>
        <v>Valid</v>
      </c>
      <c r="P851" t="str">
        <f t="shared" si="81"/>
        <v>Match</v>
      </c>
      <c r="Q851" s="8">
        <v>80300</v>
      </c>
      <c r="R851" s="8">
        <v>12045</v>
      </c>
      <c r="S851" s="8">
        <v>68255</v>
      </c>
      <c r="T851" s="8">
        <v>45617.68</v>
      </c>
      <c r="U851" s="8">
        <v>22637.32</v>
      </c>
      <c r="V851" s="8" t="b">
        <f t="shared" si="82"/>
        <v>0</v>
      </c>
      <c r="W851" s="8">
        <f t="shared" si="83"/>
        <v>0</v>
      </c>
      <c r="X851" t="s">
        <v>79</v>
      </c>
      <c r="Y851" t="s">
        <v>104</v>
      </c>
      <c r="Z851" t="s">
        <v>80</v>
      </c>
      <c r="AA851">
        <v>3.5</v>
      </c>
      <c r="AB851" t="s">
        <v>90</v>
      </c>
      <c r="AC851" t="s">
        <v>40</v>
      </c>
    </row>
    <row r="852" spans="1:29" x14ac:dyDescent="0.3">
      <c r="A852" t="s">
        <v>981</v>
      </c>
      <c r="B852" s="6">
        <v>45952</v>
      </c>
      <c r="C852" s="6" t="str">
        <f t="shared" si="78"/>
        <v>4 PM - 8 PM</v>
      </c>
      <c r="D852" s="4">
        <v>0.75069444444444444</v>
      </c>
      <c r="E852" t="s">
        <v>108</v>
      </c>
      <c r="F852" t="s">
        <v>96</v>
      </c>
      <c r="G852" t="s">
        <v>129</v>
      </c>
      <c r="H852" t="s">
        <v>43</v>
      </c>
      <c r="I852" t="s">
        <v>63</v>
      </c>
      <c r="J852" t="s">
        <v>45</v>
      </c>
      <c r="K852">
        <v>1</v>
      </c>
      <c r="L852" s="8">
        <v>2450</v>
      </c>
      <c r="M852" s="8" t="str">
        <f t="shared" si="79"/>
        <v>1-10%</v>
      </c>
      <c r="N852">
        <v>5</v>
      </c>
      <c r="O852" t="str">
        <f t="shared" si="80"/>
        <v>Valid</v>
      </c>
      <c r="P852" t="str">
        <f t="shared" si="81"/>
        <v>Match</v>
      </c>
      <c r="Q852" s="8">
        <v>2450</v>
      </c>
      <c r="R852" s="8">
        <v>122.5</v>
      </c>
      <c r="S852" s="8">
        <v>2327.5</v>
      </c>
      <c r="T852" s="8">
        <v>1792.47</v>
      </c>
      <c r="U852" s="8">
        <v>535.03</v>
      </c>
      <c r="V852" s="8" t="b">
        <f t="shared" si="82"/>
        <v>0</v>
      </c>
      <c r="W852" s="8">
        <f t="shared" si="83"/>
        <v>0</v>
      </c>
      <c r="X852" t="s">
        <v>55</v>
      </c>
      <c r="Y852" t="s">
        <v>65</v>
      </c>
      <c r="Z852" t="s">
        <v>38</v>
      </c>
      <c r="AA852">
        <v>3.5</v>
      </c>
      <c r="AB852" t="s">
        <v>57</v>
      </c>
      <c r="AC852" t="s">
        <v>40</v>
      </c>
    </row>
    <row r="853" spans="1:29" x14ac:dyDescent="0.3">
      <c r="A853" t="s">
        <v>982</v>
      </c>
      <c r="B853" s="6">
        <v>45671</v>
      </c>
      <c r="C853" s="6" t="str">
        <f t="shared" si="78"/>
        <v>12 AM - 4 AM</v>
      </c>
      <c r="D853" s="4">
        <v>0.11180555555555556</v>
      </c>
      <c r="E853" t="s">
        <v>77</v>
      </c>
      <c r="F853" t="s">
        <v>96</v>
      </c>
      <c r="G853" t="s">
        <v>134</v>
      </c>
      <c r="H853" t="s">
        <v>53</v>
      </c>
      <c r="I853" t="s">
        <v>44</v>
      </c>
      <c r="J853" t="s">
        <v>85</v>
      </c>
      <c r="K853">
        <v>3</v>
      </c>
      <c r="L853" s="8">
        <v>4050</v>
      </c>
      <c r="M853" s="8" t="str">
        <f t="shared" si="79"/>
        <v>11-20%</v>
      </c>
      <c r="N853">
        <v>20</v>
      </c>
      <c r="O853" t="str">
        <f t="shared" si="80"/>
        <v>Valid</v>
      </c>
      <c r="P853" t="str">
        <f t="shared" si="81"/>
        <v>Match</v>
      </c>
      <c r="Q853" s="8">
        <v>12150</v>
      </c>
      <c r="R853" s="8">
        <v>2430</v>
      </c>
      <c r="S853" s="8">
        <v>9720</v>
      </c>
      <c r="T853" s="8">
        <v>7826.62</v>
      </c>
      <c r="U853" s="8">
        <v>1893.38</v>
      </c>
      <c r="V853" s="8" t="b">
        <f t="shared" si="82"/>
        <v>0</v>
      </c>
      <c r="W853" s="8">
        <f t="shared" si="83"/>
        <v>0</v>
      </c>
      <c r="X853" t="s">
        <v>230</v>
      </c>
      <c r="Y853" t="s">
        <v>70</v>
      </c>
      <c r="Z853" t="s">
        <v>38</v>
      </c>
      <c r="AA853">
        <v>4</v>
      </c>
      <c r="AB853" t="s">
        <v>151</v>
      </c>
      <c r="AC853" t="s">
        <v>86</v>
      </c>
    </row>
    <row r="854" spans="1:29" x14ac:dyDescent="0.3">
      <c r="A854" t="s">
        <v>983</v>
      </c>
      <c r="B854" s="6">
        <v>45857</v>
      </c>
      <c r="C854" s="6" t="str">
        <f t="shared" si="78"/>
        <v>12 AM - 4 AM</v>
      </c>
      <c r="D854" s="4">
        <v>0</v>
      </c>
      <c r="E854" t="s">
        <v>23</v>
      </c>
      <c r="F854" t="s">
        <v>24</v>
      </c>
      <c r="G854" t="s">
        <v>88</v>
      </c>
      <c r="H854" t="s">
        <v>113</v>
      </c>
      <c r="I854" t="s">
        <v>63</v>
      </c>
      <c r="J854" t="s">
        <v>35</v>
      </c>
      <c r="K854">
        <v>1</v>
      </c>
      <c r="L854" s="8">
        <v>4500</v>
      </c>
      <c r="M854" s="8" t="str">
        <f t="shared" si="79"/>
        <v>1-10%</v>
      </c>
      <c r="N854">
        <v>10</v>
      </c>
      <c r="O854" t="str">
        <f t="shared" si="80"/>
        <v>Valid</v>
      </c>
      <c r="P854" t="str">
        <f t="shared" si="81"/>
        <v>Match</v>
      </c>
      <c r="Q854" s="8">
        <v>4500</v>
      </c>
      <c r="R854" s="8">
        <v>450</v>
      </c>
      <c r="S854" s="8">
        <v>4050</v>
      </c>
      <c r="T854" s="8">
        <v>2346.29</v>
      </c>
      <c r="U854" s="8">
        <v>1703.71</v>
      </c>
      <c r="V854" s="8" t="b">
        <f t="shared" si="82"/>
        <v>0</v>
      </c>
      <c r="W854" s="8">
        <f t="shared" si="83"/>
        <v>0</v>
      </c>
      <c r="X854" t="s">
        <v>55</v>
      </c>
      <c r="Y854" t="s">
        <v>104</v>
      </c>
      <c r="Z854" t="s">
        <v>64</v>
      </c>
      <c r="AA854">
        <v>4.5</v>
      </c>
      <c r="AB854" t="s">
        <v>29</v>
      </c>
      <c r="AC854" t="s">
        <v>71</v>
      </c>
    </row>
    <row r="855" spans="1:29" x14ac:dyDescent="0.3">
      <c r="A855" t="s">
        <v>984</v>
      </c>
      <c r="B855" s="6">
        <v>45783</v>
      </c>
      <c r="C855" s="6" t="str">
        <f t="shared" si="78"/>
        <v>4 AM - 8 AM</v>
      </c>
      <c r="D855" s="4">
        <v>0.28125</v>
      </c>
      <c r="E855" t="s">
        <v>23</v>
      </c>
      <c r="F855" t="s">
        <v>24</v>
      </c>
      <c r="G855" t="s">
        <v>120</v>
      </c>
      <c r="H855" t="s">
        <v>113</v>
      </c>
      <c r="I855" t="s">
        <v>54</v>
      </c>
      <c r="J855" t="s">
        <v>45</v>
      </c>
      <c r="K855">
        <v>1</v>
      </c>
      <c r="L855" s="8" t="s">
        <v>985</v>
      </c>
      <c r="M855" s="8" t="str">
        <f t="shared" si="79"/>
        <v>21-30%</v>
      </c>
      <c r="N855">
        <v>25</v>
      </c>
      <c r="O855" t="str">
        <f t="shared" si="80"/>
        <v>Valid</v>
      </c>
      <c r="P855" t="str">
        <f t="shared" si="81"/>
        <v>Match</v>
      </c>
      <c r="Q855" s="8">
        <v>6600</v>
      </c>
      <c r="R855" s="8">
        <v>1650</v>
      </c>
      <c r="S855" s="8">
        <v>4950</v>
      </c>
      <c r="T855" s="8">
        <v>4201.47</v>
      </c>
      <c r="U855" s="8">
        <v>748.53</v>
      </c>
      <c r="V855" s="8" t="b">
        <f t="shared" si="82"/>
        <v>0</v>
      </c>
      <c r="W855" s="8">
        <f t="shared" si="83"/>
        <v>0</v>
      </c>
      <c r="X855" t="s">
        <v>28</v>
      </c>
      <c r="Y855" t="s">
        <v>47</v>
      </c>
      <c r="Z855" t="s">
        <v>38</v>
      </c>
      <c r="AA855">
        <v>5</v>
      </c>
      <c r="AB855" t="s">
        <v>111</v>
      </c>
      <c r="AC855" t="s">
        <v>86</v>
      </c>
    </row>
    <row r="856" spans="1:29" x14ac:dyDescent="0.3">
      <c r="A856" t="s">
        <v>986</v>
      </c>
      <c r="B856" s="6">
        <v>45867</v>
      </c>
      <c r="C856" s="6" t="str">
        <f t="shared" si="78"/>
        <v>8 PM - 12 AM</v>
      </c>
      <c r="D856" s="4">
        <v>0.94097222222222221</v>
      </c>
      <c r="E856" t="s">
        <v>32</v>
      </c>
      <c r="F856" t="s">
        <v>24</v>
      </c>
      <c r="G856" t="s">
        <v>88</v>
      </c>
      <c r="H856" t="s">
        <v>102</v>
      </c>
      <c r="I856" t="s">
        <v>54</v>
      </c>
      <c r="J856" t="s">
        <v>78</v>
      </c>
      <c r="K856">
        <v>1</v>
      </c>
      <c r="L856" s="8">
        <v>1200</v>
      </c>
      <c r="M856" s="8" t="str">
        <f t="shared" si="79"/>
        <v>1-10%</v>
      </c>
      <c r="N856">
        <v>5</v>
      </c>
      <c r="O856" t="str">
        <f t="shared" si="80"/>
        <v>Valid</v>
      </c>
      <c r="P856" t="str">
        <f t="shared" si="81"/>
        <v>Match</v>
      </c>
      <c r="Q856" s="8">
        <v>1200</v>
      </c>
      <c r="R856" s="8">
        <v>60</v>
      </c>
      <c r="S856" s="8">
        <v>1140</v>
      </c>
      <c r="T856" s="8">
        <v>881.24</v>
      </c>
      <c r="U856" s="8">
        <v>258.76</v>
      </c>
      <c r="V856" s="8" t="b">
        <f t="shared" si="82"/>
        <v>0</v>
      </c>
      <c r="W856" s="8">
        <f t="shared" si="83"/>
        <v>0</v>
      </c>
      <c r="X856" t="s">
        <v>36</v>
      </c>
      <c r="Y856" t="s">
        <v>37</v>
      </c>
      <c r="Z856" t="s">
        <v>45</v>
      </c>
      <c r="AA856">
        <v>4</v>
      </c>
      <c r="AB856" t="s">
        <v>29</v>
      </c>
      <c r="AC856" t="s">
        <v>86</v>
      </c>
    </row>
    <row r="857" spans="1:29" x14ac:dyDescent="0.3">
      <c r="A857" t="s">
        <v>987</v>
      </c>
      <c r="B857" s="6">
        <v>45895</v>
      </c>
      <c r="C857" s="6" t="str">
        <f t="shared" si="78"/>
        <v>12 AM - 4 AM</v>
      </c>
      <c r="D857" s="4">
        <v>6.5972222222222224E-2</v>
      </c>
      <c r="E857" t="s">
        <v>77</v>
      </c>
      <c r="F857" t="s">
        <v>51</v>
      </c>
      <c r="G857" t="s">
        <v>101</v>
      </c>
      <c r="H857" t="s">
        <v>113</v>
      </c>
      <c r="I857" t="s">
        <v>98</v>
      </c>
      <c r="J857" t="s">
        <v>78</v>
      </c>
      <c r="K857">
        <v>1</v>
      </c>
      <c r="L857" s="8">
        <v>7350</v>
      </c>
      <c r="M857" s="8" t="str">
        <f t="shared" si="79"/>
        <v>21-30%</v>
      </c>
      <c r="N857">
        <v>30</v>
      </c>
      <c r="O857" t="str">
        <f t="shared" si="80"/>
        <v>Valid</v>
      </c>
      <c r="P857" t="str">
        <f t="shared" si="81"/>
        <v>Match</v>
      </c>
      <c r="Q857" s="8">
        <v>7350</v>
      </c>
      <c r="R857" s="8">
        <v>2205</v>
      </c>
      <c r="S857" s="8">
        <v>5145</v>
      </c>
      <c r="T857" s="8">
        <v>4966.1499999999996</v>
      </c>
      <c r="U857" s="8">
        <v>178.85</v>
      </c>
      <c r="V857" s="8" t="b">
        <f t="shared" si="82"/>
        <v>0</v>
      </c>
      <c r="W857" s="8">
        <f t="shared" si="83"/>
        <v>0</v>
      </c>
      <c r="X857" t="s">
        <v>46</v>
      </c>
      <c r="Y857" t="s">
        <v>104</v>
      </c>
      <c r="Z857" t="s">
        <v>56</v>
      </c>
      <c r="AA857">
        <v>3</v>
      </c>
      <c r="AB857" t="s">
        <v>90</v>
      </c>
      <c r="AC857" t="s">
        <v>86</v>
      </c>
    </row>
    <row r="858" spans="1:29" x14ac:dyDescent="0.3">
      <c r="A858" t="s">
        <v>988</v>
      </c>
      <c r="B858" s="6">
        <v>45980</v>
      </c>
      <c r="C858" s="6" t="str">
        <f t="shared" si="78"/>
        <v>4 PM - 8 PM</v>
      </c>
      <c r="D858" s="4">
        <v>0.7583333333333333</v>
      </c>
      <c r="E858" t="s">
        <v>32</v>
      </c>
      <c r="F858" t="s">
        <v>24</v>
      </c>
      <c r="G858" t="s">
        <v>42</v>
      </c>
      <c r="H858" t="s">
        <v>62</v>
      </c>
      <c r="I858" t="s">
        <v>54</v>
      </c>
      <c r="J858" t="s">
        <v>45</v>
      </c>
      <c r="K858">
        <v>2</v>
      </c>
      <c r="L858" s="8">
        <v>44200</v>
      </c>
      <c r="M858" s="8" t="str">
        <f t="shared" si="79"/>
        <v>11-20%</v>
      </c>
      <c r="N858">
        <v>15</v>
      </c>
      <c r="O858" t="str">
        <f t="shared" si="80"/>
        <v>Valid</v>
      </c>
      <c r="P858" t="str">
        <f t="shared" si="81"/>
        <v>Match</v>
      </c>
      <c r="Q858" s="8">
        <v>88400</v>
      </c>
      <c r="R858" s="8">
        <v>13260</v>
      </c>
      <c r="S858" s="8">
        <v>75140</v>
      </c>
      <c r="T858" s="8">
        <v>54028.05</v>
      </c>
      <c r="U858" s="8">
        <v>21111.95</v>
      </c>
      <c r="V858" s="8" t="b">
        <f t="shared" si="82"/>
        <v>0</v>
      </c>
      <c r="W858" s="8">
        <f t="shared" si="83"/>
        <v>0</v>
      </c>
      <c r="X858" t="s">
        <v>46</v>
      </c>
      <c r="Y858" t="s">
        <v>94</v>
      </c>
      <c r="Z858" t="s">
        <v>38</v>
      </c>
      <c r="AA858">
        <v>3.5</v>
      </c>
      <c r="AB858" t="s">
        <v>75</v>
      </c>
      <c r="AC858" t="s">
        <v>40</v>
      </c>
    </row>
    <row r="859" spans="1:29" x14ac:dyDescent="0.3">
      <c r="A859" t="s">
        <v>989</v>
      </c>
      <c r="B859" s="6">
        <v>45911</v>
      </c>
      <c r="C859" s="6" t="str">
        <f t="shared" si="78"/>
        <v>4 AM - 8 AM</v>
      </c>
      <c r="D859" s="4">
        <v>0.20694444444444443</v>
      </c>
      <c r="E859" t="s">
        <v>622</v>
      </c>
      <c r="F859" t="s">
        <v>96</v>
      </c>
      <c r="G859" t="s">
        <v>145</v>
      </c>
      <c r="H859" t="s">
        <v>34</v>
      </c>
      <c r="I859" t="s">
        <v>103</v>
      </c>
      <c r="J859" t="s">
        <v>45</v>
      </c>
      <c r="K859">
        <v>3</v>
      </c>
      <c r="L859" s="8">
        <v>2700</v>
      </c>
      <c r="M859" s="8" t="str">
        <f t="shared" si="79"/>
        <v>11-20%</v>
      </c>
      <c r="N859">
        <v>20</v>
      </c>
      <c r="O859" t="str">
        <f t="shared" si="80"/>
        <v>Valid</v>
      </c>
      <c r="P859" t="str">
        <f t="shared" si="81"/>
        <v>Match</v>
      </c>
      <c r="Q859" s="8">
        <v>8100</v>
      </c>
      <c r="R859" s="8">
        <v>1620</v>
      </c>
      <c r="S859" s="8">
        <v>6480</v>
      </c>
      <c r="T859" s="8">
        <v>5637.48</v>
      </c>
      <c r="U859" s="8">
        <v>842.52</v>
      </c>
      <c r="V859" s="8" t="b">
        <f t="shared" si="82"/>
        <v>0</v>
      </c>
      <c r="W859" s="8">
        <f t="shared" si="83"/>
        <v>0</v>
      </c>
      <c r="X859" t="s">
        <v>55</v>
      </c>
      <c r="Y859" t="s">
        <v>65</v>
      </c>
      <c r="Z859" t="s">
        <v>45</v>
      </c>
      <c r="AA859">
        <v>4</v>
      </c>
      <c r="AB859" t="s">
        <v>155</v>
      </c>
      <c r="AC859" t="s">
        <v>67</v>
      </c>
    </row>
    <row r="860" spans="1:29" x14ac:dyDescent="0.3">
      <c r="A860" t="s">
        <v>990</v>
      </c>
      <c r="B860" s="6">
        <v>46010</v>
      </c>
      <c r="C860" s="6" t="str">
        <f t="shared" si="78"/>
        <v>8 PM - 12 AM</v>
      </c>
      <c r="D860" s="4">
        <v>0.94374999999999998</v>
      </c>
      <c r="E860" t="s">
        <v>622</v>
      </c>
      <c r="F860" t="s">
        <v>24</v>
      </c>
      <c r="G860" t="s">
        <v>33</v>
      </c>
      <c r="H860" t="s">
        <v>53</v>
      </c>
      <c r="I860" t="s">
        <v>98</v>
      </c>
      <c r="J860" t="s">
        <v>35</v>
      </c>
      <c r="K860">
        <v>2</v>
      </c>
      <c r="L860" s="8">
        <v>4400</v>
      </c>
      <c r="M860" s="8" t="str">
        <f t="shared" si="79"/>
        <v>1-10%</v>
      </c>
      <c r="N860">
        <v>10</v>
      </c>
      <c r="O860" t="str">
        <f t="shared" si="80"/>
        <v>Valid</v>
      </c>
      <c r="P860" t="str">
        <f t="shared" si="81"/>
        <v>Match</v>
      </c>
      <c r="Q860" s="8">
        <v>8800</v>
      </c>
      <c r="R860" s="8">
        <v>880</v>
      </c>
      <c r="S860" s="8">
        <v>7920</v>
      </c>
      <c r="T860" s="8">
        <v>5580.98</v>
      </c>
      <c r="U860" s="8">
        <v>2339.02</v>
      </c>
      <c r="V860" s="8" t="b">
        <f t="shared" si="82"/>
        <v>0</v>
      </c>
      <c r="W860" s="8">
        <f t="shared" si="83"/>
        <v>0</v>
      </c>
      <c r="X860" t="s">
        <v>36</v>
      </c>
      <c r="Y860" t="s">
        <v>94</v>
      </c>
      <c r="Z860" t="s">
        <v>80</v>
      </c>
      <c r="AA860">
        <v>4</v>
      </c>
      <c r="AB860" t="s">
        <v>39</v>
      </c>
      <c r="AC860" t="s">
        <v>58</v>
      </c>
    </row>
    <row r="861" spans="1:29" x14ac:dyDescent="0.3">
      <c r="A861" t="s">
        <v>991</v>
      </c>
      <c r="B861" s="6">
        <v>45879</v>
      </c>
      <c r="C861" s="6" t="str">
        <f t="shared" si="78"/>
        <v>12 AM - 4 AM</v>
      </c>
      <c r="D861" s="4">
        <v>2.5694444444444443E-2</v>
      </c>
      <c r="E861" t="s">
        <v>108</v>
      </c>
      <c r="F861" t="s">
        <v>24</v>
      </c>
      <c r="G861" t="s">
        <v>120</v>
      </c>
      <c r="H861" t="s">
        <v>74</v>
      </c>
      <c r="I861" t="s">
        <v>27</v>
      </c>
      <c r="J861" t="s">
        <v>45</v>
      </c>
      <c r="K861">
        <v>2</v>
      </c>
      <c r="L861" s="8">
        <v>6400</v>
      </c>
      <c r="M861" s="8" t="str">
        <f t="shared" si="79"/>
        <v>0%</v>
      </c>
      <c r="N861">
        <v>0</v>
      </c>
      <c r="O861" t="str">
        <f t="shared" si="80"/>
        <v>Valid</v>
      </c>
      <c r="P861" t="str">
        <f t="shared" si="81"/>
        <v>Match</v>
      </c>
      <c r="Q861" s="8">
        <v>12800</v>
      </c>
      <c r="R861" s="8">
        <v>0</v>
      </c>
      <c r="S861" s="8">
        <v>12800</v>
      </c>
      <c r="T861" s="8">
        <v>6734.49</v>
      </c>
      <c r="U861" s="8">
        <v>6065.51</v>
      </c>
      <c r="V861" s="8" t="b">
        <f t="shared" si="82"/>
        <v>0</v>
      </c>
      <c r="W861" s="8">
        <f t="shared" si="83"/>
        <v>0</v>
      </c>
      <c r="X861" t="s">
        <v>28</v>
      </c>
      <c r="Y861" t="s">
        <v>70</v>
      </c>
      <c r="Z861" t="s">
        <v>56</v>
      </c>
      <c r="AA861">
        <v>3.5</v>
      </c>
      <c r="AB861" t="s">
        <v>90</v>
      </c>
      <c r="AC861" t="s">
        <v>30</v>
      </c>
    </row>
    <row r="862" spans="1:29" x14ac:dyDescent="0.3">
      <c r="A862" t="s">
        <v>992</v>
      </c>
      <c r="B862" s="6">
        <v>45768</v>
      </c>
      <c r="C862" s="6" t="str">
        <f t="shared" si="78"/>
        <v>4 PM - 8 PM</v>
      </c>
      <c r="D862" s="4">
        <v>0.81388888888888888</v>
      </c>
      <c r="E862" t="s">
        <v>77</v>
      </c>
      <c r="F862" t="s">
        <v>24</v>
      </c>
      <c r="G862" t="s">
        <v>88</v>
      </c>
      <c r="H862" t="s">
        <v>113</v>
      </c>
      <c r="I862" t="s">
        <v>63</v>
      </c>
      <c r="J862" t="s">
        <v>93</v>
      </c>
      <c r="K862">
        <v>1</v>
      </c>
      <c r="L862" s="8">
        <v>4050</v>
      </c>
      <c r="M862" s="8" t="str">
        <f t="shared" si="79"/>
        <v>11-20%</v>
      </c>
      <c r="N862">
        <v>20</v>
      </c>
      <c r="O862" t="str">
        <f t="shared" si="80"/>
        <v>Valid</v>
      </c>
      <c r="P862" t="str">
        <f t="shared" si="81"/>
        <v>Match</v>
      </c>
      <c r="Q862" s="8">
        <v>4050</v>
      </c>
      <c r="R862" s="8">
        <v>810</v>
      </c>
      <c r="S862" s="8">
        <v>3240</v>
      </c>
      <c r="T862" s="8">
        <v>2764.46</v>
      </c>
      <c r="U862" s="8">
        <v>475.54</v>
      </c>
      <c r="V862" s="8" t="b">
        <f t="shared" si="82"/>
        <v>0</v>
      </c>
      <c r="W862" s="8">
        <f t="shared" si="83"/>
        <v>0</v>
      </c>
      <c r="X862" t="s">
        <v>28</v>
      </c>
      <c r="Y862" t="s">
        <v>65</v>
      </c>
      <c r="Z862" t="s">
        <v>80</v>
      </c>
      <c r="AA862">
        <v>3.5</v>
      </c>
      <c r="AB862" t="s">
        <v>99</v>
      </c>
      <c r="AC862" t="s">
        <v>49</v>
      </c>
    </row>
    <row r="863" spans="1:29" x14ac:dyDescent="0.3">
      <c r="A863" t="s">
        <v>993</v>
      </c>
      <c r="B863" s="6">
        <v>45957</v>
      </c>
      <c r="C863" s="6" t="str">
        <f t="shared" si="78"/>
        <v>12 PM - 4 PM</v>
      </c>
      <c r="D863" s="4">
        <v>0.62708333333333333</v>
      </c>
      <c r="E863" t="s">
        <v>77</v>
      </c>
      <c r="F863" t="s">
        <v>24</v>
      </c>
      <c r="G863" t="s">
        <v>88</v>
      </c>
      <c r="H863" t="s">
        <v>53</v>
      </c>
      <c r="I863" t="s">
        <v>98</v>
      </c>
      <c r="J863" t="s">
        <v>35</v>
      </c>
      <c r="K863">
        <v>1</v>
      </c>
      <c r="L863" s="8">
        <v>4400</v>
      </c>
      <c r="M863" s="8" t="str">
        <f t="shared" si="79"/>
        <v>1-10%</v>
      </c>
      <c r="N863">
        <v>5</v>
      </c>
      <c r="O863" t="str">
        <f t="shared" si="80"/>
        <v>Valid</v>
      </c>
      <c r="P863" t="str">
        <f t="shared" si="81"/>
        <v>Match</v>
      </c>
      <c r="Q863" s="8">
        <v>4400</v>
      </c>
      <c r="R863" s="8">
        <v>220</v>
      </c>
      <c r="S863" s="8">
        <v>4180</v>
      </c>
      <c r="T863" s="8">
        <v>2359.1799999999998</v>
      </c>
      <c r="U863" s="8">
        <v>1820.82</v>
      </c>
      <c r="V863" s="8" t="b">
        <f t="shared" si="82"/>
        <v>0</v>
      </c>
      <c r="W863" s="8">
        <f t="shared" si="83"/>
        <v>0</v>
      </c>
      <c r="X863" t="s">
        <v>79</v>
      </c>
      <c r="Y863" t="s">
        <v>70</v>
      </c>
      <c r="Z863" t="s">
        <v>38</v>
      </c>
      <c r="AA863">
        <v>3.5</v>
      </c>
      <c r="AB863" t="s">
        <v>57</v>
      </c>
      <c r="AC863" t="s">
        <v>49</v>
      </c>
    </row>
    <row r="864" spans="1:29" x14ac:dyDescent="0.3">
      <c r="A864" t="s">
        <v>994</v>
      </c>
      <c r="B864" s="6">
        <v>45663</v>
      </c>
      <c r="C864" s="6" t="str">
        <f t="shared" si="78"/>
        <v>12 AM - 4 AM</v>
      </c>
      <c r="D864" s="4">
        <v>2.2916666666666665E-2</v>
      </c>
      <c r="E864" t="s">
        <v>108</v>
      </c>
      <c r="F864" t="s">
        <v>24</v>
      </c>
      <c r="G864" t="s">
        <v>61</v>
      </c>
      <c r="H864" t="s">
        <v>62</v>
      </c>
      <c r="I864" t="s">
        <v>125</v>
      </c>
      <c r="J864" t="s">
        <v>64</v>
      </c>
      <c r="K864">
        <v>1</v>
      </c>
      <c r="L864" s="8">
        <v>23800</v>
      </c>
      <c r="M864" s="8" t="str">
        <f t="shared" si="79"/>
        <v>1-10%</v>
      </c>
      <c r="N864">
        <v>10</v>
      </c>
      <c r="O864" t="str">
        <f t="shared" si="80"/>
        <v>Valid</v>
      </c>
      <c r="P864" t="str">
        <f t="shared" si="81"/>
        <v>Match</v>
      </c>
      <c r="Q864" s="8">
        <v>23800</v>
      </c>
      <c r="R864" s="8">
        <v>2380</v>
      </c>
      <c r="S864" s="8">
        <v>21420</v>
      </c>
      <c r="T864" s="8">
        <v>13191.34</v>
      </c>
      <c r="U864" s="8">
        <v>8228.66</v>
      </c>
      <c r="V864" s="8" t="b">
        <f t="shared" si="82"/>
        <v>0</v>
      </c>
      <c r="W864" s="8">
        <f t="shared" si="83"/>
        <v>0</v>
      </c>
      <c r="X864" t="s">
        <v>28</v>
      </c>
      <c r="Y864" t="s">
        <v>94</v>
      </c>
      <c r="Z864" t="s">
        <v>38</v>
      </c>
      <c r="AA864">
        <v>4</v>
      </c>
      <c r="AB864" t="s">
        <v>151</v>
      </c>
      <c r="AC864" t="s">
        <v>49</v>
      </c>
    </row>
    <row r="865" spans="1:29" x14ac:dyDescent="0.3">
      <c r="A865" t="s">
        <v>995</v>
      </c>
      <c r="B865" s="6">
        <v>45794</v>
      </c>
      <c r="C865" s="6" t="str">
        <f t="shared" si="78"/>
        <v>12 AM - 4 AM</v>
      </c>
      <c r="D865" s="4">
        <v>3.0555555555555555E-2</v>
      </c>
      <c r="E865" t="s">
        <v>77</v>
      </c>
      <c r="F865" t="s">
        <v>24</v>
      </c>
      <c r="G865" t="s">
        <v>110</v>
      </c>
      <c r="H865" t="s">
        <v>53</v>
      </c>
      <c r="I865" t="s">
        <v>98</v>
      </c>
      <c r="J865" t="s">
        <v>45</v>
      </c>
      <c r="K865">
        <v>1</v>
      </c>
      <c r="L865" s="8">
        <v>4900</v>
      </c>
      <c r="M865" s="8" t="str">
        <f t="shared" si="79"/>
        <v>11-20%</v>
      </c>
      <c r="N865">
        <v>20</v>
      </c>
      <c r="O865" t="str">
        <f t="shared" si="80"/>
        <v>Valid</v>
      </c>
      <c r="P865" t="str">
        <f t="shared" si="81"/>
        <v>Match</v>
      </c>
      <c r="Q865" s="8">
        <v>4900</v>
      </c>
      <c r="R865" s="8">
        <v>980</v>
      </c>
      <c r="S865" s="8">
        <v>3920</v>
      </c>
      <c r="T865" s="8">
        <v>3519.72</v>
      </c>
      <c r="U865" s="8">
        <v>400.28</v>
      </c>
      <c r="V865" s="8" t="b">
        <f t="shared" si="82"/>
        <v>0</v>
      </c>
      <c r="W865" s="8">
        <f t="shared" si="83"/>
        <v>0</v>
      </c>
      <c r="X865" t="s">
        <v>79</v>
      </c>
      <c r="Y865" t="s">
        <v>47</v>
      </c>
      <c r="Z865" t="s">
        <v>45</v>
      </c>
      <c r="AA865">
        <v>4.5</v>
      </c>
      <c r="AB865" t="s">
        <v>111</v>
      </c>
      <c r="AC865" t="s">
        <v>71</v>
      </c>
    </row>
    <row r="866" spans="1:29" x14ac:dyDescent="0.3">
      <c r="A866" t="s">
        <v>996</v>
      </c>
      <c r="B866" s="6">
        <v>45794</v>
      </c>
      <c r="C866" s="6" t="str">
        <f t="shared" si="78"/>
        <v>8 AM - 12 PM</v>
      </c>
      <c r="D866" s="4">
        <v>0.44722222222222224</v>
      </c>
      <c r="E866" t="s">
        <v>69</v>
      </c>
      <c r="F866" t="s">
        <v>24</v>
      </c>
      <c r="G866" t="s">
        <v>120</v>
      </c>
      <c r="H866" t="s">
        <v>43</v>
      </c>
      <c r="I866" t="s">
        <v>98</v>
      </c>
      <c r="J866" t="s">
        <v>35</v>
      </c>
      <c r="K866">
        <v>1</v>
      </c>
      <c r="L866" s="8">
        <v>12250</v>
      </c>
      <c r="M866" s="8" t="str">
        <f t="shared" si="79"/>
        <v>21-30%</v>
      </c>
      <c r="N866">
        <v>25</v>
      </c>
      <c r="O866" t="str">
        <f t="shared" si="80"/>
        <v>Valid</v>
      </c>
      <c r="P866" t="str">
        <f t="shared" si="81"/>
        <v>Match</v>
      </c>
      <c r="Q866" s="8">
        <v>12250</v>
      </c>
      <c r="R866" s="8">
        <v>3062.5</v>
      </c>
      <c r="S866" s="8">
        <v>9187.5</v>
      </c>
      <c r="T866" s="8">
        <v>7028.13</v>
      </c>
      <c r="U866" s="8">
        <v>2159.37</v>
      </c>
      <c r="V866" s="8" t="b">
        <f t="shared" si="82"/>
        <v>0</v>
      </c>
      <c r="W866" s="8">
        <f t="shared" si="83"/>
        <v>0</v>
      </c>
      <c r="X866" t="s">
        <v>79</v>
      </c>
      <c r="Y866" t="s">
        <v>37</v>
      </c>
      <c r="Z866" t="s">
        <v>85</v>
      </c>
      <c r="AA866">
        <v>5</v>
      </c>
      <c r="AB866" t="s">
        <v>111</v>
      </c>
      <c r="AC866" t="s">
        <v>71</v>
      </c>
    </row>
    <row r="867" spans="1:29" x14ac:dyDescent="0.3">
      <c r="A867" t="s">
        <v>997</v>
      </c>
      <c r="B867" s="6">
        <v>45999</v>
      </c>
      <c r="C867" s="6" t="str">
        <f t="shared" si="78"/>
        <v>4 AM - 8 AM</v>
      </c>
      <c r="D867" s="4">
        <v>0.1736111111111111</v>
      </c>
      <c r="E867" t="s">
        <v>23</v>
      </c>
      <c r="F867" t="s">
        <v>51</v>
      </c>
      <c r="G867" t="s">
        <v>140</v>
      </c>
      <c r="H867" t="s">
        <v>34</v>
      </c>
      <c r="I867" t="s">
        <v>98</v>
      </c>
      <c r="J867" t="s">
        <v>35</v>
      </c>
      <c r="K867">
        <v>1</v>
      </c>
      <c r="L867" s="8">
        <v>2850</v>
      </c>
      <c r="M867" s="8" t="str">
        <f t="shared" si="79"/>
        <v>21-30%</v>
      </c>
      <c r="N867">
        <v>25</v>
      </c>
      <c r="O867" t="str">
        <f t="shared" si="80"/>
        <v>Valid</v>
      </c>
      <c r="P867" t="str">
        <f t="shared" si="81"/>
        <v>Match</v>
      </c>
      <c r="Q867" s="8">
        <v>2850</v>
      </c>
      <c r="R867" s="8">
        <v>712.5</v>
      </c>
      <c r="S867" s="8">
        <v>2137.5</v>
      </c>
      <c r="T867" s="8">
        <v>1916.42</v>
      </c>
      <c r="U867" s="8">
        <v>221.08</v>
      </c>
      <c r="V867" s="8" t="b">
        <f t="shared" si="82"/>
        <v>0</v>
      </c>
      <c r="W867" s="8">
        <f t="shared" si="83"/>
        <v>0</v>
      </c>
      <c r="X867" t="s">
        <v>55</v>
      </c>
      <c r="Y867" t="s">
        <v>65</v>
      </c>
      <c r="Z867" t="s">
        <v>45</v>
      </c>
      <c r="AA867">
        <v>3</v>
      </c>
      <c r="AB867" t="s">
        <v>39</v>
      </c>
      <c r="AC867" t="s">
        <v>49</v>
      </c>
    </row>
    <row r="868" spans="1:29" x14ac:dyDescent="0.3">
      <c r="A868" t="s">
        <v>998</v>
      </c>
      <c r="B868" s="6">
        <v>45992</v>
      </c>
      <c r="C868" s="6" t="str">
        <f t="shared" si="78"/>
        <v>4 AM - 8 AM</v>
      </c>
      <c r="D868" s="4">
        <v>0.30833333333333335</v>
      </c>
      <c r="E868" t="s">
        <v>77</v>
      </c>
      <c r="F868" t="s">
        <v>51</v>
      </c>
      <c r="G868" t="s">
        <v>101</v>
      </c>
      <c r="H868" t="s">
        <v>34</v>
      </c>
      <c r="I868" t="s">
        <v>103</v>
      </c>
      <c r="J868" t="s">
        <v>35</v>
      </c>
      <c r="K868">
        <v>2</v>
      </c>
      <c r="L868" s="8">
        <v>12400</v>
      </c>
      <c r="M868" s="8" t="str">
        <f t="shared" si="79"/>
        <v>1-10%</v>
      </c>
      <c r="N868">
        <v>5</v>
      </c>
      <c r="O868" t="str">
        <f t="shared" si="80"/>
        <v>Valid</v>
      </c>
      <c r="P868" t="str">
        <f t="shared" si="81"/>
        <v>Match</v>
      </c>
      <c r="Q868" s="8">
        <v>24800</v>
      </c>
      <c r="R868" s="8">
        <v>1240</v>
      </c>
      <c r="S868" s="8">
        <v>23560</v>
      </c>
      <c r="T868" s="8">
        <v>17272.48</v>
      </c>
      <c r="U868" s="8">
        <v>6287.52</v>
      </c>
      <c r="V868" s="8" t="b">
        <f t="shared" si="82"/>
        <v>0</v>
      </c>
      <c r="W868" s="8">
        <f t="shared" si="83"/>
        <v>0</v>
      </c>
      <c r="X868" t="s">
        <v>28</v>
      </c>
      <c r="Y868" t="s">
        <v>37</v>
      </c>
      <c r="Z868" t="s">
        <v>80</v>
      </c>
      <c r="AA868">
        <v>4.5</v>
      </c>
      <c r="AB868" t="s">
        <v>39</v>
      </c>
      <c r="AC868" t="s">
        <v>49</v>
      </c>
    </row>
    <row r="869" spans="1:29" x14ac:dyDescent="0.3">
      <c r="A869" t="s">
        <v>999</v>
      </c>
      <c r="B869" s="6">
        <v>45792</v>
      </c>
      <c r="C869" s="6" t="str">
        <f t="shared" si="78"/>
        <v>12 AM - 4 AM</v>
      </c>
      <c r="D869" s="4">
        <v>0.12569444444444444</v>
      </c>
      <c r="E869" t="s">
        <v>108</v>
      </c>
      <c r="F869" t="s">
        <v>51</v>
      </c>
      <c r="G869" t="s">
        <v>140</v>
      </c>
      <c r="H869" t="s">
        <v>34</v>
      </c>
      <c r="I869" t="s">
        <v>63</v>
      </c>
      <c r="J869" t="s">
        <v>45</v>
      </c>
      <c r="K869">
        <v>1</v>
      </c>
      <c r="L869" s="8">
        <v>6650</v>
      </c>
      <c r="M869" s="8" t="str">
        <f t="shared" si="79"/>
        <v>1-10%</v>
      </c>
      <c r="N869">
        <v>5</v>
      </c>
      <c r="O869" t="str">
        <f t="shared" si="80"/>
        <v>Valid</v>
      </c>
      <c r="P869" t="str">
        <f t="shared" si="81"/>
        <v>Match</v>
      </c>
      <c r="Q869" s="8">
        <v>6650</v>
      </c>
      <c r="R869" s="8">
        <v>332.5</v>
      </c>
      <c r="S869" s="8">
        <v>6317.5</v>
      </c>
      <c r="T869" s="8">
        <v>3489.44</v>
      </c>
      <c r="U869" s="8">
        <v>2828.06</v>
      </c>
      <c r="V869" s="8" t="b">
        <f t="shared" si="82"/>
        <v>0</v>
      </c>
      <c r="W869" s="8">
        <f t="shared" si="83"/>
        <v>0</v>
      </c>
      <c r="X869" t="s">
        <v>79</v>
      </c>
      <c r="Y869" t="s">
        <v>104</v>
      </c>
      <c r="Z869" t="s">
        <v>85</v>
      </c>
      <c r="AA869">
        <v>4</v>
      </c>
      <c r="AB869" t="s">
        <v>111</v>
      </c>
      <c r="AC869" t="s">
        <v>67</v>
      </c>
    </row>
    <row r="870" spans="1:29" x14ac:dyDescent="0.3">
      <c r="A870" t="s">
        <v>1000</v>
      </c>
      <c r="B870" s="6">
        <v>45852</v>
      </c>
      <c r="C870" s="6" t="str">
        <f t="shared" si="78"/>
        <v>4 PM - 8 PM</v>
      </c>
      <c r="D870" s="4">
        <v>0.78680555555555554</v>
      </c>
      <c r="E870" t="s">
        <v>23</v>
      </c>
      <c r="F870" t="s">
        <v>96</v>
      </c>
      <c r="G870" t="s">
        <v>134</v>
      </c>
      <c r="H870" t="s">
        <v>43</v>
      </c>
      <c r="I870" t="s">
        <v>125</v>
      </c>
      <c r="J870" t="s">
        <v>35</v>
      </c>
      <c r="K870">
        <v>1</v>
      </c>
      <c r="L870" s="8">
        <v>4800</v>
      </c>
      <c r="M870" s="8" t="str">
        <f t="shared" si="79"/>
        <v>1-10%</v>
      </c>
      <c r="N870">
        <v>5</v>
      </c>
      <c r="O870" t="str">
        <f t="shared" si="80"/>
        <v>Valid</v>
      </c>
      <c r="P870" t="str">
        <f t="shared" si="81"/>
        <v>Match</v>
      </c>
      <c r="Q870" s="8">
        <v>4800</v>
      </c>
      <c r="R870" s="8">
        <v>240</v>
      </c>
      <c r="S870" s="8">
        <v>4560</v>
      </c>
      <c r="T870" s="8">
        <v>2844.34</v>
      </c>
      <c r="U870" s="8">
        <v>1715.66</v>
      </c>
      <c r="V870" s="8" t="b">
        <f t="shared" si="82"/>
        <v>0</v>
      </c>
      <c r="W870" s="8">
        <f t="shared" si="83"/>
        <v>0</v>
      </c>
      <c r="X870" t="s">
        <v>28</v>
      </c>
      <c r="Y870" t="s">
        <v>104</v>
      </c>
      <c r="Z870" t="s">
        <v>85</v>
      </c>
      <c r="AA870">
        <v>4</v>
      </c>
      <c r="AB870" t="s">
        <v>29</v>
      </c>
      <c r="AC870" t="s">
        <v>49</v>
      </c>
    </row>
    <row r="871" spans="1:29" x14ac:dyDescent="0.3">
      <c r="A871" t="s">
        <v>1001</v>
      </c>
      <c r="B871" s="6">
        <v>45696</v>
      </c>
      <c r="C871" s="6" t="str">
        <f t="shared" si="78"/>
        <v>4 AM - 8 AM</v>
      </c>
      <c r="D871" s="4">
        <v>0.2</v>
      </c>
      <c r="E871" t="s">
        <v>23</v>
      </c>
      <c r="F871" t="s">
        <v>96</v>
      </c>
      <c r="G871" t="s">
        <v>129</v>
      </c>
      <c r="H871" t="s">
        <v>113</v>
      </c>
      <c r="I871" t="s">
        <v>103</v>
      </c>
      <c r="J871" t="s">
        <v>93</v>
      </c>
      <c r="K871">
        <v>1</v>
      </c>
      <c r="L871" s="8">
        <v>2850</v>
      </c>
      <c r="M871" s="8" t="str">
        <f t="shared" si="79"/>
        <v>0%</v>
      </c>
      <c r="N871">
        <v>0</v>
      </c>
      <c r="O871" t="str">
        <f t="shared" si="80"/>
        <v>Valid</v>
      </c>
      <c r="P871" t="str">
        <f t="shared" si="81"/>
        <v>Match</v>
      </c>
      <c r="Q871" s="8">
        <v>2850</v>
      </c>
      <c r="R871" s="8">
        <v>0</v>
      </c>
      <c r="S871" s="8">
        <v>2850</v>
      </c>
      <c r="T871" s="8">
        <v>1775.64</v>
      </c>
      <c r="U871" s="8">
        <v>1074.3599999999999</v>
      </c>
      <c r="V871" s="8" t="b">
        <f t="shared" si="82"/>
        <v>0</v>
      </c>
      <c r="W871" s="8">
        <f t="shared" si="83"/>
        <v>0</v>
      </c>
      <c r="X871" t="s">
        <v>46</v>
      </c>
      <c r="Y871" t="s">
        <v>94</v>
      </c>
      <c r="Z871" t="s">
        <v>38</v>
      </c>
      <c r="AA871">
        <v>4.5</v>
      </c>
      <c r="AB871" t="s">
        <v>66</v>
      </c>
      <c r="AC871" t="s">
        <v>71</v>
      </c>
    </row>
    <row r="872" spans="1:29" x14ac:dyDescent="0.3">
      <c r="A872" t="s">
        <v>1002</v>
      </c>
      <c r="B872" s="6">
        <v>45814</v>
      </c>
      <c r="C872" s="6" t="str">
        <f t="shared" si="78"/>
        <v>8 AM - 12 PM</v>
      </c>
      <c r="D872" s="4">
        <v>0.47152777777777777</v>
      </c>
      <c r="E872" t="s">
        <v>60</v>
      </c>
      <c r="F872" t="s">
        <v>24</v>
      </c>
      <c r="G872" t="s">
        <v>120</v>
      </c>
      <c r="H872" t="s">
        <v>53</v>
      </c>
      <c r="I872" t="s">
        <v>63</v>
      </c>
      <c r="J872" t="s">
        <v>35</v>
      </c>
      <c r="K872">
        <v>1</v>
      </c>
      <c r="L872" s="8">
        <v>9650</v>
      </c>
      <c r="M872" s="8" t="str">
        <f t="shared" si="79"/>
        <v>30%+</v>
      </c>
      <c r="N872" t="s">
        <v>838</v>
      </c>
      <c r="O872" t="str">
        <f t="shared" si="80"/>
        <v>Invalid Discount</v>
      </c>
      <c r="P872" t="str">
        <f t="shared" si="81"/>
        <v>Match</v>
      </c>
      <c r="Q872" s="8">
        <v>9650</v>
      </c>
      <c r="R872" s="8">
        <v>482.5</v>
      </c>
      <c r="S872" s="8">
        <v>9167.5</v>
      </c>
      <c r="T872" s="8">
        <v>5267.97</v>
      </c>
      <c r="U872" s="8">
        <v>3899.53</v>
      </c>
      <c r="V872" s="8" t="b">
        <f t="shared" si="82"/>
        <v>0</v>
      </c>
      <c r="W872" s="8">
        <f t="shared" si="83"/>
        <v>0</v>
      </c>
      <c r="X872" t="s">
        <v>46</v>
      </c>
      <c r="Y872" t="s">
        <v>89</v>
      </c>
      <c r="Z872" t="s">
        <v>56</v>
      </c>
      <c r="AA872">
        <v>4.5</v>
      </c>
      <c r="AB872" t="s">
        <v>48</v>
      </c>
      <c r="AC872" t="s">
        <v>58</v>
      </c>
    </row>
    <row r="873" spans="1:29" x14ac:dyDescent="0.3">
      <c r="A873" t="s">
        <v>1003</v>
      </c>
      <c r="B873" s="6">
        <v>45888</v>
      </c>
      <c r="C873" s="6" t="str">
        <f t="shared" si="78"/>
        <v>4 PM - 8 PM</v>
      </c>
      <c r="D873" s="4">
        <v>0.6743055555555556</v>
      </c>
      <c r="E873" t="s">
        <v>157</v>
      </c>
      <c r="F873" t="s">
        <v>24</v>
      </c>
      <c r="G873" t="s">
        <v>88</v>
      </c>
      <c r="H873" t="s">
        <v>102</v>
      </c>
      <c r="I873" t="s">
        <v>27</v>
      </c>
      <c r="J873" t="s">
        <v>93</v>
      </c>
      <c r="K873">
        <v>4</v>
      </c>
      <c r="L873" s="8">
        <v>3350</v>
      </c>
      <c r="M873" s="8" t="str">
        <f t="shared" si="79"/>
        <v>21-30%</v>
      </c>
      <c r="N873">
        <v>25</v>
      </c>
      <c r="O873" t="str">
        <f t="shared" si="80"/>
        <v>Valid</v>
      </c>
      <c r="P873" t="str">
        <f t="shared" si="81"/>
        <v>Match</v>
      </c>
      <c r="Q873" s="8">
        <v>13400</v>
      </c>
      <c r="R873" s="8">
        <v>3350</v>
      </c>
      <c r="S873" s="8">
        <v>10050</v>
      </c>
      <c r="T873" s="8">
        <v>8969.11</v>
      </c>
      <c r="U873" s="8">
        <v>1080.8900000000001</v>
      </c>
      <c r="V873" s="8" t="b">
        <f t="shared" si="82"/>
        <v>0</v>
      </c>
      <c r="W873" s="8">
        <f t="shared" si="83"/>
        <v>0</v>
      </c>
      <c r="X873" t="s">
        <v>79</v>
      </c>
      <c r="Y873" t="s">
        <v>70</v>
      </c>
      <c r="Z873" t="s">
        <v>45</v>
      </c>
      <c r="AA873">
        <v>4</v>
      </c>
      <c r="AB873" t="s">
        <v>90</v>
      </c>
      <c r="AC873" t="s">
        <v>86</v>
      </c>
    </row>
    <row r="874" spans="1:29" x14ac:dyDescent="0.3">
      <c r="A874" t="s">
        <v>1004</v>
      </c>
      <c r="B874" s="6">
        <v>45954</v>
      </c>
      <c r="C874" s="6" t="str">
        <f t="shared" si="78"/>
        <v>12 AM - 4 AM</v>
      </c>
      <c r="D874" s="4">
        <v>8.4722222222222227E-2</v>
      </c>
      <c r="E874" t="s">
        <v>77</v>
      </c>
      <c r="F874" t="s">
        <v>51</v>
      </c>
      <c r="G874" t="s">
        <v>153</v>
      </c>
      <c r="H874" t="s">
        <v>43</v>
      </c>
      <c r="I874" t="s">
        <v>63</v>
      </c>
      <c r="J874" t="s">
        <v>35</v>
      </c>
      <c r="K874">
        <v>1</v>
      </c>
      <c r="L874" s="8">
        <v>850</v>
      </c>
      <c r="M874" s="8" t="str">
        <f t="shared" si="79"/>
        <v>0%</v>
      </c>
      <c r="N874">
        <v>0</v>
      </c>
      <c r="O874" t="str">
        <f t="shared" si="80"/>
        <v>Valid</v>
      </c>
      <c r="P874" t="str">
        <f t="shared" si="81"/>
        <v>Match</v>
      </c>
      <c r="Q874" s="8">
        <v>850</v>
      </c>
      <c r="R874" s="8">
        <v>0</v>
      </c>
      <c r="S874" s="8">
        <v>850</v>
      </c>
      <c r="T874" s="8">
        <v>581.47</v>
      </c>
      <c r="U874" s="8">
        <v>268.52999999999997</v>
      </c>
      <c r="V874" s="8" t="b">
        <f t="shared" si="82"/>
        <v>0</v>
      </c>
      <c r="W874" s="8">
        <f t="shared" si="83"/>
        <v>0</v>
      </c>
      <c r="X874" t="s">
        <v>46</v>
      </c>
      <c r="Y874" t="s">
        <v>89</v>
      </c>
      <c r="Z874" t="s">
        <v>38</v>
      </c>
      <c r="AA874">
        <v>3</v>
      </c>
      <c r="AB874" t="s">
        <v>57</v>
      </c>
      <c r="AC874" t="s">
        <v>58</v>
      </c>
    </row>
    <row r="875" spans="1:29" x14ac:dyDescent="0.3">
      <c r="A875" t="s">
        <v>1005</v>
      </c>
      <c r="B875" s="6">
        <v>45943</v>
      </c>
      <c r="C875" s="6" t="str">
        <f t="shared" si="78"/>
        <v>12 PM - 4 PM</v>
      </c>
      <c r="D875" s="4">
        <v>0.61041666666666672</v>
      </c>
      <c r="E875" t="s">
        <v>60</v>
      </c>
      <c r="F875" t="s">
        <v>51</v>
      </c>
      <c r="G875" t="s">
        <v>52</v>
      </c>
      <c r="H875" t="s">
        <v>74</v>
      </c>
      <c r="I875" t="s">
        <v>54</v>
      </c>
      <c r="J875" t="s">
        <v>64</v>
      </c>
      <c r="K875">
        <v>1</v>
      </c>
      <c r="L875" s="8">
        <v>22450</v>
      </c>
      <c r="M875" s="8" t="str">
        <f t="shared" si="79"/>
        <v>11-20%</v>
      </c>
      <c r="N875">
        <v>20</v>
      </c>
      <c r="O875" t="str">
        <f t="shared" si="80"/>
        <v>Valid</v>
      </c>
      <c r="P875" t="str">
        <f t="shared" si="81"/>
        <v>Match</v>
      </c>
      <c r="Q875" s="8">
        <v>22450</v>
      </c>
      <c r="R875" s="8">
        <v>4490</v>
      </c>
      <c r="S875" s="8">
        <v>17960</v>
      </c>
      <c r="T875" s="8">
        <v>15901.91</v>
      </c>
      <c r="U875" s="8">
        <v>2058.09</v>
      </c>
      <c r="V875" s="8" t="b">
        <f t="shared" si="82"/>
        <v>0</v>
      </c>
      <c r="W875" s="8">
        <f t="shared" si="83"/>
        <v>0</v>
      </c>
      <c r="X875" t="s">
        <v>46</v>
      </c>
      <c r="Y875" t="s">
        <v>89</v>
      </c>
      <c r="Z875" t="s">
        <v>45</v>
      </c>
      <c r="AA875">
        <v>3.5</v>
      </c>
      <c r="AB875" t="s">
        <v>57</v>
      </c>
      <c r="AC875" t="s">
        <v>49</v>
      </c>
    </row>
    <row r="876" spans="1:29" x14ac:dyDescent="0.3">
      <c r="A876" t="s">
        <v>1006</v>
      </c>
      <c r="B876" s="6">
        <v>45767</v>
      </c>
      <c r="C876" s="6" t="str">
        <f t="shared" si="78"/>
        <v>12 AM - 4 AM</v>
      </c>
      <c r="D876" s="4">
        <v>0.14027777777777778</v>
      </c>
      <c r="E876" t="s">
        <v>60</v>
      </c>
      <c r="F876" t="s">
        <v>51</v>
      </c>
      <c r="G876" t="s">
        <v>122</v>
      </c>
      <c r="H876" t="s">
        <v>53</v>
      </c>
      <c r="I876" t="s">
        <v>44</v>
      </c>
      <c r="J876" t="s">
        <v>35</v>
      </c>
      <c r="K876">
        <v>2</v>
      </c>
      <c r="L876" s="8">
        <v>2900</v>
      </c>
      <c r="M876" s="8" t="str">
        <f t="shared" si="79"/>
        <v>11-20%</v>
      </c>
      <c r="N876">
        <v>15</v>
      </c>
      <c r="O876" t="str">
        <f t="shared" si="80"/>
        <v>Valid</v>
      </c>
      <c r="P876" t="str">
        <f t="shared" si="81"/>
        <v>Match</v>
      </c>
      <c r="Q876" s="8">
        <v>5800</v>
      </c>
      <c r="R876" s="8">
        <v>870</v>
      </c>
      <c r="S876" s="8">
        <v>4930</v>
      </c>
      <c r="T876" s="8">
        <v>3170.15</v>
      </c>
      <c r="U876" s="8">
        <v>1759.85</v>
      </c>
      <c r="V876" s="8" t="b">
        <f t="shared" si="82"/>
        <v>0</v>
      </c>
      <c r="W876" s="8">
        <f t="shared" si="83"/>
        <v>0</v>
      </c>
      <c r="X876" t="s">
        <v>36</v>
      </c>
      <c r="Y876" t="s">
        <v>104</v>
      </c>
      <c r="Z876" t="s">
        <v>85</v>
      </c>
      <c r="AA876">
        <v>3</v>
      </c>
      <c r="AB876" t="s">
        <v>99</v>
      </c>
      <c r="AC876" t="s">
        <v>30</v>
      </c>
    </row>
    <row r="877" spans="1:29" x14ac:dyDescent="0.3">
      <c r="A877" t="s">
        <v>1007</v>
      </c>
      <c r="B877" s="6">
        <v>45774</v>
      </c>
      <c r="C877" s="6" t="str">
        <f t="shared" si="78"/>
        <v>12 PM - 4 PM</v>
      </c>
      <c r="D877" s="4">
        <v>0.50555555555555554</v>
      </c>
      <c r="E877" t="s">
        <v>108</v>
      </c>
      <c r="F877" t="s">
        <v>24</v>
      </c>
      <c r="G877" t="s">
        <v>25</v>
      </c>
      <c r="H877" t="s">
        <v>43</v>
      </c>
      <c r="I877" t="s">
        <v>98</v>
      </c>
      <c r="J877" t="s">
        <v>45</v>
      </c>
      <c r="K877">
        <v>1</v>
      </c>
      <c r="L877" s="8">
        <v>2850</v>
      </c>
      <c r="M877" s="8" t="str">
        <f t="shared" si="79"/>
        <v>21-30%</v>
      </c>
      <c r="N877">
        <v>25</v>
      </c>
      <c r="O877" t="str">
        <f t="shared" si="80"/>
        <v>Valid</v>
      </c>
      <c r="P877" t="str">
        <f t="shared" si="81"/>
        <v>Match</v>
      </c>
      <c r="Q877" s="8">
        <v>2850</v>
      </c>
      <c r="R877" s="8">
        <v>712.5</v>
      </c>
      <c r="S877" s="8">
        <v>2137.5</v>
      </c>
      <c r="T877" s="8">
        <v>2033.64</v>
      </c>
      <c r="U877" s="8">
        <v>103.86</v>
      </c>
      <c r="V877" s="8" t="b">
        <f t="shared" si="82"/>
        <v>0</v>
      </c>
      <c r="W877" s="8">
        <f t="shared" si="83"/>
        <v>0</v>
      </c>
      <c r="X877" t="s">
        <v>28</v>
      </c>
      <c r="Y877" t="s">
        <v>104</v>
      </c>
      <c r="Z877" t="s">
        <v>38</v>
      </c>
      <c r="AA877">
        <v>4</v>
      </c>
      <c r="AB877" t="s">
        <v>99</v>
      </c>
      <c r="AC877" t="s">
        <v>30</v>
      </c>
    </row>
    <row r="878" spans="1:29" x14ac:dyDescent="0.3">
      <c r="A878" t="s">
        <v>1008</v>
      </c>
      <c r="B878" s="6">
        <v>46010</v>
      </c>
      <c r="C878" s="6" t="str">
        <f t="shared" si="78"/>
        <v>8 AM - 12 PM</v>
      </c>
      <c r="D878" s="4">
        <v>0.35694444444444445</v>
      </c>
      <c r="E878" t="s">
        <v>23</v>
      </c>
      <c r="F878" t="s">
        <v>51</v>
      </c>
      <c r="G878" t="s">
        <v>122</v>
      </c>
      <c r="H878" t="s">
        <v>34</v>
      </c>
      <c r="I878" t="s">
        <v>63</v>
      </c>
      <c r="J878" t="s">
        <v>45</v>
      </c>
      <c r="K878">
        <v>3</v>
      </c>
      <c r="L878" s="8">
        <v>5700</v>
      </c>
      <c r="M878" s="8" t="str">
        <f t="shared" si="79"/>
        <v>1-10%</v>
      </c>
      <c r="N878">
        <v>5</v>
      </c>
      <c r="O878" t="str">
        <f t="shared" si="80"/>
        <v>Valid</v>
      </c>
      <c r="P878" t="str">
        <f t="shared" si="81"/>
        <v>Match</v>
      </c>
      <c r="Q878" s="8">
        <v>17100</v>
      </c>
      <c r="R878" s="8">
        <v>855</v>
      </c>
      <c r="S878" s="8">
        <v>16245</v>
      </c>
      <c r="T878" s="8">
        <v>9058.17</v>
      </c>
      <c r="U878" s="8">
        <v>7186.83</v>
      </c>
      <c r="V878" s="8" t="b">
        <f t="shared" si="82"/>
        <v>0</v>
      </c>
      <c r="W878" s="8">
        <f t="shared" si="83"/>
        <v>0</v>
      </c>
      <c r="X878" t="s">
        <v>28</v>
      </c>
      <c r="Y878" t="s">
        <v>89</v>
      </c>
      <c r="Z878" t="s">
        <v>45</v>
      </c>
      <c r="AA878">
        <v>4</v>
      </c>
      <c r="AB878" t="s">
        <v>39</v>
      </c>
      <c r="AC878" t="s">
        <v>58</v>
      </c>
    </row>
    <row r="879" spans="1:29" x14ac:dyDescent="0.3">
      <c r="A879" t="s">
        <v>1009</v>
      </c>
      <c r="B879" s="6">
        <v>45697</v>
      </c>
      <c r="C879" s="6" t="str">
        <f t="shared" si="78"/>
        <v>8 PM - 12 AM</v>
      </c>
      <c r="D879" s="4">
        <v>0.92222222222222228</v>
      </c>
      <c r="E879" t="s">
        <v>60</v>
      </c>
      <c r="F879" t="s">
        <v>24</v>
      </c>
      <c r="G879" t="s">
        <v>120</v>
      </c>
      <c r="H879" t="s">
        <v>26</v>
      </c>
      <c r="I879" t="s">
        <v>63</v>
      </c>
      <c r="J879" t="s">
        <v>93</v>
      </c>
      <c r="K879">
        <v>3</v>
      </c>
      <c r="L879" s="8">
        <v>13750</v>
      </c>
      <c r="M879" s="8" t="str">
        <f t="shared" si="79"/>
        <v>1-10%</v>
      </c>
      <c r="N879">
        <v>10</v>
      </c>
      <c r="O879" t="str">
        <f t="shared" si="80"/>
        <v>Valid</v>
      </c>
      <c r="P879" t="str">
        <f t="shared" si="81"/>
        <v>Match</v>
      </c>
      <c r="Q879" s="8">
        <v>41250</v>
      </c>
      <c r="R879" s="8">
        <v>4125</v>
      </c>
      <c r="S879" s="8">
        <v>37125</v>
      </c>
      <c r="T879" s="8">
        <v>26353.85</v>
      </c>
      <c r="U879" s="8">
        <v>10771.15</v>
      </c>
      <c r="V879" s="8" t="b">
        <f t="shared" si="82"/>
        <v>0</v>
      </c>
      <c r="W879" s="8">
        <f t="shared" si="83"/>
        <v>0</v>
      </c>
      <c r="X879" t="s">
        <v>46</v>
      </c>
      <c r="Y879" t="s">
        <v>94</v>
      </c>
      <c r="Z879" t="s">
        <v>80</v>
      </c>
      <c r="AA879">
        <v>4.5</v>
      </c>
      <c r="AB879" t="s">
        <v>66</v>
      </c>
      <c r="AC879" t="s">
        <v>30</v>
      </c>
    </row>
    <row r="880" spans="1:29" x14ac:dyDescent="0.3">
      <c r="A880" t="s">
        <v>1010</v>
      </c>
      <c r="B880" s="6">
        <v>45890</v>
      </c>
      <c r="C880" s="6" t="str">
        <f t="shared" si="78"/>
        <v>8 AM - 12 PM</v>
      </c>
      <c r="D880" s="4">
        <v>0.39374999999999999</v>
      </c>
      <c r="E880" t="s">
        <v>32</v>
      </c>
      <c r="F880" t="s">
        <v>96</v>
      </c>
      <c r="G880" t="s">
        <v>115</v>
      </c>
      <c r="H880" t="s">
        <v>34</v>
      </c>
      <c r="I880" t="s">
        <v>103</v>
      </c>
      <c r="J880" t="s">
        <v>78</v>
      </c>
      <c r="K880">
        <v>1</v>
      </c>
      <c r="L880" s="8">
        <v>4050</v>
      </c>
      <c r="M880" s="8" t="str">
        <f t="shared" si="79"/>
        <v>11-20%</v>
      </c>
      <c r="N880">
        <v>15</v>
      </c>
      <c r="O880" t="str">
        <f t="shared" si="80"/>
        <v>Valid</v>
      </c>
      <c r="P880" t="str">
        <f t="shared" si="81"/>
        <v>Match</v>
      </c>
      <c r="Q880" s="8">
        <v>4050</v>
      </c>
      <c r="R880" s="8">
        <v>607.5</v>
      </c>
      <c r="S880" s="8">
        <v>3442.5</v>
      </c>
      <c r="T880" s="8">
        <v>2342.3000000000002</v>
      </c>
      <c r="U880" s="8">
        <v>1100.2</v>
      </c>
      <c r="V880" s="8" t="b">
        <f t="shared" si="82"/>
        <v>0</v>
      </c>
      <c r="W880" s="8">
        <f t="shared" si="83"/>
        <v>0</v>
      </c>
      <c r="X880" t="s">
        <v>79</v>
      </c>
      <c r="Y880" t="s">
        <v>70</v>
      </c>
      <c r="Z880" t="s">
        <v>45</v>
      </c>
      <c r="AA880">
        <v>3.5</v>
      </c>
      <c r="AB880" t="s">
        <v>90</v>
      </c>
      <c r="AC880" t="s">
        <v>67</v>
      </c>
    </row>
    <row r="881" spans="1:29" x14ac:dyDescent="0.3">
      <c r="A881" t="s">
        <v>1011</v>
      </c>
      <c r="B881" s="6">
        <v>45901</v>
      </c>
      <c r="C881" s="6" t="str">
        <f t="shared" si="78"/>
        <v>12 AM - 4 AM</v>
      </c>
      <c r="D881" s="4">
        <v>0.14444444444444443</v>
      </c>
      <c r="E881" t="s">
        <v>32</v>
      </c>
      <c r="F881" t="s">
        <v>24</v>
      </c>
      <c r="G881" t="s">
        <v>25</v>
      </c>
      <c r="H881" t="s">
        <v>74</v>
      </c>
      <c r="I881" t="s">
        <v>27</v>
      </c>
      <c r="J881" t="s">
        <v>45</v>
      </c>
      <c r="K881">
        <v>2</v>
      </c>
      <c r="L881" s="8">
        <v>4250</v>
      </c>
      <c r="M881" s="8" t="str">
        <f t="shared" si="79"/>
        <v>11-20%</v>
      </c>
      <c r="N881">
        <v>20</v>
      </c>
      <c r="O881" t="str">
        <f t="shared" si="80"/>
        <v>Valid</v>
      </c>
      <c r="P881" t="str">
        <f t="shared" si="81"/>
        <v>Match</v>
      </c>
      <c r="Q881" s="8">
        <v>8500</v>
      </c>
      <c r="R881" s="8">
        <v>1700</v>
      </c>
      <c r="S881" s="8">
        <v>6800</v>
      </c>
      <c r="T881" s="8">
        <v>5323.07</v>
      </c>
      <c r="U881" s="8">
        <v>1476.93</v>
      </c>
      <c r="V881" s="8" t="b">
        <f t="shared" si="82"/>
        <v>0</v>
      </c>
      <c r="W881" s="8">
        <f t="shared" si="83"/>
        <v>0</v>
      </c>
      <c r="X881" t="s">
        <v>46</v>
      </c>
      <c r="Y881" t="s">
        <v>94</v>
      </c>
      <c r="Z881" t="s">
        <v>56</v>
      </c>
      <c r="AA881">
        <v>3</v>
      </c>
      <c r="AB881" t="s">
        <v>155</v>
      </c>
      <c r="AC881" t="s">
        <v>49</v>
      </c>
    </row>
    <row r="882" spans="1:29" x14ac:dyDescent="0.3">
      <c r="A882" t="s">
        <v>1012</v>
      </c>
      <c r="B882" s="6">
        <v>45819</v>
      </c>
      <c r="C882" s="6" t="str">
        <f t="shared" si="78"/>
        <v>12 AM - 4 AM</v>
      </c>
      <c r="D882" s="4">
        <v>0.15763888888888888</v>
      </c>
      <c r="E882" t="s">
        <v>69</v>
      </c>
      <c r="F882" t="s">
        <v>24</v>
      </c>
      <c r="G882" t="s">
        <v>110</v>
      </c>
      <c r="H882" t="s">
        <v>43</v>
      </c>
      <c r="I882" t="s">
        <v>63</v>
      </c>
      <c r="J882" t="s">
        <v>78</v>
      </c>
      <c r="K882">
        <v>1</v>
      </c>
      <c r="L882" s="8">
        <v>2550</v>
      </c>
      <c r="M882" s="8" t="str">
        <f t="shared" si="79"/>
        <v>0%</v>
      </c>
      <c r="N882">
        <v>0</v>
      </c>
      <c r="O882" t="str">
        <f t="shared" si="80"/>
        <v>Valid</v>
      </c>
      <c r="P882" t="str">
        <f t="shared" si="81"/>
        <v>Match</v>
      </c>
      <c r="Q882" s="8">
        <v>2550</v>
      </c>
      <c r="R882" s="8">
        <v>0</v>
      </c>
      <c r="S882" s="8">
        <v>2550</v>
      </c>
      <c r="T882" s="8">
        <v>1730.64</v>
      </c>
      <c r="U882" s="8">
        <v>819.36</v>
      </c>
      <c r="V882" s="8" t="b">
        <f t="shared" si="82"/>
        <v>0</v>
      </c>
      <c r="W882" s="8">
        <f t="shared" si="83"/>
        <v>0</v>
      </c>
      <c r="X882" t="s">
        <v>79</v>
      </c>
      <c r="Y882" t="s">
        <v>65</v>
      </c>
      <c r="Z882" t="s">
        <v>80</v>
      </c>
      <c r="AA882">
        <v>3.5</v>
      </c>
      <c r="AB882" t="s">
        <v>48</v>
      </c>
      <c r="AC882" t="s">
        <v>40</v>
      </c>
    </row>
    <row r="883" spans="1:29" x14ac:dyDescent="0.3">
      <c r="A883" t="s">
        <v>1013</v>
      </c>
      <c r="B883" s="6">
        <v>45991</v>
      </c>
      <c r="C883" s="6" t="str">
        <f t="shared" si="78"/>
        <v>8 PM - 12 AM</v>
      </c>
      <c r="D883" s="4">
        <v>0.90972222222222221</v>
      </c>
      <c r="E883" t="s">
        <v>622</v>
      </c>
      <c r="F883" t="s">
        <v>24</v>
      </c>
      <c r="G883" t="s">
        <v>42</v>
      </c>
      <c r="H883" t="s">
        <v>74</v>
      </c>
      <c r="I883" t="s">
        <v>54</v>
      </c>
      <c r="J883" t="s">
        <v>35</v>
      </c>
      <c r="K883">
        <v>2</v>
      </c>
      <c r="L883" s="8">
        <v>66500</v>
      </c>
      <c r="M883" s="8" t="str">
        <f t="shared" si="79"/>
        <v>30%+</v>
      </c>
      <c r="N883" t="s">
        <v>400</v>
      </c>
      <c r="O883" t="str">
        <f t="shared" si="80"/>
        <v>Invalid Discount</v>
      </c>
      <c r="P883" t="str">
        <f t="shared" si="81"/>
        <v>Match</v>
      </c>
      <c r="Q883" s="8">
        <v>133000</v>
      </c>
      <c r="R883" s="8">
        <v>26600</v>
      </c>
      <c r="S883" s="8">
        <v>106400</v>
      </c>
      <c r="T883" s="8">
        <v>72123.39</v>
      </c>
      <c r="U883" s="8">
        <v>34276.61</v>
      </c>
      <c r="V883" s="8" t="b">
        <f t="shared" si="82"/>
        <v>0</v>
      </c>
      <c r="W883" s="8">
        <f t="shared" si="83"/>
        <v>0</v>
      </c>
      <c r="X883" t="s">
        <v>46</v>
      </c>
      <c r="Y883" t="s">
        <v>47</v>
      </c>
      <c r="Z883" t="s">
        <v>64</v>
      </c>
      <c r="AA883">
        <v>3</v>
      </c>
      <c r="AB883" t="s">
        <v>75</v>
      </c>
      <c r="AC883" t="s">
        <v>30</v>
      </c>
    </row>
    <row r="884" spans="1:29" x14ac:dyDescent="0.3">
      <c r="A884" t="s">
        <v>1014</v>
      </c>
      <c r="B884" s="6">
        <v>46012</v>
      </c>
      <c r="C884" s="6" t="str">
        <f t="shared" si="78"/>
        <v>4 PM - 8 PM</v>
      </c>
      <c r="D884" s="4">
        <v>0.75208333333333333</v>
      </c>
      <c r="E884" t="s">
        <v>60</v>
      </c>
      <c r="F884" t="s">
        <v>51</v>
      </c>
      <c r="G884" t="s">
        <v>153</v>
      </c>
      <c r="H884" t="s">
        <v>26</v>
      </c>
      <c r="I884" t="s">
        <v>103</v>
      </c>
      <c r="J884" t="s">
        <v>35</v>
      </c>
      <c r="K884">
        <v>1</v>
      </c>
      <c r="L884" s="8">
        <v>1950</v>
      </c>
      <c r="M884" s="8" t="str">
        <f t="shared" si="79"/>
        <v>1-10%</v>
      </c>
      <c r="N884">
        <v>10</v>
      </c>
      <c r="O884" t="str">
        <f t="shared" si="80"/>
        <v>Valid</v>
      </c>
      <c r="P884" t="str">
        <f t="shared" si="81"/>
        <v>Match</v>
      </c>
      <c r="Q884" s="8">
        <v>1950</v>
      </c>
      <c r="R884" s="8">
        <v>195</v>
      </c>
      <c r="S884" s="8">
        <v>1755</v>
      </c>
      <c r="T884" s="8">
        <v>1068.57</v>
      </c>
      <c r="U884" s="8">
        <v>686.43</v>
      </c>
      <c r="V884" s="8" t="b">
        <f t="shared" si="82"/>
        <v>0</v>
      </c>
      <c r="W884" s="8">
        <f t="shared" si="83"/>
        <v>0</v>
      </c>
      <c r="X884" t="s">
        <v>79</v>
      </c>
      <c r="Y884" t="s">
        <v>70</v>
      </c>
      <c r="Z884" t="s">
        <v>56</v>
      </c>
      <c r="AA884">
        <v>4</v>
      </c>
      <c r="AB884" t="s">
        <v>39</v>
      </c>
      <c r="AC884" t="s">
        <v>30</v>
      </c>
    </row>
    <row r="885" spans="1:29" x14ac:dyDescent="0.3">
      <c r="A885" t="s">
        <v>1015</v>
      </c>
      <c r="B885" s="6">
        <v>45894</v>
      </c>
      <c r="C885" s="6" t="str">
        <f t="shared" si="78"/>
        <v>12 AM - 4 AM</v>
      </c>
      <c r="D885" s="4">
        <v>0.16041666666666668</v>
      </c>
      <c r="E885" t="s">
        <v>108</v>
      </c>
      <c r="F885" t="s">
        <v>24</v>
      </c>
      <c r="G885" t="s">
        <v>88</v>
      </c>
      <c r="H885" t="s">
        <v>34</v>
      </c>
      <c r="I885" t="s">
        <v>63</v>
      </c>
      <c r="J885" t="s">
        <v>35</v>
      </c>
      <c r="K885">
        <v>2</v>
      </c>
      <c r="L885" s="8">
        <v>4350</v>
      </c>
      <c r="M885" s="8" t="str">
        <f t="shared" si="79"/>
        <v>11-20%</v>
      </c>
      <c r="N885">
        <v>20</v>
      </c>
      <c r="O885" t="str">
        <f t="shared" si="80"/>
        <v>Valid</v>
      </c>
      <c r="P885" t="str">
        <f t="shared" si="81"/>
        <v>Match</v>
      </c>
      <c r="Q885" s="8">
        <v>8700</v>
      </c>
      <c r="R885" s="8">
        <v>1740</v>
      </c>
      <c r="S885" s="8">
        <v>6960</v>
      </c>
      <c r="T885" s="8">
        <v>5002.22</v>
      </c>
      <c r="U885" s="8">
        <v>1957.78</v>
      </c>
      <c r="V885" s="8" t="b">
        <f t="shared" si="82"/>
        <v>0</v>
      </c>
      <c r="W885" s="8">
        <f t="shared" si="83"/>
        <v>0</v>
      </c>
      <c r="X885" t="s">
        <v>493</v>
      </c>
      <c r="Y885" t="s">
        <v>89</v>
      </c>
      <c r="Z885" t="s">
        <v>64</v>
      </c>
      <c r="AA885">
        <v>3.5</v>
      </c>
      <c r="AB885" t="s">
        <v>90</v>
      </c>
      <c r="AC885" t="s">
        <v>49</v>
      </c>
    </row>
    <row r="886" spans="1:29" x14ac:dyDescent="0.3">
      <c r="A886" t="s">
        <v>1016</v>
      </c>
      <c r="B886" s="6">
        <v>45931</v>
      </c>
      <c r="C886" s="6" t="str">
        <f t="shared" si="78"/>
        <v>4 PM - 8 PM</v>
      </c>
      <c r="D886" s="4">
        <v>0.74652777777777779</v>
      </c>
      <c r="E886" t="s">
        <v>622</v>
      </c>
      <c r="F886" t="s">
        <v>24</v>
      </c>
      <c r="G886" t="s">
        <v>61</v>
      </c>
      <c r="H886" t="s">
        <v>102</v>
      </c>
      <c r="I886" t="s">
        <v>54</v>
      </c>
      <c r="J886" t="s">
        <v>78</v>
      </c>
      <c r="K886">
        <v>1</v>
      </c>
      <c r="L886" s="8">
        <v>43200</v>
      </c>
      <c r="M886" s="8" t="str">
        <f t="shared" si="79"/>
        <v>1-10%</v>
      </c>
      <c r="N886">
        <v>10</v>
      </c>
      <c r="O886" t="str">
        <f t="shared" si="80"/>
        <v>Valid</v>
      </c>
      <c r="P886" t="str">
        <f t="shared" si="81"/>
        <v>Match</v>
      </c>
      <c r="Q886" s="8">
        <v>43200</v>
      </c>
      <c r="R886" s="8">
        <v>4320</v>
      </c>
      <c r="S886" s="8">
        <v>38880</v>
      </c>
      <c r="T886" s="8">
        <v>27722.42</v>
      </c>
      <c r="U886" s="8">
        <v>11157.58</v>
      </c>
      <c r="V886" s="8" t="b">
        <f t="shared" si="82"/>
        <v>0</v>
      </c>
      <c r="W886" s="8">
        <f t="shared" si="83"/>
        <v>0</v>
      </c>
      <c r="X886" t="s">
        <v>36</v>
      </c>
      <c r="Y886" t="s">
        <v>65</v>
      </c>
      <c r="Z886" t="s">
        <v>64</v>
      </c>
      <c r="AA886">
        <v>3.5</v>
      </c>
      <c r="AB886" t="s">
        <v>57</v>
      </c>
      <c r="AC886" t="s">
        <v>40</v>
      </c>
    </row>
    <row r="887" spans="1:29" x14ac:dyDescent="0.3">
      <c r="A887" t="s">
        <v>1017</v>
      </c>
      <c r="B887" s="6">
        <v>45901</v>
      </c>
      <c r="C887" s="6" t="str">
        <f t="shared" si="78"/>
        <v>8 PM - 12 AM</v>
      </c>
      <c r="D887" s="4">
        <v>0.89027777777777772</v>
      </c>
      <c r="E887" t="s">
        <v>69</v>
      </c>
      <c r="F887" t="s">
        <v>24</v>
      </c>
      <c r="G887" t="s">
        <v>33</v>
      </c>
      <c r="H887" t="s">
        <v>43</v>
      </c>
      <c r="I887" t="s">
        <v>54</v>
      </c>
      <c r="J887" t="s">
        <v>35</v>
      </c>
      <c r="K887">
        <v>2</v>
      </c>
      <c r="L887" s="8">
        <v>2000</v>
      </c>
      <c r="M887" s="8" t="str">
        <f t="shared" si="79"/>
        <v>21-30%</v>
      </c>
      <c r="N887">
        <v>25</v>
      </c>
      <c r="O887" t="str">
        <f t="shared" si="80"/>
        <v>Valid</v>
      </c>
      <c r="P887" t="str">
        <f t="shared" si="81"/>
        <v>Match</v>
      </c>
      <c r="Q887" s="8">
        <v>4000</v>
      </c>
      <c r="R887" s="8">
        <v>1000</v>
      </c>
      <c r="S887" s="8">
        <v>3000</v>
      </c>
      <c r="T887" s="8">
        <v>2550.48</v>
      </c>
      <c r="U887" s="8">
        <v>449.52</v>
      </c>
      <c r="V887" s="8" t="b">
        <f t="shared" si="82"/>
        <v>0</v>
      </c>
      <c r="W887" s="8">
        <f t="shared" si="83"/>
        <v>0</v>
      </c>
      <c r="X887" t="s">
        <v>36</v>
      </c>
      <c r="Y887" t="s">
        <v>65</v>
      </c>
      <c r="Z887" t="s">
        <v>56</v>
      </c>
      <c r="AA887">
        <v>2.5</v>
      </c>
      <c r="AB887" t="s">
        <v>155</v>
      </c>
      <c r="AC887" t="s">
        <v>49</v>
      </c>
    </row>
    <row r="888" spans="1:29" x14ac:dyDescent="0.3">
      <c r="A888" t="s">
        <v>1018</v>
      </c>
      <c r="B888" s="6">
        <v>45982</v>
      </c>
      <c r="C888" s="6" t="str">
        <f t="shared" si="78"/>
        <v>12 AM - 4 AM</v>
      </c>
      <c r="D888" s="4">
        <v>7.8472222222222221E-2</v>
      </c>
      <c r="E888" t="s">
        <v>108</v>
      </c>
      <c r="F888" t="s">
        <v>51</v>
      </c>
      <c r="G888" t="s">
        <v>101</v>
      </c>
      <c r="H888" t="s">
        <v>43</v>
      </c>
      <c r="I888" t="s">
        <v>63</v>
      </c>
      <c r="J888" t="s">
        <v>35</v>
      </c>
      <c r="K888">
        <v>2</v>
      </c>
      <c r="L888" s="8">
        <v>12850</v>
      </c>
      <c r="M888" s="8" t="str">
        <f t="shared" si="79"/>
        <v>1-10%</v>
      </c>
      <c r="N888">
        <v>5</v>
      </c>
      <c r="O888" t="str">
        <f t="shared" si="80"/>
        <v>Valid</v>
      </c>
      <c r="P888" t="str">
        <f t="shared" si="81"/>
        <v>Match</v>
      </c>
      <c r="Q888" s="8">
        <v>25700</v>
      </c>
      <c r="R888" s="8">
        <v>1285</v>
      </c>
      <c r="S888" s="8">
        <v>24415</v>
      </c>
      <c r="T888" s="8">
        <v>13444.98</v>
      </c>
      <c r="U888" s="8">
        <v>10970.02</v>
      </c>
      <c r="V888" s="8" t="b">
        <f t="shared" si="82"/>
        <v>0</v>
      </c>
      <c r="W888" s="8">
        <f t="shared" si="83"/>
        <v>0</v>
      </c>
      <c r="X888" t="s">
        <v>28</v>
      </c>
      <c r="Y888" t="s">
        <v>94</v>
      </c>
      <c r="Z888" t="s">
        <v>56</v>
      </c>
      <c r="AA888">
        <v>4.5</v>
      </c>
      <c r="AB888" t="s">
        <v>75</v>
      </c>
      <c r="AC888" t="s">
        <v>58</v>
      </c>
    </row>
    <row r="889" spans="1:29" x14ac:dyDescent="0.3">
      <c r="A889" t="s">
        <v>1019</v>
      </c>
      <c r="B889" s="6">
        <v>45693</v>
      </c>
      <c r="C889" s="6" t="str">
        <f t="shared" si="78"/>
        <v>8 AM - 12 PM</v>
      </c>
      <c r="D889" s="4">
        <v>0.36736111111111114</v>
      </c>
      <c r="E889" t="s">
        <v>108</v>
      </c>
      <c r="F889" t="s">
        <v>24</v>
      </c>
      <c r="G889" t="s">
        <v>88</v>
      </c>
      <c r="H889" t="s">
        <v>102</v>
      </c>
      <c r="I889" t="s">
        <v>82</v>
      </c>
      <c r="J889" t="s">
        <v>93</v>
      </c>
      <c r="K889">
        <v>2</v>
      </c>
      <c r="L889" s="8">
        <v>1350</v>
      </c>
      <c r="M889" s="8" t="str">
        <f t="shared" si="79"/>
        <v>21-30%</v>
      </c>
      <c r="N889">
        <v>25</v>
      </c>
      <c r="O889" t="str">
        <f t="shared" si="80"/>
        <v>Valid</v>
      </c>
      <c r="P889" t="str">
        <f t="shared" si="81"/>
        <v>Match</v>
      </c>
      <c r="Q889" s="8">
        <v>2700</v>
      </c>
      <c r="R889" s="8">
        <v>675</v>
      </c>
      <c r="S889" s="8">
        <v>2025</v>
      </c>
      <c r="T889" s="8">
        <v>1926.32</v>
      </c>
      <c r="U889" s="8">
        <v>98.68</v>
      </c>
      <c r="V889" s="8" t="b">
        <f t="shared" si="82"/>
        <v>0</v>
      </c>
      <c r="W889" s="8">
        <f t="shared" si="83"/>
        <v>0</v>
      </c>
      <c r="X889" t="s">
        <v>79</v>
      </c>
      <c r="Y889" t="s">
        <v>94</v>
      </c>
      <c r="Z889" t="s">
        <v>80</v>
      </c>
      <c r="AA889">
        <v>4</v>
      </c>
      <c r="AB889" t="s">
        <v>66</v>
      </c>
      <c r="AC889" t="s">
        <v>40</v>
      </c>
    </row>
    <row r="890" spans="1:29" x14ac:dyDescent="0.3">
      <c r="A890" t="s">
        <v>1020</v>
      </c>
      <c r="B890" s="6">
        <v>45715</v>
      </c>
      <c r="C890" s="6" t="str">
        <f t="shared" si="78"/>
        <v>12 AM - 4 AM</v>
      </c>
      <c r="D890" s="4">
        <v>0.11527777777777778</v>
      </c>
      <c r="E890" t="s">
        <v>23</v>
      </c>
      <c r="F890" t="s">
        <v>51</v>
      </c>
      <c r="G890" t="s">
        <v>153</v>
      </c>
      <c r="H890" t="s">
        <v>62</v>
      </c>
      <c r="I890" t="s">
        <v>44</v>
      </c>
      <c r="J890" t="s">
        <v>35</v>
      </c>
      <c r="K890">
        <v>3</v>
      </c>
      <c r="L890" s="8">
        <v>3350</v>
      </c>
      <c r="M890" s="8" t="str">
        <f t="shared" si="79"/>
        <v>11-20%</v>
      </c>
      <c r="N890">
        <v>15</v>
      </c>
      <c r="O890" t="str">
        <f t="shared" si="80"/>
        <v>Valid</v>
      </c>
      <c r="P890" t="str">
        <f t="shared" si="81"/>
        <v>Match</v>
      </c>
      <c r="Q890" s="8">
        <v>10050</v>
      </c>
      <c r="R890" s="8">
        <v>1507.5</v>
      </c>
      <c r="S890" s="8">
        <v>8542.5</v>
      </c>
      <c r="T890" s="8">
        <v>5612</v>
      </c>
      <c r="U890" s="8">
        <v>2930.5</v>
      </c>
      <c r="V890" s="8" t="b">
        <f t="shared" si="82"/>
        <v>0</v>
      </c>
      <c r="W890" s="8">
        <f t="shared" si="83"/>
        <v>0</v>
      </c>
      <c r="X890" t="s">
        <v>55</v>
      </c>
      <c r="Y890" t="s">
        <v>104</v>
      </c>
      <c r="Z890" t="s">
        <v>45</v>
      </c>
      <c r="AA890">
        <v>4</v>
      </c>
      <c r="AB890" t="s">
        <v>66</v>
      </c>
      <c r="AC890" t="s">
        <v>67</v>
      </c>
    </row>
    <row r="891" spans="1:29" x14ac:dyDescent="0.3">
      <c r="A891" t="s">
        <v>1021</v>
      </c>
      <c r="B891" s="6">
        <v>46021</v>
      </c>
      <c r="C891" s="6" t="str">
        <f t="shared" si="78"/>
        <v>12 AM - 4 AM</v>
      </c>
      <c r="D891" s="4">
        <v>5.347222222222222E-2</v>
      </c>
      <c r="E891" t="s">
        <v>77</v>
      </c>
      <c r="F891" t="s">
        <v>24</v>
      </c>
      <c r="G891" t="s">
        <v>61</v>
      </c>
      <c r="H891" t="s">
        <v>102</v>
      </c>
      <c r="I891" t="s">
        <v>125</v>
      </c>
      <c r="J891" t="s">
        <v>35</v>
      </c>
      <c r="K891">
        <v>2</v>
      </c>
      <c r="L891" s="8">
        <v>39850</v>
      </c>
      <c r="M891" s="8" t="str">
        <f t="shared" si="79"/>
        <v>21-30%</v>
      </c>
      <c r="N891">
        <v>25</v>
      </c>
      <c r="O891" t="str">
        <f t="shared" si="80"/>
        <v>Valid</v>
      </c>
      <c r="P891" t="str">
        <f t="shared" si="81"/>
        <v>Match</v>
      </c>
      <c r="Q891" s="8">
        <v>79700</v>
      </c>
      <c r="R891" s="8">
        <v>19925</v>
      </c>
      <c r="S891" s="8">
        <v>59775</v>
      </c>
      <c r="T891" s="8">
        <v>56485.01</v>
      </c>
      <c r="U891" s="8">
        <v>3289.99</v>
      </c>
      <c r="V891" s="8" t="b">
        <f t="shared" si="82"/>
        <v>0</v>
      </c>
      <c r="W891" s="8">
        <f t="shared" si="83"/>
        <v>0</v>
      </c>
      <c r="X891" t="s">
        <v>36</v>
      </c>
      <c r="Y891" t="s">
        <v>47</v>
      </c>
      <c r="Z891" t="s">
        <v>56</v>
      </c>
      <c r="AA891">
        <v>4</v>
      </c>
      <c r="AB891" t="s">
        <v>39</v>
      </c>
      <c r="AC891" t="s">
        <v>86</v>
      </c>
    </row>
    <row r="892" spans="1:29" x14ac:dyDescent="0.3">
      <c r="A892" t="s">
        <v>1022</v>
      </c>
      <c r="B892" s="6">
        <v>45929</v>
      </c>
      <c r="C892" s="6" t="str">
        <f t="shared" si="78"/>
        <v>8 AM - 12 PM</v>
      </c>
      <c r="D892" s="4">
        <v>0.47152777777777777</v>
      </c>
      <c r="E892" t="s">
        <v>60</v>
      </c>
      <c r="F892" t="s">
        <v>24</v>
      </c>
      <c r="G892" t="s">
        <v>61</v>
      </c>
      <c r="H892" t="s">
        <v>26</v>
      </c>
      <c r="I892" t="s">
        <v>63</v>
      </c>
      <c r="J892" t="s">
        <v>212</v>
      </c>
      <c r="K892">
        <v>2</v>
      </c>
      <c r="L892" s="8">
        <v>31000</v>
      </c>
      <c r="M892" s="8" t="str">
        <f t="shared" si="79"/>
        <v>1-10%</v>
      </c>
      <c r="N892">
        <v>10</v>
      </c>
      <c r="O892" t="str">
        <f t="shared" si="80"/>
        <v>Valid</v>
      </c>
      <c r="P892" t="str">
        <f t="shared" si="81"/>
        <v>Match</v>
      </c>
      <c r="Q892" s="8">
        <v>62000</v>
      </c>
      <c r="R892" s="8">
        <v>6200</v>
      </c>
      <c r="S892" s="8">
        <v>55800</v>
      </c>
      <c r="T892" s="8">
        <v>33373.370000000003</v>
      </c>
      <c r="U892" s="8">
        <v>22426.63</v>
      </c>
      <c r="V892" s="8" t="b">
        <f t="shared" si="82"/>
        <v>0</v>
      </c>
      <c r="W892" s="8">
        <f t="shared" si="83"/>
        <v>0</v>
      </c>
      <c r="X892" t="s">
        <v>55</v>
      </c>
      <c r="Y892" t="s">
        <v>47</v>
      </c>
      <c r="Z892" t="s">
        <v>85</v>
      </c>
      <c r="AA892">
        <v>3</v>
      </c>
      <c r="AB892" t="s">
        <v>155</v>
      </c>
      <c r="AC892" t="s">
        <v>49</v>
      </c>
    </row>
    <row r="893" spans="1:29" x14ac:dyDescent="0.3">
      <c r="A893" t="s">
        <v>1023</v>
      </c>
      <c r="B893" s="6">
        <v>45880</v>
      </c>
      <c r="C893" s="6" t="str">
        <f t="shared" si="78"/>
        <v>8 PM - 12 AM</v>
      </c>
      <c r="D893" s="4">
        <v>0.84861111111111109</v>
      </c>
      <c r="E893" t="s">
        <v>23</v>
      </c>
      <c r="F893" t="s">
        <v>24</v>
      </c>
      <c r="G893" t="s">
        <v>110</v>
      </c>
      <c r="H893" t="s">
        <v>113</v>
      </c>
      <c r="I893" t="s">
        <v>98</v>
      </c>
      <c r="J893" t="s">
        <v>35</v>
      </c>
      <c r="K893">
        <v>1</v>
      </c>
      <c r="L893" s="8">
        <v>5150</v>
      </c>
      <c r="M893" s="8" t="str">
        <f t="shared" si="79"/>
        <v>0%</v>
      </c>
      <c r="N893">
        <v>0</v>
      </c>
      <c r="O893" t="str">
        <f t="shared" si="80"/>
        <v>Valid</v>
      </c>
      <c r="P893" t="str">
        <f t="shared" si="81"/>
        <v>Match</v>
      </c>
      <c r="Q893" s="8">
        <v>5150</v>
      </c>
      <c r="R893" s="8">
        <v>0</v>
      </c>
      <c r="S893" s="8">
        <v>5150</v>
      </c>
      <c r="T893" s="8">
        <v>3310.11</v>
      </c>
      <c r="U893" s="8">
        <v>1839.89</v>
      </c>
      <c r="V893" s="8" t="b">
        <f t="shared" si="82"/>
        <v>0</v>
      </c>
      <c r="W893" s="8">
        <f t="shared" si="83"/>
        <v>0</v>
      </c>
      <c r="X893" t="s">
        <v>28</v>
      </c>
      <c r="Y893" t="s">
        <v>70</v>
      </c>
      <c r="Z893" t="s">
        <v>80</v>
      </c>
      <c r="AA893">
        <v>5</v>
      </c>
      <c r="AB893" t="s">
        <v>90</v>
      </c>
      <c r="AC893" t="s">
        <v>49</v>
      </c>
    </row>
    <row r="894" spans="1:29" x14ac:dyDescent="0.3">
      <c r="A894" t="s">
        <v>1024</v>
      </c>
      <c r="B894" s="6">
        <v>45885</v>
      </c>
      <c r="C894" s="6" t="str">
        <f t="shared" si="78"/>
        <v>12 AM - 4 AM</v>
      </c>
      <c r="D894" s="4">
        <v>5.347222222222222E-2</v>
      </c>
      <c r="E894" t="s">
        <v>69</v>
      </c>
      <c r="F894" t="s">
        <v>24</v>
      </c>
      <c r="G894" t="s">
        <v>42</v>
      </c>
      <c r="H894" t="s">
        <v>62</v>
      </c>
      <c r="I894" t="s">
        <v>54</v>
      </c>
      <c r="J894" t="s">
        <v>35</v>
      </c>
      <c r="K894">
        <v>1</v>
      </c>
      <c r="L894" s="8">
        <v>24950</v>
      </c>
      <c r="M894" s="8" t="str">
        <f t="shared" si="79"/>
        <v>1-10%</v>
      </c>
      <c r="N894">
        <v>10</v>
      </c>
      <c r="O894" t="str">
        <f t="shared" si="80"/>
        <v>Valid</v>
      </c>
      <c r="P894" t="str">
        <f t="shared" si="81"/>
        <v>Match</v>
      </c>
      <c r="Q894" s="8">
        <v>24950</v>
      </c>
      <c r="R894" s="8">
        <v>2495</v>
      </c>
      <c r="S894" s="8">
        <v>22455</v>
      </c>
      <c r="T894" s="8">
        <v>13434.9</v>
      </c>
      <c r="U894" s="8">
        <v>9020.1</v>
      </c>
      <c r="V894" s="8" t="b">
        <f t="shared" si="82"/>
        <v>0</v>
      </c>
      <c r="W894" s="8">
        <f t="shared" si="83"/>
        <v>0</v>
      </c>
      <c r="X894" t="s">
        <v>79</v>
      </c>
      <c r="Y894" t="s">
        <v>89</v>
      </c>
      <c r="Z894" t="s">
        <v>80</v>
      </c>
      <c r="AA894">
        <v>5</v>
      </c>
      <c r="AB894" t="s">
        <v>90</v>
      </c>
      <c r="AC894" t="s">
        <v>71</v>
      </c>
    </row>
    <row r="895" spans="1:29" x14ac:dyDescent="0.3">
      <c r="A895" t="s">
        <v>1025</v>
      </c>
      <c r="B895" s="6">
        <v>45743</v>
      </c>
      <c r="C895" s="6" t="str">
        <f t="shared" si="78"/>
        <v>8 AM - 12 PM</v>
      </c>
      <c r="D895" s="4">
        <v>0.35902777777777778</v>
      </c>
      <c r="E895" t="s">
        <v>622</v>
      </c>
      <c r="F895" t="s">
        <v>96</v>
      </c>
      <c r="G895" t="s">
        <v>145</v>
      </c>
      <c r="H895" t="s">
        <v>43</v>
      </c>
      <c r="I895" t="s">
        <v>63</v>
      </c>
      <c r="J895" t="s">
        <v>35</v>
      </c>
      <c r="K895">
        <v>1</v>
      </c>
      <c r="L895" s="8">
        <v>3450</v>
      </c>
      <c r="M895" s="8" t="str">
        <f t="shared" si="79"/>
        <v>11-20%</v>
      </c>
      <c r="N895">
        <v>15</v>
      </c>
      <c r="O895" t="str">
        <f t="shared" si="80"/>
        <v>Valid</v>
      </c>
      <c r="P895" t="str">
        <f t="shared" si="81"/>
        <v>Match</v>
      </c>
      <c r="Q895" s="8">
        <v>3450</v>
      </c>
      <c r="R895" s="8">
        <v>517.5</v>
      </c>
      <c r="S895" s="8">
        <v>2932.5</v>
      </c>
      <c r="T895" s="8">
        <v>2040.31</v>
      </c>
      <c r="U895" s="8">
        <v>892.19</v>
      </c>
      <c r="V895" s="8" t="b">
        <f t="shared" si="82"/>
        <v>0</v>
      </c>
      <c r="W895" s="8">
        <f t="shared" si="83"/>
        <v>0</v>
      </c>
      <c r="X895" t="s">
        <v>55</v>
      </c>
      <c r="Y895" t="s">
        <v>70</v>
      </c>
      <c r="Z895" t="s">
        <v>56</v>
      </c>
      <c r="AA895">
        <v>4.5</v>
      </c>
      <c r="AB895" t="s">
        <v>127</v>
      </c>
      <c r="AC895" t="s">
        <v>67</v>
      </c>
    </row>
    <row r="896" spans="1:29" x14ac:dyDescent="0.3">
      <c r="A896" t="s">
        <v>1026</v>
      </c>
      <c r="B896" s="6">
        <v>45867</v>
      </c>
      <c r="C896" s="6" t="str">
        <f t="shared" si="78"/>
        <v>12 AM - 4 AM</v>
      </c>
      <c r="D896" s="4">
        <v>6.5972222222222224E-2</v>
      </c>
      <c r="E896" t="s">
        <v>108</v>
      </c>
      <c r="F896" t="s">
        <v>24</v>
      </c>
      <c r="G896" t="s">
        <v>33</v>
      </c>
      <c r="H896" t="s">
        <v>43</v>
      </c>
      <c r="I896" t="s">
        <v>98</v>
      </c>
      <c r="J896" t="s">
        <v>35</v>
      </c>
      <c r="K896">
        <v>1</v>
      </c>
      <c r="L896" s="8">
        <v>800</v>
      </c>
      <c r="M896" s="8" t="str">
        <f t="shared" si="79"/>
        <v>1-10%</v>
      </c>
      <c r="N896">
        <v>5</v>
      </c>
      <c r="O896" t="str">
        <f t="shared" si="80"/>
        <v>Valid</v>
      </c>
      <c r="P896" t="str">
        <f t="shared" si="81"/>
        <v>Match</v>
      </c>
      <c r="Q896" s="8">
        <v>800</v>
      </c>
      <c r="R896" s="8">
        <v>40</v>
      </c>
      <c r="S896" s="8">
        <v>760</v>
      </c>
      <c r="T896" s="8">
        <v>572.61</v>
      </c>
      <c r="U896" s="8">
        <v>187.39</v>
      </c>
      <c r="V896" s="8" t="b">
        <f t="shared" si="82"/>
        <v>0</v>
      </c>
      <c r="W896" s="8">
        <f t="shared" si="83"/>
        <v>0</v>
      </c>
      <c r="X896" t="s">
        <v>28</v>
      </c>
      <c r="Y896" t="s">
        <v>104</v>
      </c>
      <c r="Z896" t="s">
        <v>56</v>
      </c>
      <c r="AA896">
        <v>4</v>
      </c>
      <c r="AB896" t="s">
        <v>29</v>
      </c>
      <c r="AC896" t="s">
        <v>86</v>
      </c>
    </row>
    <row r="897" spans="1:29" x14ac:dyDescent="0.3">
      <c r="A897" t="s">
        <v>1027</v>
      </c>
      <c r="B897" s="6">
        <v>45721</v>
      </c>
      <c r="C897" s="6" t="str">
        <f t="shared" si="78"/>
        <v>12 AM - 4 AM</v>
      </c>
      <c r="D897" s="4">
        <v>4.1666666666666664E-2</v>
      </c>
      <c r="E897" t="s">
        <v>69</v>
      </c>
      <c r="F897" t="s">
        <v>96</v>
      </c>
      <c r="G897" t="s">
        <v>129</v>
      </c>
      <c r="H897" t="s">
        <v>34</v>
      </c>
      <c r="I897" t="s">
        <v>63</v>
      </c>
      <c r="J897" t="s">
        <v>45</v>
      </c>
      <c r="K897">
        <v>1</v>
      </c>
      <c r="L897" s="8">
        <v>3400</v>
      </c>
      <c r="M897" s="8" t="str">
        <f t="shared" si="79"/>
        <v>21-30%</v>
      </c>
      <c r="N897">
        <v>30</v>
      </c>
      <c r="O897" t="str">
        <f t="shared" si="80"/>
        <v>Valid</v>
      </c>
      <c r="P897" t="str">
        <f t="shared" si="81"/>
        <v>Match</v>
      </c>
      <c r="Q897" s="8">
        <v>3400</v>
      </c>
      <c r="R897" s="8">
        <v>1020</v>
      </c>
      <c r="S897" s="8">
        <v>2380</v>
      </c>
      <c r="T897" s="8">
        <v>2183.19</v>
      </c>
      <c r="U897" s="8">
        <v>196.81</v>
      </c>
      <c r="V897" s="8" t="b">
        <f t="shared" si="82"/>
        <v>0</v>
      </c>
      <c r="W897" s="8">
        <f t="shared" si="83"/>
        <v>0</v>
      </c>
      <c r="X897" t="s">
        <v>28</v>
      </c>
      <c r="Y897" t="s">
        <v>65</v>
      </c>
      <c r="Z897" t="s">
        <v>80</v>
      </c>
      <c r="AA897">
        <v>3.5</v>
      </c>
      <c r="AB897" t="s">
        <v>127</v>
      </c>
      <c r="AC897" t="s">
        <v>40</v>
      </c>
    </row>
    <row r="898" spans="1:29" x14ac:dyDescent="0.3">
      <c r="A898" t="s">
        <v>1028</v>
      </c>
      <c r="B898" s="6">
        <v>46006</v>
      </c>
      <c r="C898" s="6" t="str">
        <f t="shared" ref="C898:C961" si="84">IF(D898&lt;TIME(4,0,0),"12 AM - 4 AM",IF(D898&lt;TIME(8,0,0),"4 AM - 8 AM",IF(D898&lt;TIME(12,0,0),"8 AM - 12 PM",IF(D898&lt;TIME(16,0,0),"12 PM - 4 PM",IF(D898&lt;TIME(20,0,0),"4 PM - 8 PM","8 PM - 12 AM")))))</f>
        <v>8 PM - 12 AM</v>
      </c>
      <c r="D898" s="4">
        <v>0.87291666666666667</v>
      </c>
      <c r="E898" t="s">
        <v>108</v>
      </c>
      <c r="F898" t="s">
        <v>24</v>
      </c>
      <c r="G898" t="s">
        <v>120</v>
      </c>
      <c r="H898" t="s">
        <v>62</v>
      </c>
      <c r="I898" t="s">
        <v>63</v>
      </c>
      <c r="J898" t="s">
        <v>35</v>
      </c>
      <c r="K898">
        <v>3</v>
      </c>
      <c r="L898" s="8">
        <v>8250</v>
      </c>
      <c r="M898" s="8" t="str">
        <f t="shared" ref="M898:M961" si="85">IF(N898&lt;0,"Invalid",IF(N898=0,"0%",IF(N898&lt;=10,"1-10%",IF(N898&lt;=20,"11-20%",IF(N898&lt;=30,"21-30%","30%+")))))</f>
        <v>1-10%</v>
      </c>
      <c r="N898">
        <v>5</v>
      </c>
      <c r="O898" t="str">
        <f t="shared" ref="O898:O961" si="86">IF(OR(N898&lt;0,N898&gt;100),"Invalid Discount","Valid")</f>
        <v>Valid</v>
      </c>
      <c r="P898" t="str">
        <f t="shared" ref="P898:P961" si="87">IF(ROUND(R898,2)=ROUND(Q898*N898/100,2),"Match","Mismatch")</f>
        <v>Match</v>
      </c>
      <c r="Q898" s="8">
        <v>24750</v>
      </c>
      <c r="R898" s="8">
        <v>1237.5</v>
      </c>
      <c r="S898" s="8">
        <v>23512.5</v>
      </c>
      <c r="T898" s="8">
        <v>14545.87</v>
      </c>
      <c r="U898" s="8">
        <v>8966.6299999999992</v>
      </c>
      <c r="V898" s="8" t="b">
        <f t="shared" ref="V898:V961" si="88">IF(AND(S898-T898&lt;0,U898=S898-T898),TRUE,FALSE)</f>
        <v>0</v>
      </c>
      <c r="W898" s="8">
        <f t="shared" ref="W898:W961" si="89">IF(V898=TRUE,ABS(U898),0)</f>
        <v>0</v>
      </c>
      <c r="X898" t="s">
        <v>28</v>
      </c>
      <c r="Y898" t="s">
        <v>65</v>
      </c>
      <c r="Z898" t="s">
        <v>56</v>
      </c>
      <c r="AA898">
        <v>4</v>
      </c>
      <c r="AB898" t="s">
        <v>39</v>
      </c>
      <c r="AC898" t="s">
        <v>49</v>
      </c>
    </row>
    <row r="899" spans="1:29" x14ac:dyDescent="0.3">
      <c r="A899" t="s">
        <v>1029</v>
      </c>
      <c r="B899" s="6">
        <v>45661</v>
      </c>
      <c r="C899" s="6" t="str">
        <f t="shared" si="84"/>
        <v>4 AM - 8 AM</v>
      </c>
      <c r="D899" s="4">
        <v>0.32847222222222222</v>
      </c>
      <c r="E899" t="s">
        <v>108</v>
      </c>
      <c r="F899" t="s">
        <v>24</v>
      </c>
      <c r="G899" t="s">
        <v>84</v>
      </c>
      <c r="H899" t="s">
        <v>102</v>
      </c>
      <c r="I899" t="s">
        <v>63</v>
      </c>
      <c r="J899" t="s">
        <v>35</v>
      </c>
      <c r="K899">
        <v>1</v>
      </c>
      <c r="L899" s="8">
        <v>5900</v>
      </c>
      <c r="M899" s="8" t="str">
        <f t="shared" si="85"/>
        <v>11-20%</v>
      </c>
      <c r="N899">
        <v>15</v>
      </c>
      <c r="O899" t="str">
        <f t="shared" si="86"/>
        <v>Valid</v>
      </c>
      <c r="P899" t="str">
        <f t="shared" si="87"/>
        <v>Match</v>
      </c>
      <c r="Q899" s="8">
        <v>5900</v>
      </c>
      <c r="R899" s="8">
        <v>885</v>
      </c>
      <c r="S899" s="8">
        <v>5015</v>
      </c>
      <c r="T899" s="8">
        <v>4066.45</v>
      </c>
      <c r="U899" s="8">
        <v>948.55</v>
      </c>
      <c r="V899" s="8" t="b">
        <f t="shared" si="88"/>
        <v>0</v>
      </c>
      <c r="W899" s="8">
        <f t="shared" si="89"/>
        <v>0</v>
      </c>
      <c r="X899" t="s">
        <v>79</v>
      </c>
      <c r="Y899" t="s">
        <v>65</v>
      </c>
      <c r="Z899" t="s">
        <v>38</v>
      </c>
      <c r="AA899">
        <v>3</v>
      </c>
      <c r="AB899" t="s">
        <v>151</v>
      </c>
      <c r="AC899" t="s">
        <v>71</v>
      </c>
    </row>
    <row r="900" spans="1:29" x14ac:dyDescent="0.3">
      <c r="A900" t="s">
        <v>1030</v>
      </c>
      <c r="B900" s="6">
        <v>45871</v>
      </c>
      <c r="C900" s="6" t="str">
        <f t="shared" si="84"/>
        <v>12 PM - 4 PM</v>
      </c>
      <c r="D900" s="4">
        <v>0.62986111111111109</v>
      </c>
      <c r="E900" t="s">
        <v>77</v>
      </c>
      <c r="F900" t="s">
        <v>24</v>
      </c>
      <c r="G900" t="s">
        <v>88</v>
      </c>
      <c r="H900" t="s">
        <v>53</v>
      </c>
      <c r="I900" t="s">
        <v>98</v>
      </c>
      <c r="J900" t="s">
        <v>407</v>
      </c>
      <c r="K900">
        <v>2</v>
      </c>
      <c r="L900" s="8">
        <v>3100</v>
      </c>
      <c r="M900" s="8" t="str">
        <f t="shared" si="85"/>
        <v>1-10%</v>
      </c>
      <c r="N900">
        <v>10</v>
      </c>
      <c r="O900" t="str">
        <f t="shared" si="86"/>
        <v>Valid</v>
      </c>
      <c r="P900" t="str">
        <f t="shared" si="87"/>
        <v>Match</v>
      </c>
      <c r="Q900" s="8">
        <v>6200</v>
      </c>
      <c r="R900" s="8">
        <v>620</v>
      </c>
      <c r="S900" s="8">
        <v>5580</v>
      </c>
      <c r="T900" s="8">
        <v>4441.88</v>
      </c>
      <c r="U900" s="8">
        <v>1138.1199999999999</v>
      </c>
      <c r="V900" s="8" t="b">
        <f t="shared" si="88"/>
        <v>0</v>
      </c>
      <c r="W900" s="8">
        <f t="shared" si="89"/>
        <v>0</v>
      </c>
      <c r="X900" t="s">
        <v>46</v>
      </c>
      <c r="Y900" t="s">
        <v>70</v>
      </c>
      <c r="Z900" t="s">
        <v>56</v>
      </c>
      <c r="AA900">
        <v>5</v>
      </c>
      <c r="AB900" t="s">
        <v>90</v>
      </c>
      <c r="AC900" t="s">
        <v>71</v>
      </c>
    </row>
    <row r="901" spans="1:29" x14ac:dyDescent="0.3">
      <c r="A901" t="s">
        <v>1031</v>
      </c>
      <c r="B901" s="6">
        <v>45878</v>
      </c>
      <c r="C901" s="6" t="str">
        <f t="shared" si="84"/>
        <v>8 PM - 12 AM</v>
      </c>
      <c r="D901" s="4">
        <v>0.95</v>
      </c>
      <c r="E901" t="s">
        <v>23</v>
      </c>
      <c r="F901" t="s">
        <v>24</v>
      </c>
      <c r="G901" t="s">
        <v>25</v>
      </c>
      <c r="H901" t="s">
        <v>102</v>
      </c>
      <c r="I901" t="s">
        <v>98</v>
      </c>
      <c r="J901" t="s">
        <v>78</v>
      </c>
      <c r="K901">
        <v>2</v>
      </c>
      <c r="L901" s="8">
        <v>8600</v>
      </c>
      <c r="M901" s="8" t="str">
        <f t="shared" si="85"/>
        <v>21-30%</v>
      </c>
      <c r="N901">
        <v>25</v>
      </c>
      <c r="O901" t="str">
        <f t="shared" si="86"/>
        <v>Valid</v>
      </c>
      <c r="P901" t="str">
        <f t="shared" si="87"/>
        <v>Match</v>
      </c>
      <c r="Q901" s="8">
        <v>17200</v>
      </c>
      <c r="R901" s="8">
        <v>4300</v>
      </c>
      <c r="S901" s="8">
        <v>12900</v>
      </c>
      <c r="T901" s="8">
        <v>11205.84</v>
      </c>
      <c r="U901" s="8">
        <v>1694.16</v>
      </c>
      <c r="V901" s="8" t="b">
        <f t="shared" si="88"/>
        <v>0</v>
      </c>
      <c r="W901" s="8">
        <f t="shared" si="89"/>
        <v>0</v>
      </c>
      <c r="X901" t="s">
        <v>79</v>
      </c>
      <c r="Y901" t="s">
        <v>70</v>
      </c>
      <c r="Z901" t="s">
        <v>80</v>
      </c>
      <c r="AA901">
        <v>4</v>
      </c>
      <c r="AB901" t="s">
        <v>90</v>
      </c>
      <c r="AC901" t="s">
        <v>71</v>
      </c>
    </row>
    <row r="902" spans="1:29" x14ac:dyDescent="0.3">
      <c r="A902" t="s">
        <v>1032</v>
      </c>
      <c r="B902" s="6">
        <v>45901</v>
      </c>
      <c r="C902" s="6" t="str">
        <f t="shared" si="84"/>
        <v>8 AM - 12 PM</v>
      </c>
      <c r="D902" s="4">
        <v>0.3576388888888889</v>
      </c>
      <c r="E902" t="s">
        <v>60</v>
      </c>
      <c r="F902" t="s">
        <v>24</v>
      </c>
      <c r="G902" t="s">
        <v>120</v>
      </c>
      <c r="H902" t="s">
        <v>113</v>
      </c>
      <c r="I902" t="s">
        <v>63</v>
      </c>
      <c r="J902" t="s">
        <v>45</v>
      </c>
      <c r="K902">
        <v>3</v>
      </c>
      <c r="L902" s="8">
        <v>11100</v>
      </c>
      <c r="M902" s="8" t="str">
        <f t="shared" si="85"/>
        <v>1-10%</v>
      </c>
      <c r="N902">
        <v>10</v>
      </c>
      <c r="O902" t="str">
        <f t="shared" si="86"/>
        <v>Valid</v>
      </c>
      <c r="P902" t="str">
        <f t="shared" si="87"/>
        <v>Match</v>
      </c>
      <c r="Q902" s="8">
        <v>33300</v>
      </c>
      <c r="R902" s="8">
        <v>3330</v>
      </c>
      <c r="S902" s="8">
        <v>29970</v>
      </c>
      <c r="T902" s="8">
        <v>21959.74</v>
      </c>
      <c r="U902" s="8">
        <v>8010.26</v>
      </c>
      <c r="V902" s="8" t="b">
        <f t="shared" si="88"/>
        <v>0</v>
      </c>
      <c r="W902" s="8">
        <f t="shared" si="89"/>
        <v>0</v>
      </c>
      <c r="X902" t="s">
        <v>55</v>
      </c>
      <c r="Y902" t="s">
        <v>70</v>
      </c>
      <c r="Z902" t="s">
        <v>64</v>
      </c>
      <c r="AA902">
        <v>3.5</v>
      </c>
      <c r="AB902" t="s">
        <v>155</v>
      </c>
      <c r="AC902" t="s">
        <v>49</v>
      </c>
    </row>
    <row r="903" spans="1:29" x14ac:dyDescent="0.3">
      <c r="A903" t="s">
        <v>1033</v>
      </c>
      <c r="B903" s="6">
        <v>46016</v>
      </c>
      <c r="C903" s="6" t="str">
        <f t="shared" si="84"/>
        <v>4 AM - 8 AM</v>
      </c>
      <c r="D903" s="4">
        <v>0.21249999999999999</v>
      </c>
      <c r="E903" t="s">
        <v>23</v>
      </c>
      <c r="F903" t="s">
        <v>24</v>
      </c>
      <c r="G903" t="s">
        <v>84</v>
      </c>
      <c r="H903" t="s">
        <v>62</v>
      </c>
      <c r="I903" t="s">
        <v>82</v>
      </c>
      <c r="J903" t="s">
        <v>35</v>
      </c>
      <c r="K903">
        <v>2</v>
      </c>
      <c r="L903" s="8">
        <v>30200</v>
      </c>
      <c r="M903" s="8" t="str">
        <f t="shared" si="85"/>
        <v>21-30%</v>
      </c>
      <c r="N903">
        <v>25</v>
      </c>
      <c r="O903" t="str">
        <f t="shared" si="86"/>
        <v>Valid</v>
      </c>
      <c r="P903" t="str">
        <f t="shared" si="87"/>
        <v>Match</v>
      </c>
      <c r="Q903" s="8">
        <v>60400</v>
      </c>
      <c r="R903" s="8">
        <v>15100</v>
      </c>
      <c r="S903" s="8">
        <v>45300</v>
      </c>
      <c r="T903" s="8">
        <v>34461.199999999997</v>
      </c>
      <c r="U903" s="8">
        <v>10838.8</v>
      </c>
      <c r="V903" s="8" t="b">
        <f t="shared" si="88"/>
        <v>0</v>
      </c>
      <c r="W903" s="8">
        <f t="shared" si="89"/>
        <v>0</v>
      </c>
      <c r="X903" t="s">
        <v>36</v>
      </c>
      <c r="Y903" t="s">
        <v>104</v>
      </c>
      <c r="Z903" t="s">
        <v>64</v>
      </c>
      <c r="AA903">
        <v>4.5</v>
      </c>
      <c r="AB903" t="s">
        <v>39</v>
      </c>
      <c r="AC903" t="s">
        <v>67</v>
      </c>
    </row>
    <row r="904" spans="1:29" x14ac:dyDescent="0.3">
      <c r="A904" t="s">
        <v>1034</v>
      </c>
      <c r="B904" s="6">
        <v>45996</v>
      </c>
      <c r="C904" s="6" t="str">
        <f t="shared" si="84"/>
        <v>8 PM - 12 AM</v>
      </c>
      <c r="D904" s="4">
        <v>0.85972222222222228</v>
      </c>
      <c r="E904" t="s">
        <v>77</v>
      </c>
      <c r="F904" t="s">
        <v>24</v>
      </c>
      <c r="G904" t="s">
        <v>110</v>
      </c>
      <c r="H904" t="s">
        <v>102</v>
      </c>
      <c r="I904" t="s">
        <v>63</v>
      </c>
      <c r="J904" t="s">
        <v>35</v>
      </c>
      <c r="K904">
        <v>1</v>
      </c>
      <c r="L904" s="8">
        <v>1850</v>
      </c>
      <c r="M904" s="8" t="str">
        <f t="shared" si="85"/>
        <v>11-20%</v>
      </c>
      <c r="N904">
        <v>15</v>
      </c>
      <c r="O904" t="str">
        <f t="shared" si="86"/>
        <v>Valid</v>
      </c>
      <c r="P904" t="str">
        <f t="shared" si="87"/>
        <v>Match</v>
      </c>
      <c r="Q904" s="8">
        <v>1850</v>
      </c>
      <c r="R904" s="8">
        <v>277.5</v>
      </c>
      <c r="S904" s="8">
        <v>1572.5</v>
      </c>
      <c r="T904" s="8">
        <v>997.66</v>
      </c>
      <c r="U904" s="8">
        <v>574.84</v>
      </c>
      <c r="V904" s="8" t="b">
        <f t="shared" si="88"/>
        <v>0</v>
      </c>
      <c r="W904" s="8">
        <f t="shared" si="89"/>
        <v>0</v>
      </c>
      <c r="X904" t="s">
        <v>46</v>
      </c>
      <c r="Y904" t="s">
        <v>104</v>
      </c>
      <c r="Z904" t="s">
        <v>45</v>
      </c>
      <c r="AA904">
        <v>5</v>
      </c>
      <c r="AB904" t="s">
        <v>39</v>
      </c>
      <c r="AC904" t="s">
        <v>58</v>
      </c>
    </row>
    <row r="905" spans="1:29" x14ac:dyDescent="0.3">
      <c r="A905" t="s">
        <v>1035</v>
      </c>
      <c r="B905" s="6">
        <v>45757</v>
      </c>
      <c r="C905" s="6" t="str">
        <f t="shared" si="84"/>
        <v>12 PM - 4 PM</v>
      </c>
      <c r="D905" s="4">
        <v>0.52430555555555558</v>
      </c>
      <c r="E905" t="s">
        <v>69</v>
      </c>
      <c r="F905" t="s">
        <v>24</v>
      </c>
      <c r="G905" t="s">
        <v>110</v>
      </c>
      <c r="H905" t="s">
        <v>43</v>
      </c>
      <c r="I905" t="s">
        <v>98</v>
      </c>
      <c r="J905" t="s">
        <v>45</v>
      </c>
      <c r="K905">
        <v>3</v>
      </c>
      <c r="L905" s="8">
        <v>4700</v>
      </c>
      <c r="M905" s="8" t="str">
        <f t="shared" si="85"/>
        <v>0%</v>
      </c>
      <c r="N905">
        <v>0</v>
      </c>
      <c r="O905" t="str">
        <f t="shared" si="86"/>
        <v>Valid</v>
      </c>
      <c r="P905" t="str">
        <f t="shared" si="87"/>
        <v>Match</v>
      </c>
      <c r="Q905" s="8">
        <v>14100</v>
      </c>
      <c r="R905" s="8">
        <v>0</v>
      </c>
      <c r="S905" s="8">
        <v>14100</v>
      </c>
      <c r="T905" s="8">
        <v>8835.26</v>
      </c>
      <c r="U905" s="8">
        <v>5264.74</v>
      </c>
      <c r="V905" s="8" t="b">
        <f t="shared" si="88"/>
        <v>0</v>
      </c>
      <c r="W905" s="8">
        <f t="shared" si="89"/>
        <v>0</v>
      </c>
      <c r="X905" t="s">
        <v>493</v>
      </c>
      <c r="Y905" t="s">
        <v>70</v>
      </c>
      <c r="Z905" t="s">
        <v>45</v>
      </c>
      <c r="AA905">
        <v>4</v>
      </c>
      <c r="AB905" t="s">
        <v>99</v>
      </c>
      <c r="AC905" t="s">
        <v>67</v>
      </c>
    </row>
    <row r="906" spans="1:29" x14ac:dyDescent="0.3">
      <c r="A906" t="s">
        <v>1036</v>
      </c>
      <c r="B906" s="6">
        <v>45681</v>
      </c>
      <c r="C906" s="6" t="str">
        <f t="shared" si="84"/>
        <v>4 PM - 8 PM</v>
      </c>
      <c r="D906" s="4">
        <v>0.70625000000000004</v>
      </c>
      <c r="E906" t="s">
        <v>108</v>
      </c>
      <c r="F906" t="s">
        <v>96</v>
      </c>
      <c r="G906" t="s">
        <v>145</v>
      </c>
      <c r="H906" t="s">
        <v>43</v>
      </c>
      <c r="I906" t="s">
        <v>98</v>
      </c>
      <c r="J906" t="s">
        <v>35</v>
      </c>
      <c r="K906">
        <v>4</v>
      </c>
      <c r="L906" s="8">
        <v>1900</v>
      </c>
      <c r="M906" s="8" t="str">
        <f t="shared" si="85"/>
        <v>0%</v>
      </c>
      <c r="N906">
        <v>0</v>
      </c>
      <c r="O906" t="str">
        <f t="shared" si="86"/>
        <v>Valid</v>
      </c>
      <c r="P906" t="str">
        <f t="shared" si="87"/>
        <v>Match</v>
      </c>
      <c r="Q906" s="8">
        <v>7600</v>
      </c>
      <c r="R906" s="8">
        <v>0</v>
      </c>
      <c r="S906" s="8">
        <v>7600</v>
      </c>
      <c r="T906" s="8">
        <v>4367.22</v>
      </c>
      <c r="U906" s="8">
        <v>3232.78</v>
      </c>
      <c r="V906" s="8" t="b">
        <f t="shared" si="88"/>
        <v>0</v>
      </c>
      <c r="W906" s="8">
        <f t="shared" si="89"/>
        <v>0</v>
      </c>
      <c r="X906" t="s">
        <v>79</v>
      </c>
      <c r="Y906" t="s">
        <v>47</v>
      </c>
      <c r="Z906" t="s">
        <v>56</v>
      </c>
      <c r="AA906">
        <v>4.5</v>
      </c>
      <c r="AB906" t="s">
        <v>151</v>
      </c>
      <c r="AC906" t="s">
        <v>58</v>
      </c>
    </row>
    <row r="907" spans="1:29" x14ac:dyDescent="0.3">
      <c r="A907" t="s">
        <v>1037</v>
      </c>
      <c r="B907" s="6">
        <v>45674</v>
      </c>
      <c r="C907" s="6" t="str">
        <f t="shared" si="84"/>
        <v>12 AM - 4 AM</v>
      </c>
      <c r="D907" s="4">
        <v>0.14791666666666667</v>
      </c>
      <c r="E907" t="s">
        <v>32</v>
      </c>
      <c r="F907" t="s">
        <v>51</v>
      </c>
      <c r="G907" t="s">
        <v>52</v>
      </c>
      <c r="H907" t="s">
        <v>113</v>
      </c>
      <c r="I907" t="s">
        <v>63</v>
      </c>
      <c r="J907" t="s">
        <v>45</v>
      </c>
      <c r="K907">
        <v>1</v>
      </c>
      <c r="L907" s="8">
        <v>26500</v>
      </c>
      <c r="M907" s="8" t="str">
        <f t="shared" si="85"/>
        <v>1-10%</v>
      </c>
      <c r="N907">
        <v>5</v>
      </c>
      <c r="O907" t="str">
        <f t="shared" si="86"/>
        <v>Valid</v>
      </c>
      <c r="P907" t="str">
        <f t="shared" si="87"/>
        <v>Match</v>
      </c>
      <c r="Q907" s="8">
        <v>26500</v>
      </c>
      <c r="R907" s="8">
        <v>1325</v>
      </c>
      <c r="S907" s="8">
        <v>25175</v>
      </c>
      <c r="T907" s="8">
        <v>16506.62</v>
      </c>
      <c r="U907" s="8">
        <v>8668.3799999999992</v>
      </c>
      <c r="V907" s="8" t="b">
        <f t="shared" si="88"/>
        <v>0</v>
      </c>
      <c r="W907" s="8">
        <f t="shared" si="89"/>
        <v>0</v>
      </c>
      <c r="X907" t="s">
        <v>79</v>
      </c>
      <c r="Y907" t="s">
        <v>47</v>
      </c>
      <c r="Z907" t="s">
        <v>38</v>
      </c>
      <c r="AA907" t="s">
        <v>1139</v>
      </c>
      <c r="AB907" t="s">
        <v>151</v>
      </c>
      <c r="AC907" t="s">
        <v>58</v>
      </c>
    </row>
    <row r="908" spans="1:29" x14ac:dyDescent="0.3">
      <c r="A908" t="s">
        <v>1038</v>
      </c>
      <c r="B908" s="6">
        <v>45929</v>
      </c>
      <c r="C908" s="6" t="str">
        <f t="shared" si="84"/>
        <v>8 PM - 12 AM</v>
      </c>
      <c r="D908" s="4">
        <v>0.87430555555555556</v>
      </c>
      <c r="E908" t="s">
        <v>622</v>
      </c>
      <c r="F908" t="s">
        <v>24</v>
      </c>
      <c r="G908" t="s">
        <v>88</v>
      </c>
      <c r="H908" t="s">
        <v>26</v>
      </c>
      <c r="I908" t="s">
        <v>63</v>
      </c>
      <c r="J908" t="s">
        <v>35</v>
      </c>
      <c r="K908">
        <v>4</v>
      </c>
      <c r="L908" s="8">
        <v>3350</v>
      </c>
      <c r="M908" s="8" t="str">
        <f t="shared" si="85"/>
        <v>0%</v>
      </c>
      <c r="N908">
        <v>0</v>
      </c>
      <c r="O908" t="str">
        <f t="shared" si="86"/>
        <v>Valid</v>
      </c>
      <c r="P908" t="str">
        <f t="shared" si="87"/>
        <v>Match</v>
      </c>
      <c r="Q908" s="8">
        <v>13400</v>
      </c>
      <c r="R908" s="8">
        <v>0</v>
      </c>
      <c r="S908" s="8">
        <v>13400</v>
      </c>
      <c r="T908" s="8">
        <v>7822.5</v>
      </c>
      <c r="U908" s="8">
        <v>5577.5</v>
      </c>
      <c r="V908" s="8" t="b">
        <f t="shared" si="88"/>
        <v>0</v>
      </c>
      <c r="W908" s="8">
        <f t="shared" si="89"/>
        <v>0</v>
      </c>
      <c r="X908" t="s">
        <v>55</v>
      </c>
      <c r="Y908" t="s">
        <v>89</v>
      </c>
      <c r="Z908" t="s">
        <v>56</v>
      </c>
      <c r="AA908">
        <v>3</v>
      </c>
      <c r="AB908" t="s">
        <v>155</v>
      </c>
      <c r="AC908" t="s">
        <v>49</v>
      </c>
    </row>
    <row r="909" spans="1:29" x14ac:dyDescent="0.3">
      <c r="A909" t="s">
        <v>1039</v>
      </c>
      <c r="B909" s="6">
        <v>45815</v>
      </c>
      <c r="C909" s="6" t="str">
        <f t="shared" si="84"/>
        <v>12 PM - 4 PM</v>
      </c>
      <c r="D909" s="4">
        <v>0.60138888888888886</v>
      </c>
      <c r="E909" t="s">
        <v>23</v>
      </c>
      <c r="F909" t="s">
        <v>96</v>
      </c>
      <c r="G909" t="s">
        <v>129</v>
      </c>
      <c r="H909" t="s">
        <v>26</v>
      </c>
      <c r="I909" t="s">
        <v>98</v>
      </c>
      <c r="J909" t="s">
        <v>45</v>
      </c>
      <c r="K909">
        <v>1</v>
      </c>
      <c r="L909" s="8">
        <v>2150</v>
      </c>
      <c r="M909" s="8" t="str">
        <f t="shared" si="85"/>
        <v>21-30%</v>
      </c>
      <c r="N909">
        <v>25</v>
      </c>
      <c r="O909" t="str">
        <f t="shared" si="86"/>
        <v>Valid</v>
      </c>
      <c r="P909" t="str">
        <f t="shared" si="87"/>
        <v>Match</v>
      </c>
      <c r="Q909" s="8">
        <v>2150</v>
      </c>
      <c r="R909" s="8">
        <v>537.5</v>
      </c>
      <c r="S909" s="8">
        <v>1612.5</v>
      </c>
      <c r="T909" s="8">
        <v>1505.16</v>
      </c>
      <c r="U909" s="8">
        <v>107.34</v>
      </c>
      <c r="V909" s="8" t="b">
        <f t="shared" si="88"/>
        <v>0</v>
      </c>
      <c r="W909" s="8">
        <f t="shared" si="89"/>
        <v>0</v>
      </c>
      <c r="X909" t="s">
        <v>55</v>
      </c>
      <c r="Y909" t="s">
        <v>47</v>
      </c>
      <c r="Z909" t="s">
        <v>45</v>
      </c>
      <c r="AA909">
        <v>3.5</v>
      </c>
      <c r="AB909" t="s">
        <v>48</v>
      </c>
      <c r="AC909" t="s">
        <v>71</v>
      </c>
    </row>
    <row r="910" spans="1:29" x14ac:dyDescent="0.3">
      <c r="A910" t="s">
        <v>1040</v>
      </c>
      <c r="B910" s="6">
        <v>45704</v>
      </c>
      <c r="C910" s="6" t="str">
        <f t="shared" si="84"/>
        <v>12 AM - 4 AM</v>
      </c>
      <c r="D910" s="4">
        <v>0.12916666666666668</v>
      </c>
      <c r="E910" t="s">
        <v>69</v>
      </c>
      <c r="F910" t="s">
        <v>24</v>
      </c>
      <c r="G910" t="s">
        <v>84</v>
      </c>
      <c r="H910" t="s">
        <v>26</v>
      </c>
      <c r="I910" t="s">
        <v>27</v>
      </c>
      <c r="J910" t="s">
        <v>35</v>
      </c>
      <c r="K910">
        <v>3</v>
      </c>
      <c r="L910" s="8">
        <v>15600</v>
      </c>
      <c r="M910" s="8" t="str">
        <f t="shared" si="85"/>
        <v>1-10%</v>
      </c>
      <c r="N910">
        <v>10</v>
      </c>
      <c r="O910" t="str">
        <f t="shared" si="86"/>
        <v>Valid</v>
      </c>
      <c r="P910" t="str">
        <f t="shared" si="87"/>
        <v>Match</v>
      </c>
      <c r="Q910" s="8">
        <v>46800</v>
      </c>
      <c r="R910" s="8">
        <v>4680</v>
      </c>
      <c r="S910" s="8">
        <v>42120</v>
      </c>
      <c r="T910" s="8">
        <v>28269.19</v>
      </c>
      <c r="U910" s="8">
        <v>13850.81</v>
      </c>
      <c r="V910" s="8" t="b">
        <f t="shared" si="88"/>
        <v>0</v>
      </c>
      <c r="W910" s="8">
        <f t="shared" si="89"/>
        <v>0</v>
      </c>
      <c r="X910" t="s">
        <v>79</v>
      </c>
      <c r="Y910" t="s">
        <v>104</v>
      </c>
      <c r="Z910" t="s">
        <v>64</v>
      </c>
      <c r="AA910">
        <v>3</v>
      </c>
      <c r="AB910" t="s">
        <v>66</v>
      </c>
      <c r="AC910" t="s">
        <v>30</v>
      </c>
    </row>
    <row r="911" spans="1:29" x14ac:dyDescent="0.3">
      <c r="A911" t="s">
        <v>1041</v>
      </c>
      <c r="B911" s="6">
        <v>45748</v>
      </c>
      <c r="C911" s="6" t="str">
        <f t="shared" si="84"/>
        <v>4 PM - 8 PM</v>
      </c>
      <c r="D911" s="4">
        <v>0.67291666666666672</v>
      </c>
      <c r="E911" t="s">
        <v>108</v>
      </c>
      <c r="F911" t="s">
        <v>96</v>
      </c>
      <c r="G911" t="s">
        <v>134</v>
      </c>
      <c r="H911" t="s">
        <v>74</v>
      </c>
      <c r="I911" t="s">
        <v>44</v>
      </c>
      <c r="J911" t="s">
        <v>93</v>
      </c>
      <c r="K911">
        <v>1</v>
      </c>
      <c r="L911" s="8">
        <v>3350</v>
      </c>
      <c r="M911" s="8" t="str">
        <f t="shared" si="85"/>
        <v>11-20%</v>
      </c>
      <c r="N911">
        <v>15</v>
      </c>
      <c r="O911" t="str">
        <f t="shared" si="86"/>
        <v>Valid</v>
      </c>
      <c r="P911" t="str">
        <f t="shared" si="87"/>
        <v>Match</v>
      </c>
      <c r="Q911" s="8">
        <v>3350</v>
      </c>
      <c r="R911" s="8">
        <v>502.5</v>
      </c>
      <c r="S911" s="8">
        <v>2847.5</v>
      </c>
      <c r="T911" s="8">
        <v>2262.59</v>
      </c>
      <c r="U911" s="8">
        <v>584.91</v>
      </c>
      <c r="V911" s="8" t="b">
        <f t="shared" si="88"/>
        <v>0</v>
      </c>
      <c r="W911" s="8">
        <f t="shared" si="89"/>
        <v>0</v>
      </c>
      <c r="X911" t="s">
        <v>79</v>
      </c>
      <c r="Y911" t="s">
        <v>89</v>
      </c>
      <c r="Z911" t="s">
        <v>45</v>
      </c>
      <c r="AA911">
        <v>4.5</v>
      </c>
      <c r="AB911" t="s">
        <v>99</v>
      </c>
      <c r="AC911" t="s">
        <v>86</v>
      </c>
    </row>
    <row r="912" spans="1:29" x14ac:dyDescent="0.3">
      <c r="A912" t="s">
        <v>1042</v>
      </c>
      <c r="B912" s="6">
        <v>45729</v>
      </c>
      <c r="C912" s="6" t="str">
        <f t="shared" si="84"/>
        <v>12 PM - 4 PM</v>
      </c>
      <c r="D912" s="4">
        <v>0.61736111111111114</v>
      </c>
      <c r="E912" t="s">
        <v>60</v>
      </c>
      <c r="F912" t="s">
        <v>51</v>
      </c>
      <c r="G912" t="s">
        <v>52</v>
      </c>
      <c r="H912" t="s">
        <v>102</v>
      </c>
      <c r="I912" t="s">
        <v>54</v>
      </c>
      <c r="J912" t="s">
        <v>85</v>
      </c>
      <c r="K912">
        <v>1</v>
      </c>
      <c r="L912" s="8">
        <v>35950</v>
      </c>
      <c r="M912" s="8" t="str">
        <f t="shared" si="85"/>
        <v>11-20%</v>
      </c>
      <c r="N912">
        <v>15</v>
      </c>
      <c r="O912" t="str">
        <f t="shared" si="86"/>
        <v>Valid</v>
      </c>
      <c r="P912" t="str">
        <f t="shared" si="87"/>
        <v>Match</v>
      </c>
      <c r="Q912" s="8">
        <v>35950</v>
      </c>
      <c r="R912" s="8">
        <v>5392.5</v>
      </c>
      <c r="S912" s="8">
        <v>30557.5</v>
      </c>
      <c r="T912" s="8">
        <v>21490.720000000001</v>
      </c>
      <c r="U912" s="8">
        <v>9066.7800000000007</v>
      </c>
      <c r="V912" s="8" t="b">
        <f t="shared" si="88"/>
        <v>0</v>
      </c>
      <c r="W912" s="8">
        <f t="shared" si="89"/>
        <v>0</v>
      </c>
      <c r="X912" t="s">
        <v>79</v>
      </c>
      <c r="Y912" t="s">
        <v>94</v>
      </c>
      <c r="Z912" t="s">
        <v>56</v>
      </c>
      <c r="AA912">
        <v>5</v>
      </c>
      <c r="AB912" t="s">
        <v>127</v>
      </c>
      <c r="AC912" t="s">
        <v>67</v>
      </c>
    </row>
    <row r="913" spans="1:29" x14ac:dyDescent="0.3">
      <c r="A913" t="s">
        <v>1043</v>
      </c>
      <c r="B913" s="6">
        <v>45773</v>
      </c>
      <c r="C913" s="6" t="str">
        <f t="shared" si="84"/>
        <v>8 AM - 12 PM</v>
      </c>
      <c r="D913" s="4">
        <v>0.48125000000000001</v>
      </c>
      <c r="E913" t="s">
        <v>60</v>
      </c>
      <c r="F913" t="s">
        <v>51</v>
      </c>
      <c r="G913" t="s">
        <v>122</v>
      </c>
      <c r="H913" t="s">
        <v>102</v>
      </c>
      <c r="I913" t="s">
        <v>98</v>
      </c>
      <c r="J913" t="s">
        <v>93</v>
      </c>
      <c r="K913">
        <v>1</v>
      </c>
      <c r="L913" s="8">
        <v>2600</v>
      </c>
      <c r="M913" s="8" t="str">
        <f t="shared" si="85"/>
        <v>1-10%</v>
      </c>
      <c r="N913">
        <v>10</v>
      </c>
      <c r="O913" t="str">
        <f t="shared" si="86"/>
        <v>Valid</v>
      </c>
      <c r="P913" t="str">
        <f t="shared" si="87"/>
        <v>Match</v>
      </c>
      <c r="Q913" s="8">
        <v>2600</v>
      </c>
      <c r="R913" s="8">
        <v>260</v>
      </c>
      <c r="S913" s="8">
        <v>2340</v>
      </c>
      <c r="T913" s="8">
        <v>1886.67</v>
      </c>
      <c r="U913" s="8">
        <v>453.33</v>
      </c>
      <c r="V913" s="8" t="b">
        <f t="shared" si="88"/>
        <v>0</v>
      </c>
      <c r="W913" s="8">
        <f t="shared" si="89"/>
        <v>0</v>
      </c>
      <c r="X913" t="s">
        <v>55</v>
      </c>
      <c r="Y913" t="s">
        <v>47</v>
      </c>
      <c r="Z913" t="s">
        <v>45</v>
      </c>
      <c r="AA913">
        <v>3.5</v>
      </c>
      <c r="AB913" t="s">
        <v>99</v>
      </c>
      <c r="AC913" t="s">
        <v>71</v>
      </c>
    </row>
    <row r="914" spans="1:29" x14ac:dyDescent="0.3">
      <c r="A914" t="s">
        <v>1044</v>
      </c>
      <c r="B914" s="6">
        <v>45928</v>
      </c>
      <c r="C914" s="6" t="str">
        <f t="shared" si="84"/>
        <v>8 PM - 12 AM</v>
      </c>
      <c r="D914" s="4">
        <v>0.90138888888888891</v>
      </c>
      <c r="E914" t="s">
        <v>622</v>
      </c>
      <c r="F914" t="s">
        <v>24</v>
      </c>
      <c r="G914" t="s">
        <v>42</v>
      </c>
      <c r="H914" t="s">
        <v>113</v>
      </c>
      <c r="I914" t="s">
        <v>54</v>
      </c>
      <c r="J914" t="s">
        <v>45</v>
      </c>
      <c r="K914">
        <v>1</v>
      </c>
      <c r="L914" s="8">
        <v>94400</v>
      </c>
      <c r="M914" s="8" t="str">
        <f t="shared" si="85"/>
        <v>21-30%</v>
      </c>
      <c r="N914">
        <v>25</v>
      </c>
      <c r="O914" t="str">
        <f t="shared" si="86"/>
        <v>Valid</v>
      </c>
      <c r="P914" t="str">
        <f t="shared" si="87"/>
        <v>Match</v>
      </c>
      <c r="Q914" s="8">
        <v>94400</v>
      </c>
      <c r="R914" s="8">
        <v>23600</v>
      </c>
      <c r="S914" s="8">
        <v>70800</v>
      </c>
      <c r="T914" s="8">
        <v>62819.26</v>
      </c>
      <c r="U914" s="8">
        <v>7980.74</v>
      </c>
      <c r="V914" s="8" t="b">
        <f t="shared" si="88"/>
        <v>0</v>
      </c>
      <c r="W914" s="8">
        <f t="shared" si="89"/>
        <v>0</v>
      </c>
      <c r="X914" t="s">
        <v>46</v>
      </c>
      <c r="Y914" t="s">
        <v>104</v>
      </c>
      <c r="Z914" t="s">
        <v>38</v>
      </c>
      <c r="AA914">
        <v>3</v>
      </c>
      <c r="AB914" t="s">
        <v>155</v>
      </c>
      <c r="AC914" t="s">
        <v>30</v>
      </c>
    </row>
    <row r="915" spans="1:29" x14ac:dyDescent="0.3">
      <c r="A915" t="s">
        <v>1045</v>
      </c>
      <c r="B915" s="6">
        <v>45776</v>
      </c>
      <c r="C915" s="6" t="str">
        <f t="shared" si="84"/>
        <v>4 PM - 8 PM</v>
      </c>
      <c r="D915" s="4">
        <v>0.69513888888888886</v>
      </c>
      <c r="E915" t="s">
        <v>60</v>
      </c>
      <c r="F915" t="s">
        <v>24</v>
      </c>
      <c r="G915" t="s">
        <v>110</v>
      </c>
      <c r="H915" t="s">
        <v>43</v>
      </c>
      <c r="I915" t="s">
        <v>98</v>
      </c>
      <c r="J915" t="s">
        <v>35</v>
      </c>
      <c r="K915">
        <v>1</v>
      </c>
      <c r="L915" s="8">
        <v>5400</v>
      </c>
      <c r="M915" s="8" t="str">
        <f t="shared" si="85"/>
        <v>1-10%</v>
      </c>
      <c r="N915">
        <v>5</v>
      </c>
      <c r="O915" t="str">
        <f t="shared" si="86"/>
        <v>Valid</v>
      </c>
      <c r="P915" t="str">
        <f t="shared" si="87"/>
        <v>Match</v>
      </c>
      <c r="Q915" s="8">
        <v>5400</v>
      </c>
      <c r="R915" s="8">
        <v>270</v>
      </c>
      <c r="S915" s="8">
        <v>5130</v>
      </c>
      <c r="T915" s="8">
        <v>2882.78</v>
      </c>
      <c r="U915" s="8">
        <v>2247.2199999999998</v>
      </c>
      <c r="V915" s="8" t="b">
        <f t="shared" si="88"/>
        <v>0</v>
      </c>
      <c r="W915" s="8">
        <f t="shared" si="89"/>
        <v>0</v>
      </c>
      <c r="X915" t="s">
        <v>55</v>
      </c>
      <c r="Y915" t="s">
        <v>65</v>
      </c>
      <c r="Z915" t="s">
        <v>64</v>
      </c>
      <c r="AA915">
        <v>4</v>
      </c>
      <c r="AB915" t="s">
        <v>99</v>
      </c>
      <c r="AC915" t="s">
        <v>86</v>
      </c>
    </row>
    <row r="916" spans="1:29" x14ac:dyDescent="0.3">
      <c r="A916" t="s">
        <v>1046</v>
      </c>
      <c r="B916" s="6">
        <v>45661</v>
      </c>
      <c r="C916" s="6" t="str">
        <f t="shared" si="84"/>
        <v>4 AM - 8 AM</v>
      </c>
      <c r="D916" s="4">
        <v>0.2388888888888889</v>
      </c>
      <c r="E916" t="s">
        <v>77</v>
      </c>
      <c r="F916" t="s">
        <v>51</v>
      </c>
      <c r="G916" t="s">
        <v>122</v>
      </c>
      <c r="H916" t="s">
        <v>74</v>
      </c>
      <c r="I916" t="s">
        <v>44</v>
      </c>
      <c r="J916" t="s">
        <v>35</v>
      </c>
      <c r="K916">
        <v>1</v>
      </c>
      <c r="L916" s="8">
        <v>4000</v>
      </c>
      <c r="M916" s="8" t="str">
        <f t="shared" si="85"/>
        <v>1-10%</v>
      </c>
      <c r="N916">
        <v>10</v>
      </c>
      <c r="O916" t="str">
        <f t="shared" si="86"/>
        <v>Valid</v>
      </c>
      <c r="P916" t="str">
        <f t="shared" si="87"/>
        <v>Match</v>
      </c>
      <c r="Q916" s="8">
        <v>4000</v>
      </c>
      <c r="R916" s="8">
        <v>400</v>
      </c>
      <c r="S916" s="8">
        <v>3600</v>
      </c>
      <c r="T916" s="8">
        <v>2792.3</v>
      </c>
      <c r="U916" s="8">
        <v>807.7</v>
      </c>
      <c r="V916" s="8" t="b">
        <f t="shared" si="88"/>
        <v>0</v>
      </c>
      <c r="W916" s="8">
        <f t="shared" si="89"/>
        <v>0</v>
      </c>
      <c r="X916" t="s">
        <v>493</v>
      </c>
      <c r="Y916" t="s">
        <v>37</v>
      </c>
      <c r="Z916" t="s">
        <v>56</v>
      </c>
      <c r="AA916">
        <v>3</v>
      </c>
      <c r="AB916" t="s">
        <v>151</v>
      </c>
      <c r="AC916" t="s">
        <v>71</v>
      </c>
    </row>
    <row r="917" spans="1:29" x14ac:dyDescent="0.3">
      <c r="A917" t="s">
        <v>1047</v>
      </c>
      <c r="B917" s="6">
        <v>46000</v>
      </c>
      <c r="C917" s="6" t="str">
        <f t="shared" si="84"/>
        <v>4 PM - 8 PM</v>
      </c>
      <c r="D917" s="4">
        <v>0.76111111111111107</v>
      </c>
      <c r="E917" t="s">
        <v>77</v>
      </c>
      <c r="F917" t="s">
        <v>24</v>
      </c>
      <c r="G917" t="s">
        <v>25</v>
      </c>
      <c r="H917" t="s">
        <v>43</v>
      </c>
      <c r="I917" t="s">
        <v>92</v>
      </c>
      <c r="J917" t="s">
        <v>35</v>
      </c>
      <c r="K917">
        <v>2</v>
      </c>
      <c r="L917" s="8">
        <v>3950</v>
      </c>
      <c r="M917" s="8" t="str">
        <f t="shared" si="85"/>
        <v>0%</v>
      </c>
      <c r="N917">
        <v>0</v>
      </c>
      <c r="O917" t="str">
        <f t="shared" si="86"/>
        <v>Valid</v>
      </c>
      <c r="P917" t="str">
        <f t="shared" si="87"/>
        <v>Match</v>
      </c>
      <c r="Q917" s="8">
        <v>7900</v>
      </c>
      <c r="R917" s="8">
        <v>0</v>
      </c>
      <c r="S917" s="8">
        <v>7900</v>
      </c>
      <c r="T917" s="8">
        <v>5527.49</v>
      </c>
      <c r="U917" s="8">
        <v>2372.5100000000002</v>
      </c>
      <c r="V917" s="8" t="b">
        <f t="shared" si="88"/>
        <v>0</v>
      </c>
      <c r="W917" s="8">
        <f t="shared" si="89"/>
        <v>0</v>
      </c>
      <c r="X917" t="s">
        <v>36</v>
      </c>
      <c r="Y917" t="s">
        <v>104</v>
      </c>
      <c r="Z917" t="s">
        <v>45</v>
      </c>
      <c r="AA917">
        <v>3.5</v>
      </c>
      <c r="AB917" t="s">
        <v>39</v>
      </c>
      <c r="AC917" t="s">
        <v>86</v>
      </c>
    </row>
    <row r="918" spans="1:29" x14ac:dyDescent="0.3">
      <c r="A918" t="s">
        <v>1048</v>
      </c>
      <c r="B918" s="6">
        <v>45687</v>
      </c>
      <c r="C918" s="6" t="str">
        <f t="shared" si="84"/>
        <v>8 AM - 12 PM</v>
      </c>
      <c r="D918" s="4">
        <v>0.38541666666666669</v>
      </c>
      <c r="E918" t="s">
        <v>23</v>
      </c>
      <c r="F918" t="s">
        <v>51</v>
      </c>
      <c r="G918" t="s">
        <v>52</v>
      </c>
      <c r="H918" t="s">
        <v>102</v>
      </c>
      <c r="I918" t="s">
        <v>125</v>
      </c>
      <c r="J918" t="s">
        <v>93</v>
      </c>
      <c r="K918">
        <v>1</v>
      </c>
      <c r="L918" s="8">
        <v>32600</v>
      </c>
      <c r="M918" s="8" t="str">
        <f t="shared" si="85"/>
        <v>1-10%</v>
      </c>
      <c r="N918">
        <v>10</v>
      </c>
      <c r="O918" t="str">
        <f t="shared" si="86"/>
        <v>Valid</v>
      </c>
      <c r="P918" t="str">
        <f t="shared" si="87"/>
        <v>Match</v>
      </c>
      <c r="Q918" s="8">
        <v>32600</v>
      </c>
      <c r="R918" s="8">
        <v>3260</v>
      </c>
      <c r="S918" s="8">
        <v>29340</v>
      </c>
      <c r="T918" s="8">
        <v>21877.93</v>
      </c>
      <c r="U918" s="8">
        <v>7462.07</v>
      </c>
      <c r="V918" s="8" t="b">
        <f t="shared" si="88"/>
        <v>0</v>
      </c>
      <c r="W918" s="8">
        <f t="shared" si="89"/>
        <v>0</v>
      </c>
      <c r="X918" t="s">
        <v>55</v>
      </c>
      <c r="Y918" t="s">
        <v>89</v>
      </c>
      <c r="Z918" t="s">
        <v>64</v>
      </c>
      <c r="AA918">
        <v>3.5</v>
      </c>
      <c r="AB918" t="s">
        <v>151</v>
      </c>
      <c r="AC918" t="s">
        <v>67</v>
      </c>
    </row>
    <row r="919" spans="1:29" x14ac:dyDescent="0.3">
      <c r="A919" t="s">
        <v>1049</v>
      </c>
      <c r="B919" s="6">
        <v>45864</v>
      </c>
      <c r="C919" s="6" t="str">
        <f t="shared" si="84"/>
        <v>12 PM - 4 PM</v>
      </c>
      <c r="D919" s="4">
        <v>0.65069444444444446</v>
      </c>
      <c r="E919" t="s">
        <v>23</v>
      </c>
      <c r="F919" t="s">
        <v>51</v>
      </c>
      <c r="G919" t="s">
        <v>153</v>
      </c>
      <c r="H919" t="s">
        <v>26</v>
      </c>
      <c r="I919" t="s">
        <v>98</v>
      </c>
      <c r="J919" t="s">
        <v>35</v>
      </c>
      <c r="K919">
        <v>1</v>
      </c>
      <c r="L919" s="8">
        <v>3900</v>
      </c>
      <c r="M919" s="8" t="str">
        <f t="shared" si="85"/>
        <v>11-20%</v>
      </c>
      <c r="N919">
        <v>20</v>
      </c>
      <c r="O919" t="str">
        <f t="shared" si="86"/>
        <v>Valid</v>
      </c>
      <c r="P919" t="str">
        <f t="shared" si="87"/>
        <v>Match</v>
      </c>
      <c r="Q919" s="8">
        <v>3900</v>
      </c>
      <c r="R919" s="8">
        <v>780</v>
      </c>
      <c r="S919" s="8">
        <v>3120</v>
      </c>
      <c r="T919" s="8">
        <v>2784.77</v>
      </c>
      <c r="U919" s="8">
        <v>335.23</v>
      </c>
      <c r="V919" s="8" t="b">
        <f t="shared" si="88"/>
        <v>0</v>
      </c>
      <c r="W919" s="8">
        <f t="shared" si="89"/>
        <v>0</v>
      </c>
      <c r="X919" t="s">
        <v>36</v>
      </c>
      <c r="Y919" t="s">
        <v>104</v>
      </c>
      <c r="Z919" t="s">
        <v>80</v>
      </c>
      <c r="AA919">
        <v>5</v>
      </c>
      <c r="AB919" t="s">
        <v>29</v>
      </c>
      <c r="AC919" t="s">
        <v>71</v>
      </c>
    </row>
    <row r="920" spans="1:29" x14ac:dyDescent="0.3">
      <c r="A920" t="s">
        <v>1050</v>
      </c>
      <c r="B920" s="6">
        <v>45988</v>
      </c>
      <c r="C920" s="6" t="str">
        <f t="shared" si="84"/>
        <v>4 AM - 8 AM</v>
      </c>
      <c r="D920" s="4">
        <v>0.17708333333333334</v>
      </c>
      <c r="E920" t="s">
        <v>622</v>
      </c>
      <c r="F920" t="s">
        <v>24</v>
      </c>
      <c r="G920" t="s">
        <v>61</v>
      </c>
      <c r="H920" t="s">
        <v>43</v>
      </c>
      <c r="I920" t="s">
        <v>54</v>
      </c>
      <c r="J920" t="s">
        <v>35</v>
      </c>
      <c r="K920">
        <v>1</v>
      </c>
      <c r="L920" s="8">
        <v>27150</v>
      </c>
      <c r="M920" s="8" t="str">
        <f t="shared" si="85"/>
        <v>21-30%</v>
      </c>
      <c r="N920">
        <v>30</v>
      </c>
      <c r="O920" t="str">
        <f t="shared" si="86"/>
        <v>Valid</v>
      </c>
      <c r="P920" t="str">
        <f t="shared" si="87"/>
        <v>Match</v>
      </c>
      <c r="Q920" s="8">
        <v>27150</v>
      </c>
      <c r="R920" s="8">
        <v>8145</v>
      </c>
      <c r="S920" s="8">
        <v>19005</v>
      </c>
      <c r="T920" s="8">
        <v>16204.82</v>
      </c>
      <c r="U920" s="8">
        <v>2800.18</v>
      </c>
      <c r="V920" s="8" t="b">
        <f t="shared" si="88"/>
        <v>0</v>
      </c>
      <c r="W920" s="8">
        <f t="shared" si="89"/>
        <v>0</v>
      </c>
      <c r="X920" t="s">
        <v>55</v>
      </c>
      <c r="Y920" t="s">
        <v>94</v>
      </c>
      <c r="Z920" t="s">
        <v>80</v>
      </c>
      <c r="AA920">
        <v>4</v>
      </c>
      <c r="AB920" t="s">
        <v>75</v>
      </c>
      <c r="AC920" t="s">
        <v>67</v>
      </c>
    </row>
    <row r="921" spans="1:29" x14ac:dyDescent="0.3">
      <c r="A921" t="s">
        <v>1051</v>
      </c>
      <c r="B921" s="6">
        <v>45979</v>
      </c>
      <c r="C921" s="6" t="str">
        <f t="shared" si="84"/>
        <v>4 AM - 8 AM</v>
      </c>
      <c r="D921" s="4">
        <v>0.20347222222222222</v>
      </c>
      <c r="E921" t="s">
        <v>69</v>
      </c>
      <c r="F921" t="s">
        <v>51</v>
      </c>
      <c r="G921" t="s">
        <v>73</v>
      </c>
      <c r="H921" t="s">
        <v>53</v>
      </c>
      <c r="I921" t="s">
        <v>63</v>
      </c>
      <c r="J921" t="s">
        <v>35</v>
      </c>
      <c r="K921">
        <v>1</v>
      </c>
      <c r="L921" s="8">
        <v>1800</v>
      </c>
      <c r="M921" s="8" t="str">
        <f t="shared" si="85"/>
        <v>21-30%</v>
      </c>
      <c r="N921">
        <v>25</v>
      </c>
      <c r="O921" t="str">
        <f t="shared" si="86"/>
        <v>Valid</v>
      </c>
      <c r="P921" t="str">
        <f t="shared" si="87"/>
        <v>Match</v>
      </c>
      <c r="Q921" s="8">
        <v>1800</v>
      </c>
      <c r="R921" s="8">
        <v>450</v>
      </c>
      <c r="S921" s="8">
        <v>1350</v>
      </c>
      <c r="T921" s="8">
        <v>1108.42</v>
      </c>
      <c r="U921" s="8">
        <v>241.58</v>
      </c>
      <c r="V921" s="8" t="b">
        <f t="shared" si="88"/>
        <v>0</v>
      </c>
      <c r="W921" s="8">
        <f t="shared" si="89"/>
        <v>0</v>
      </c>
      <c r="X921" t="s">
        <v>55</v>
      </c>
      <c r="Y921" t="s">
        <v>89</v>
      </c>
      <c r="Z921" t="s">
        <v>56</v>
      </c>
      <c r="AA921">
        <v>3</v>
      </c>
      <c r="AB921" t="s">
        <v>75</v>
      </c>
      <c r="AC921" t="s">
        <v>86</v>
      </c>
    </row>
    <row r="922" spans="1:29" x14ac:dyDescent="0.3">
      <c r="A922" t="s">
        <v>1052</v>
      </c>
      <c r="B922" s="6">
        <v>46000</v>
      </c>
      <c r="C922" s="6" t="str">
        <f t="shared" si="84"/>
        <v>12 AM - 4 AM</v>
      </c>
      <c r="D922" s="4">
        <v>0.15</v>
      </c>
      <c r="E922" t="s">
        <v>23</v>
      </c>
      <c r="F922" t="s">
        <v>96</v>
      </c>
      <c r="G922" t="s">
        <v>145</v>
      </c>
      <c r="H922" t="s">
        <v>74</v>
      </c>
      <c r="I922" t="s">
        <v>44</v>
      </c>
      <c r="J922" t="s">
        <v>35</v>
      </c>
      <c r="K922">
        <v>2</v>
      </c>
      <c r="L922" s="8">
        <v>3050</v>
      </c>
      <c r="M922" s="8" t="str">
        <f t="shared" si="85"/>
        <v>1-10%</v>
      </c>
      <c r="N922">
        <v>5</v>
      </c>
      <c r="O922" t="str">
        <f t="shared" si="86"/>
        <v>Valid</v>
      </c>
      <c r="P922" t="str">
        <f t="shared" si="87"/>
        <v>Match</v>
      </c>
      <c r="Q922" s="8">
        <v>6100</v>
      </c>
      <c r="R922" s="8">
        <v>305</v>
      </c>
      <c r="S922" s="8">
        <v>5795</v>
      </c>
      <c r="T922" s="8">
        <v>3341.39</v>
      </c>
      <c r="U922" s="8">
        <v>2453.61</v>
      </c>
      <c r="V922" s="8" t="b">
        <f t="shared" si="88"/>
        <v>0</v>
      </c>
      <c r="W922" s="8">
        <f t="shared" si="89"/>
        <v>0</v>
      </c>
      <c r="X922" t="s">
        <v>36</v>
      </c>
      <c r="Y922" t="s">
        <v>89</v>
      </c>
      <c r="Z922" t="s">
        <v>45</v>
      </c>
      <c r="AA922">
        <v>3.5</v>
      </c>
      <c r="AB922" t="s">
        <v>39</v>
      </c>
      <c r="AC922" t="s">
        <v>86</v>
      </c>
    </row>
    <row r="923" spans="1:29" x14ac:dyDescent="0.3">
      <c r="A923" t="s">
        <v>1053</v>
      </c>
      <c r="B923" s="6">
        <v>45818</v>
      </c>
      <c r="C923" s="6" t="str">
        <f t="shared" si="84"/>
        <v>8 AM - 12 PM</v>
      </c>
      <c r="D923" s="4">
        <v>0.49791666666666667</v>
      </c>
      <c r="E923" t="s">
        <v>108</v>
      </c>
      <c r="F923" t="s">
        <v>51</v>
      </c>
      <c r="G923" t="s">
        <v>73</v>
      </c>
      <c r="H923" t="s">
        <v>43</v>
      </c>
      <c r="I923" t="s">
        <v>98</v>
      </c>
      <c r="J923" t="s">
        <v>35</v>
      </c>
      <c r="K923">
        <v>1</v>
      </c>
      <c r="L923" s="8">
        <v>6500</v>
      </c>
      <c r="M923" s="8" t="str">
        <f t="shared" si="85"/>
        <v>21-30%</v>
      </c>
      <c r="N923">
        <v>30</v>
      </c>
      <c r="O923" t="str">
        <f t="shared" si="86"/>
        <v>Valid</v>
      </c>
      <c r="P923" t="str">
        <f t="shared" si="87"/>
        <v>Match</v>
      </c>
      <c r="Q923" s="8">
        <v>6500</v>
      </c>
      <c r="R923" s="8">
        <v>1950</v>
      </c>
      <c r="S923" s="8">
        <v>4550</v>
      </c>
      <c r="T923" s="8">
        <v>4379.93</v>
      </c>
      <c r="U923" s="8">
        <v>170.07</v>
      </c>
      <c r="V923" s="8" t="b">
        <f t="shared" si="88"/>
        <v>0</v>
      </c>
      <c r="W923" s="8">
        <f t="shared" si="89"/>
        <v>0</v>
      </c>
      <c r="X923" t="s">
        <v>230</v>
      </c>
      <c r="Y923" t="s">
        <v>89</v>
      </c>
      <c r="Z923" t="s">
        <v>85</v>
      </c>
      <c r="AA923">
        <v>4</v>
      </c>
      <c r="AB923" t="s">
        <v>48</v>
      </c>
      <c r="AC923" t="s">
        <v>86</v>
      </c>
    </row>
    <row r="924" spans="1:29" x14ac:dyDescent="0.3">
      <c r="A924" t="s">
        <v>1054</v>
      </c>
      <c r="B924" s="6">
        <v>45674</v>
      </c>
      <c r="C924" s="6" t="str">
        <f t="shared" si="84"/>
        <v>4 AM - 8 AM</v>
      </c>
      <c r="D924" s="4">
        <v>0.17291666666666666</v>
      </c>
      <c r="E924" t="s">
        <v>60</v>
      </c>
      <c r="F924" t="s">
        <v>51</v>
      </c>
      <c r="G924" t="s">
        <v>153</v>
      </c>
      <c r="H924" t="s">
        <v>34</v>
      </c>
      <c r="I924" t="s">
        <v>103</v>
      </c>
      <c r="J924" t="s">
        <v>45</v>
      </c>
      <c r="K924">
        <v>1</v>
      </c>
      <c r="L924" s="8">
        <v>2500</v>
      </c>
      <c r="M924" s="8" t="str">
        <f t="shared" si="85"/>
        <v>0%</v>
      </c>
      <c r="N924">
        <v>0</v>
      </c>
      <c r="O924" t="str">
        <f t="shared" si="86"/>
        <v>Valid</v>
      </c>
      <c r="P924" t="str">
        <f t="shared" si="87"/>
        <v>Match</v>
      </c>
      <c r="Q924" s="8">
        <v>2500</v>
      </c>
      <c r="R924" s="8">
        <v>0</v>
      </c>
      <c r="S924" s="8">
        <v>2500</v>
      </c>
      <c r="T924" s="8">
        <v>1612.17</v>
      </c>
      <c r="U924" s="8">
        <v>887.83</v>
      </c>
      <c r="V924" s="8" t="b">
        <f t="shared" si="88"/>
        <v>0</v>
      </c>
      <c r="W924" s="8">
        <f t="shared" si="89"/>
        <v>0</v>
      </c>
      <c r="X924" t="s">
        <v>28</v>
      </c>
      <c r="Y924" t="s">
        <v>37</v>
      </c>
      <c r="Z924" t="s">
        <v>80</v>
      </c>
      <c r="AA924">
        <v>4</v>
      </c>
      <c r="AB924" t="s">
        <v>151</v>
      </c>
      <c r="AC924" t="s">
        <v>58</v>
      </c>
    </row>
    <row r="925" spans="1:29" x14ac:dyDescent="0.3">
      <c r="A925" t="s">
        <v>1055</v>
      </c>
      <c r="B925" s="6">
        <v>45778</v>
      </c>
      <c r="C925" s="6" t="str">
        <f t="shared" si="84"/>
        <v>12 PM - 4 PM</v>
      </c>
      <c r="D925" s="4">
        <v>0.55069444444444449</v>
      </c>
      <c r="E925" t="s">
        <v>23</v>
      </c>
      <c r="F925" t="s">
        <v>51</v>
      </c>
      <c r="G925" t="s">
        <v>140</v>
      </c>
      <c r="H925" t="s">
        <v>53</v>
      </c>
      <c r="I925" t="s">
        <v>44</v>
      </c>
      <c r="J925" t="s">
        <v>35</v>
      </c>
      <c r="K925">
        <v>2</v>
      </c>
      <c r="L925" s="8">
        <v>3700</v>
      </c>
      <c r="M925" s="8" t="str">
        <f t="shared" si="85"/>
        <v>11-20%</v>
      </c>
      <c r="N925">
        <v>15</v>
      </c>
      <c r="O925" t="str">
        <f t="shared" si="86"/>
        <v>Valid</v>
      </c>
      <c r="P925" t="str">
        <f t="shared" si="87"/>
        <v>Match</v>
      </c>
      <c r="Q925" s="8">
        <v>7400</v>
      </c>
      <c r="R925" s="8">
        <v>1110</v>
      </c>
      <c r="S925" s="8">
        <v>6290</v>
      </c>
      <c r="T925" s="8">
        <v>5159.91</v>
      </c>
      <c r="U925" s="8">
        <v>1130.0899999999999</v>
      </c>
      <c r="V925" s="8" t="b">
        <f t="shared" si="88"/>
        <v>0</v>
      </c>
      <c r="W925" s="8">
        <f t="shared" si="89"/>
        <v>0</v>
      </c>
      <c r="X925" t="s">
        <v>79</v>
      </c>
      <c r="Y925" t="s">
        <v>94</v>
      </c>
      <c r="Z925" t="s">
        <v>80</v>
      </c>
      <c r="AA925">
        <v>4</v>
      </c>
      <c r="AB925" t="s">
        <v>111</v>
      </c>
      <c r="AC925" t="s">
        <v>67</v>
      </c>
    </row>
    <row r="926" spans="1:29" x14ac:dyDescent="0.3">
      <c r="A926" t="s">
        <v>1056</v>
      </c>
      <c r="B926" s="6">
        <v>45941</v>
      </c>
      <c r="C926" s="6" t="str">
        <f t="shared" si="84"/>
        <v>8 AM - 12 PM</v>
      </c>
      <c r="D926" s="4">
        <v>0.37638888888888888</v>
      </c>
      <c r="E926" t="s">
        <v>77</v>
      </c>
      <c r="F926" t="s">
        <v>24</v>
      </c>
      <c r="G926" t="s">
        <v>88</v>
      </c>
      <c r="H926" t="s">
        <v>43</v>
      </c>
      <c r="I926" t="s">
        <v>54</v>
      </c>
      <c r="J926" t="s">
        <v>35</v>
      </c>
      <c r="K926" t="s">
        <v>1057</v>
      </c>
      <c r="L926" s="8">
        <v>4900</v>
      </c>
      <c r="M926" s="8" t="str">
        <f t="shared" si="85"/>
        <v>21-30%</v>
      </c>
      <c r="N926">
        <v>25</v>
      </c>
      <c r="O926" t="str">
        <f t="shared" si="86"/>
        <v>Valid</v>
      </c>
      <c r="P926" t="str">
        <f t="shared" si="87"/>
        <v>Match</v>
      </c>
      <c r="Q926" s="8">
        <v>14700</v>
      </c>
      <c r="R926" s="8">
        <v>3675</v>
      </c>
      <c r="S926" s="8">
        <v>11025</v>
      </c>
      <c r="T926" s="8">
        <v>9515.39</v>
      </c>
      <c r="U926" s="8">
        <v>1509.61</v>
      </c>
      <c r="V926" s="8" t="b">
        <f t="shared" si="88"/>
        <v>0</v>
      </c>
      <c r="W926" s="8">
        <f t="shared" si="89"/>
        <v>0</v>
      </c>
      <c r="X926" t="s">
        <v>36</v>
      </c>
      <c r="Y926" t="s">
        <v>65</v>
      </c>
      <c r="Z926" t="s">
        <v>45</v>
      </c>
      <c r="AA926">
        <v>4.5</v>
      </c>
      <c r="AB926" t="s">
        <v>57</v>
      </c>
      <c r="AC926" t="s">
        <v>71</v>
      </c>
    </row>
    <row r="927" spans="1:29" x14ac:dyDescent="0.3">
      <c r="A927" t="s">
        <v>1058</v>
      </c>
      <c r="B927" s="6">
        <v>45909</v>
      </c>
      <c r="C927" s="6" t="str">
        <f t="shared" si="84"/>
        <v>12 PM - 4 PM</v>
      </c>
      <c r="D927" s="4">
        <v>0.64375000000000004</v>
      </c>
      <c r="E927" t="s">
        <v>77</v>
      </c>
      <c r="F927" t="s">
        <v>24</v>
      </c>
      <c r="G927" t="s">
        <v>120</v>
      </c>
      <c r="H927" t="s">
        <v>34</v>
      </c>
      <c r="I927" t="s">
        <v>92</v>
      </c>
      <c r="J927" t="s">
        <v>93</v>
      </c>
      <c r="K927">
        <v>2</v>
      </c>
      <c r="L927" s="8">
        <v>13800</v>
      </c>
      <c r="M927" s="8" t="str">
        <f t="shared" si="85"/>
        <v>11-20%</v>
      </c>
      <c r="N927">
        <v>20</v>
      </c>
      <c r="O927" t="str">
        <f t="shared" si="86"/>
        <v>Valid</v>
      </c>
      <c r="P927" t="str">
        <f t="shared" si="87"/>
        <v>Match</v>
      </c>
      <c r="Q927" s="8">
        <v>27600</v>
      </c>
      <c r="R927" s="8">
        <v>5520</v>
      </c>
      <c r="S927" s="8">
        <v>22080</v>
      </c>
      <c r="T927" s="8">
        <v>18648.580000000002</v>
      </c>
      <c r="U927" s="8">
        <v>3431.42</v>
      </c>
      <c r="V927" s="8" t="b">
        <f t="shared" si="88"/>
        <v>0</v>
      </c>
      <c r="W927" s="8">
        <f t="shared" si="89"/>
        <v>0</v>
      </c>
      <c r="X927" t="s">
        <v>46</v>
      </c>
      <c r="Y927" t="s">
        <v>104</v>
      </c>
      <c r="Z927" t="s">
        <v>64</v>
      </c>
      <c r="AA927">
        <v>4.5</v>
      </c>
      <c r="AB927" t="s">
        <v>155</v>
      </c>
      <c r="AC927" t="s">
        <v>86</v>
      </c>
    </row>
    <row r="928" spans="1:29" x14ac:dyDescent="0.3">
      <c r="A928" t="s">
        <v>1059</v>
      </c>
      <c r="B928" s="6">
        <v>45698</v>
      </c>
      <c r="C928" s="6" t="str">
        <f t="shared" si="84"/>
        <v>12 AM - 4 AM</v>
      </c>
      <c r="D928" s="4">
        <v>1.1111111111111112E-2</v>
      </c>
      <c r="E928" t="s">
        <v>23</v>
      </c>
      <c r="F928" t="s">
        <v>51</v>
      </c>
      <c r="G928" t="s">
        <v>73</v>
      </c>
      <c r="H928" t="s">
        <v>102</v>
      </c>
      <c r="I928" t="s">
        <v>103</v>
      </c>
      <c r="J928" t="s">
        <v>93</v>
      </c>
      <c r="K928">
        <v>1</v>
      </c>
      <c r="L928" s="8">
        <v>6450</v>
      </c>
      <c r="M928" s="8" t="str">
        <f t="shared" si="85"/>
        <v>11-20%</v>
      </c>
      <c r="N928">
        <v>20</v>
      </c>
      <c r="O928" t="str">
        <f t="shared" si="86"/>
        <v>Valid</v>
      </c>
      <c r="P928" t="str">
        <f t="shared" si="87"/>
        <v>Match</v>
      </c>
      <c r="Q928" s="8">
        <v>6450</v>
      </c>
      <c r="R928" s="8">
        <v>1290</v>
      </c>
      <c r="S928" s="8">
        <v>5160</v>
      </c>
      <c r="T928" s="8">
        <v>3361.45</v>
      </c>
      <c r="U928" s="8">
        <v>1798.55</v>
      </c>
      <c r="V928" s="8" t="b">
        <f t="shared" si="88"/>
        <v>0</v>
      </c>
      <c r="W928" s="8">
        <f t="shared" si="89"/>
        <v>0</v>
      </c>
      <c r="X928" t="s">
        <v>36</v>
      </c>
      <c r="Y928" t="s">
        <v>89</v>
      </c>
      <c r="Z928" t="s">
        <v>45</v>
      </c>
      <c r="AA928">
        <v>3</v>
      </c>
      <c r="AB928" t="s">
        <v>66</v>
      </c>
      <c r="AC928" t="s">
        <v>49</v>
      </c>
    </row>
    <row r="929" spans="1:29" x14ac:dyDescent="0.3">
      <c r="A929" t="s">
        <v>1060</v>
      </c>
      <c r="B929" s="6">
        <v>45856</v>
      </c>
      <c r="C929" s="6" t="str">
        <f t="shared" si="84"/>
        <v>8 PM - 12 AM</v>
      </c>
      <c r="D929" s="4">
        <v>0.95486111111111116</v>
      </c>
      <c r="E929" t="s">
        <v>69</v>
      </c>
      <c r="F929" t="s">
        <v>51</v>
      </c>
      <c r="G929" t="s">
        <v>122</v>
      </c>
      <c r="H929" t="s">
        <v>74</v>
      </c>
      <c r="I929" t="s">
        <v>63</v>
      </c>
      <c r="J929" t="s">
        <v>35</v>
      </c>
      <c r="K929">
        <v>1</v>
      </c>
      <c r="L929" s="8">
        <v>5300</v>
      </c>
      <c r="M929" s="8" t="str">
        <f t="shared" si="85"/>
        <v>21-30%</v>
      </c>
      <c r="N929">
        <v>25</v>
      </c>
      <c r="O929" t="str">
        <f t="shared" si="86"/>
        <v>Valid</v>
      </c>
      <c r="P929" t="str">
        <f t="shared" si="87"/>
        <v>Match</v>
      </c>
      <c r="Q929" s="8">
        <v>5300</v>
      </c>
      <c r="R929" s="8">
        <v>1325</v>
      </c>
      <c r="S929" s="8">
        <v>3975</v>
      </c>
      <c r="T929" s="8">
        <v>2798.62</v>
      </c>
      <c r="U929" s="8">
        <v>1176.3800000000001</v>
      </c>
      <c r="V929" s="8" t="b">
        <f t="shared" si="88"/>
        <v>0</v>
      </c>
      <c r="W929" s="8">
        <f t="shared" si="89"/>
        <v>0</v>
      </c>
      <c r="X929" t="s">
        <v>79</v>
      </c>
      <c r="Y929" t="s">
        <v>104</v>
      </c>
      <c r="Z929" t="s">
        <v>45</v>
      </c>
      <c r="AA929">
        <v>5</v>
      </c>
      <c r="AB929" t="s">
        <v>29</v>
      </c>
      <c r="AC929" t="s">
        <v>58</v>
      </c>
    </row>
    <row r="930" spans="1:29" x14ac:dyDescent="0.3">
      <c r="A930" t="s">
        <v>1061</v>
      </c>
      <c r="B930" s="6">
        <v>45902</v>
      </c>
      <c r="C930" s="6" t="str">
        <f t="shared" si="84"/>
        <v>12 PM - 4 PM</v>
      </c>
      <c r="D930" s="4">
        <v>0.63402777777777775</v>
      </c>
      <c r="E930" t="s">
        <v>622</v>
      </c>
      <c r="F930" t="s">
        <v>24</v>
      </c>
      <c r="G930" t="s">
        <v>33</v>
      </c>
      <c r="H930" t="s">
        <v>74</v>
      </c>
      <c r="I930" t="s">
        <v>54</v>
      </c>
      <c r="J930" t="s">
        <v>35</v>
      </c>
      <c r="K930">
        <v>2</v>
      </c>
      <c r="L930" s="8">
        <v>3950</v>
      </c>
      <c r="M930" s="8" t="str">
        <f t="shared" si="85"/>
        <v>1-10%</v>
      </c>
      <c r="N930">
        <v>5</v>
      </c>
      <c r="O930" t="str">
        <f t="shared" si="86"/>
        <v>Valid</v>
      </c>
      <c r="P930" t="str">
        <f t="shared" si="87"/>
        <v>Match</v>
      </c>
      <c r="Q930" s="8">
        <v>7900</v>
      </c>
      <c r="R930" s="8">
        <v>395</v>
      </c>
      <c r="S930" s="8">
        <v>7505</v>
      </c>
      <c r="T930" s="8">
        <v>5262.1</v>
      </c>
      <c r="U930" s="8">
        <v>2242.9</v>
      </c>
      <c r="V930" s="8" t="b">
        <f t="shared" si="88"/>
        <v>0</v>
      </c>
      <c r="W930" s="8">
        <f t="shared" si="89"/>
        <v>0</v>
      </c>
      <c r="X930" t="s">
        <v>36</v>
      </c>
      <c r="Y930" t="s">
        <v>65</v>
      </c>
      <c r="Z930" t="s">
        <v>85</v>
      </c>
      <c r="AA930">
        <v>4.5</v>
      </c>
      <c r="AB930" t="s">
        <v>155</v>
      </c>
      <c r="AC930" t="s">
        <v>86</v>
      </c>
    </row>
    <row r="931" spans="1:29" x14ac:dyDescent="0.3">
      <c r="A931" t="s">
        <v>1062</v>
      </c>
      <c r="B931" s="6">
        <v>45727</v>
      </c>
      <c r="C931" s="6" t="str">
        <f t="shared" si="84"/>
        <v>12 PM - 4 PM</v>
      </c>
      <c r="D931" s="4">
        <v>0.64652777777777781</v>
      </c>
      <c r="E931" t="s">
        <v>69</v>
      </c>
      <c r="F931" t="s">
        <v>24</v>
      </c>
      <c r="G931" t="s">
        <v>110</v>
      </c>
      <c r="H931" t="s">
        <v>74</v>
      </c>
      <c r="I931" t="s">
        <v>82</v>
      </c>
      <c r="J931" t="s">
        <v>45</v>
      </c>
      <c r="K931">
        <v>1</v>
      </c>
      <c r="L931" s="8">
        <v>5850</v>
      </c>
      <c r="M931" s="8" t="str">
        <f t="shared" si="85"/>
        <v>11-20%</v>
      </c>
      <c r="N931">
        <v>15</v>
      </c>
      <c r="O931" t="str">
        <f t="shared" si="86"/>
        <v>Valid</v>
      </c>
      <c r="P931" t="str">
        <f t="shared" si="87"/>
        <v>Match</v>
      </c>
      <c r="Q931" s="8">
        <v>5850</v>
      </c>
      <c r="R931" s="8">
        <v>877.5</v>
      </c>
      <c r="S931" s="8">
        <v>4972.5</v>
      </c>
      <c r="T931" s="8">
        <v>3913.34</v>
      </c>
      <c r="U931" s="8">
        <v>1059.1600000000001</v>
      </c>
      <c r="V931" s="8" t="b">
        <f t="shared" si="88"/>
        <v>0</v>
      </c>
      <c r="W931" s="8">
        <f t="shared" si="89"/>
        <v>0</v>
      </c>
      <c r="X931" t="s">
        <v>28</v>
      </c>
      <c r="Y931" t="s">
        <v>37</v>
      </c>
      <c r="Z931" t="s">
        <v>80</v>
      </c>
      <c r="AA931">
        <v>5</v>
      </c>
      <c r="AB931" t="s">
        <v>127</v>
      </c>
      <c r="AC931" t="s">
        <v>86</v>
      </c>
    </row>
    <row r="932" spans="1:29" x14ac:dyDescent="0.3">
      <c r="A932" t="s">
        <v>1063</v>
      </c>
      <c r="B932" s="6">
        <v>45967</v>
      </c>
      <c r="C932" s="6" t="str">
        <f t="shared" si="84"/>
        <v>4 PM - 8 PM</v>
      </c>
      <c r="D932" s="4">
        <v>0.75555555555555554</v>
      </c>
      <c r="E932" t="s">
        <v>69</v>
      </c>
      <c r="F932" t="s">
        <v>24</v>
      </c>
      <c r="G932" t="s">
        <v>120</v>
      </c>
      <c r="H932" t="s">
        <v>74</v>
      </c>
      <c r="I932" t="s">
        <v>92</v>
      </c>
      <c r="J932" t="s">
        <v>85</v>
      </c>
      <c r="K932">
        <v>0</v>
      </c>
      <c r="L932" s="8">
        <v>8500</v>
      </c>
      <c r="M932" s="8" t="str">
        <f t="shared" si="85"/>
        <v>1-10%</v>
      </c>
      <c r="N932">
        <v>10</v>
      </c>
      <c r="O932" t="str">
        <f t="shared" si="86"/>
        <v>Valid</v>
      </c>
      <c r="P932" t="str">
        <f t="shared" si="87"/>
        <v>Match</v>
      </c>
      <c r="Q932" s="8">
        <v>25500</v>
      </c>
      <c r="R932" s="8">
        <v>2550</v>
      </c>
      <c r="S932" s="8">
        <v>22950</v>
      </c>
      <c r="T932" s="8">
        <v>17568.150000000001</v>
      </c>
      <c r="U932" s="8">
        <v>5381.85</v>
      </c>
      <c r="V932" s="8" t="b">
        <f t="shared" si="88"/>
        <v>0</v>
      </c>
      <c r="W932" s="8">
        <f t="shared" si="89"/>
        <v>0</v>
      </c>
      <c r="X932" t="s">
        <v>230</v>
      </c>
      <c r="Y932" t="s">
        <v>47</v>
      </c>
      <c r="Z932" t="s">
        <v>38</v>
      </c>
      <c r="AA932">
        <v>4</v>
      </c>
      <c r="AB932" t="s">
        <v>75</v>
      </c>
      <c r="AC932" t="s">
        <v>67</v>
      </c>
    </row>
    <row r="933" spans="1:29" x14ac:dyDescent="0.3">
      <c r="A933" t="s">
        <v>1064</v>
      </c>
      <c r="B933" s="6">
        <v>45986</v>
      </c>
      <c r="C933" s="6" t="str">
        <f t="shared" si="84"/>
        <v>12 PM - 4 PM</v>
      </c>
      <c r="D933" s="4">
        <v>0.56041666666666667</v>
      </c>
      <c r="E933" t="s">
        <v>77</v>
      </c>
      <c r="F933" t="s">
        <v>51</v>
      </c>
      <c r="G933" t="s">
        <v>153</v>
      </c>
      <c r="H933" t="s">
        <v>113</v>
      </c>
      <c r="I933" t="s">
        <v>63</v>
      </c>
      <c r="J933" t="s">
        <v>93</v>
      </c>
      <c r="K933">
        <v>2</v>
      </c>
      <c r="L933" s="8">
        <v>1650</v>
      </c>
      <c r="M933" s="8" t="str">
        <f t="shared" si="85"/>
        <v>0%</v>
      </c>
      <c r="N933">
        <v>0</v>
      </c>
      <c r="O933" t="str">
        <f t="shared" si="86"/>
        <v>Valid</v>
      </c>
      <c r="P933" t="str">
        <f t="shared" si="87"/>
        <v>Match</v>
      </c>
      <c r="Q933" s="8">
        <v>3300</v>
      </c>
      <c r="R933" s="8">
        <v>0</v>
      </c>
      <c r="S933" s="8">
        <v>3300</v>
      </c>
      <c r="T933" s="8">
        <v>1817.84</v>
      </c>
      <c r="U933" s="8">
        <v>1482.16</v>
      </c>
      <c r="V933" s="8" t="b">
        <f t="shared" si="88"/>
        <v>0</v>
      </c>
      <c r="W933" s="8">
        <f t="shared" si="89"/>
        <v>0</v>
      </c>
      <c r="X933" t="s">
        <v>46</v>
      </c>
      <c r="Y933" t="s">
        <v>47</v>
      </c>
      <c r="Z933" t="s">
        <v>38</v>
      </c>
      <c r="AA933">
        <v>4.5</v>
      </c>
      <c r="AB933" t="s">
        <v>75</v>
      </c>
      <c r="AC933" t="s">
        <v>86</v>
      </c>
    </row>
    <row r="934" spans="1:29" x14ac:dyDescent="0.3">
      <c r="A934" t="s">
        <v>1065</v>
      </c>
      <c r="B934" s="6">
        <v>46014</v>
      </c>
      <c r="C934" s="6" t="str">
        <f t="shared" si="84"/>
        <v>8 AM - 12 PM</v>
      </c>
      <c r="D934" s="4">
        <v>0.40555555555555556</v>
      </c>
      <c r="E934" t="s">
        <v>32</v>
      </c>
      <c r="F934" t="s">
        <v>51</v>
      </c>
      <c r="G934" t="s">
        <v>73</v>
      </c>
      <c r="H934" t="s">
        <v>113</v>
      </c>
      <c r="I934" t="s">
        <v>103</v>
      </c>
      <c r="J934" t="s">
        <v>35</v>
      </c>
      <c r="K934">
        <v>2</v>
      </c>
      <c r="L934" s="8">
        <v>6350</v>
      </c>
      <c r="M934" s="8" t="str">
        <f t="shared" si="85"/>
        <v>1-10%</v>
      </c>
      <c r="N934">
        <v>5</v>
      </c>
      <c r="O934" t="str">
        <f t="shared" si="86"/>
        <v>Valid</v>
      </c>
      <c r="P934" t="str">
        <f t="shared" si="87"/>
        <v>Match</v>
      </c>
      <c r="Q934" s="8">
        <v>12700</v>
      </c>
      <c r="R934" s="8">
        <v>635</v>
      </c>
      <c r="S934" s="8">
        <v>12065</v>
      </c>
      <c r="T934" s="8">
        <v>8031.52</v>
      </c>
      <c r="U934" s="8">
        <v>4033.48</v>
      </c>
      <c r="V934" s="8" t="b">
        <f t="shared" si="88"/>
        <v>0</v>
      </c>
      <c r="W934" s="8">
        <f t="shared" si="89"/>
        <v>0</v>
      </c>
      <c r="X934" t="s">
        <v>55</v>
      </c>
      <c r="Y934" t="s">
        <v>37</v>
      </c>
      <c r="Z934" t="s">
        <v>45</v>
      </c>
      <c r="AA934">
        <v>5</v>
      </c>
      <c r="AB934" t="s">
        <v>39</v>
      </c>
      <c r="AC934" t="s">
        <v>86</v>
      </c>
    </row>
    <row r="935" spans="1:29" x14ac:dyDescent="0.3">
      <c r="A935" t="s">
        <v>1066</v>
      </c>
      <c r="B935" s="6">
        <v>45991</v>
      </c>
      <c r="C935" s="6" t="str">
        <f t="shared" si="84"/>
        <v>4 PM - 8 PM</v>
      </c>
      <c r="D935" s="4">
        <v>0.74513888888888891</v>
      </c>
      <c r="E935" t="s">
        <v>622</v>
      </c>
      <c r="F935" t="s">
        <v>24</v>
      </c>
      <c r="G935" t="s">
        <v>61</v>
      </c>
      <c r="H935" t="s">
        <v>53</v>
      </c>
      <c r="I935" t="s">
        <v>54</v>
      </c>
      <c r="J935" t="s">
        <v>78</v>
      </c>
      <c r="K935">
        <v>3</v>
      </c>
      <c r="L935" s="8">
        <v>23850</v>
      </c>
      <c r="M935" s="8" t="str">
        <f t="shared" si="85"/>
        <v>11-20%</v>
      </c>
      <c r="N935">
        <v>20</v>
      </c>
      <c r="O935" t="str">
        <f t="shared" si="86"/>
        <v>Valid</v>
      </c>
      <c r="P935" t="str">
        <f t="shared" si="87"/>
        <v>Match</v>
      </c>
      <c r="Q935" s="8">
        <v>71550</v>
      </c>
      <c r="R935" s="8">
        <v>14310</v>
      </c>
      <c r="S935" s="8">
        <v>57240</v>
      </c>
      <c r="T935" s="8">
        <v>38747.18</v>
      </c>
      <c r="U935" s="8">
        <v>18492.82</v>
      </c>
      <c r="V935" s="8" t="b">
        <f t="shared" si="88"/>
        <v>0</v>
      </c>
      <c r="W935" s="8">
        <f t="shared" si="89"/>
        <v>0</v>
      </c>
      <c r="X935" t="s">
        <v>28</v>
      </c>
      <c r="Y935" t="s">
        <v>104</v>
      </c>
      <c r="Z935" t="s">
        <v>85</v>
      </c>
      <c r="AA935">
        <v>3.5</v>
      </c>
      <c r="AB935" t="s">
        <v>75</v>
      </c>
      <c r="AC935" t="s">
        <v>30</v>
      </c>
    </row>
    <row r="936" spans="1:29" x14ac:dyDescent="0.3">
      <c r="A936" t="s">
        <v>1067</v>
      </c>
      <c r="B936" s="6">
        <v>45796</v>
      </c>
      <c r="C936" s="6" t="str">
        <f t="shared" si="84"/>
        <v>12 AM - 4 AM</v>
      </c>
      <c r="D936" s="4">
        <v>6.1805555555555558E-2</v>
      </c>
      <c r="E936" t="s">
        <v>32</v>
      </c>
      <c r="F936" t="s">
        <v>24</v>
      </c>
      <c r="G936" t="s">
        <v>25</v>
      </c>
      <c r="H936" t="s">
        <v>113</v>
      </c>
      <c r="I936" t="s">
        <v>54</v>
      </c>
      <c r="J936" t="s">
        <v>78</v>
      </c>
      <c r="K936">
        <v>1</v>
      </c>
      <c r="L936" s="8">
        <v>3050</v>
      </c>
      <c r="M936" s="8" t="str">
        <f t="shared" si="85"/>
        <v>21-30%</v>
      </c>
      <c r="N936">
        <v>30</v>
      </c>
      <c r="O936" t="str">
        <f t="shared" si="86"/>
        <v>Valid</v>
      </c>
      <c r="P936" t="str">
        <f t="shared" si="87"/>
        <v>Match</v>
      </c>
      <c r="Q936" s="8">
        <v>3050</v>
      </c>
      <c r="R936" s="8">
        <v>915</v>
      </c>
      <c r="S936" s="8">
        <v>2135</v>
      </c>
      <c r="T936" s="8">
        <v>2053.37</v>
      </c>
      <c r="U936" s="8">
        <v>81.63</v>
      </c>
      <c r="V936" s="8" t="b">
        <f t="shared" si="88"/>
        <v>0</v>
      </c>
      <c r="W936" s="8">
        <f t="shared" si="89"/>
        <v>0</v>
      </c>
      <c r="X936" t="s">
        <v>46</v>
      </c>
      <c r="Y936" t="s">
        <v>37</v>
      </c>
      <c r="Z936" t="s">
        <v>56</v>
      </c>
      <c r="AA936">
        <v>4</v>
      </c>
      <c r="AB936" t="s">
        <v>111</v>
      </c>
      <c r="AC936" t="s">
        <v>49</v>
      </c>
    </row>
    <row r="937" spans="1:29" x14ac:dyDescent="0.3">
      <c r="A937" t="s">
        <v>1068</v>
      </c>
      <c r="B937" s="6">
        <v>45819</v>
      </c>
      <c r="C937" s="6" t="str">
        <f t="shared" si="84"/>
        <v>12 AM - 4 AM</v>
      </c>
      <c r="D937" s="4">
        <v>9.6527777777777782E-2</v>
      </c>
      <c r="E937" t="s">
        <v>622</v>
      </c>
      <c r="F937" t="s">
        <v>96</v>
      </c>
      <c r="G937" t="s">
        <v>134</v>
      </c>
      <c r="H937" t="s">
        <v>34</v>
      </c>
      <c r="I937" t="s">
        <v>63</v>
      </c>
      <c r="J937" t="s">
        <v>78</v>
      </c>
      <c r="K937">
        <v>5</v>
      </c>
      <c r="L937" s="8">
        <v>2000</v>
      </c>
      <c r="M937" s="8" t="str">
        <f t="shared" si="85"/>
        <v>11-20%</v>
      </c>
      <c r="N937">
        <v>15</v>
      </c>
      <c r="O937" t="str">
        <f t="shared" si="86"/>
        <v>Valid</v>
      </c>
      <c r="P937" t="str">
        <f t="shared" si="87"/>
        <v>Match</v>
      </c>
      <c r="Q937" s="8">
        <v>10000</v>
      </c>
      <c r="R937" s="8">
        <v>1500</v>
      </c>
      <c r="S937" s="8">
        <v>8500</v>
      </c>
      <c r="T937" s="8">
        <v>5300.5</v>
      </c>
      <c r="U937" s="8">
        <v>3199.5</v>
      </c>
      <c r="V937" s="8" t="b">
        <f t="shared" si="88"/>
        <v>0</v>
      </c>
      <c r="W937" s="8">
        <f t="shared" si="89"/>
        <v>0</v>
      </c>
      <c r="X937" t="s">
        <v>79</v>
      </c>
      <c r="Y937" t="s">
        <v>94</v>
      </c>
      <c r="Z937" t="s">
        <v>38</v>
      </c>
      <c r="AA937">
        <v>4.5</v>
      </c>
      <c r="AB937" t="s">
        <v>48</v>
      </c>
      <c r="AC937" t="s">
        <v>40</v>
      </c>
    </row>
    <row r="938" spans="1:29" x14ac:dyDescent="0.3">
      <c r="A938" t="s">
        <v>1069</v>
      </c>
      <c r="B938" s="6">
        <v>45889</v>
      </c>
      <c r="C938" s="6" t="str">
        <f t="shared" si="84"/>
        <v>4 PM - 8 PM</v>
      </c>
      <c r="D938" s="4">
        <v>0.80763888888888891</v>
      </c>
      <c r="E938" t="s">
        <v>108</v>
      </c>
      <c r="F938" t="s">
        <v>51</v>
      </c>
      <c r="G938" t="s">
        <v>101</v>
      </c>
      <c r="H938" t="s">
        <v>43</v>
      </c>
      <c r="I938" t="s">
        <v>63</v>
      </c>
      <c r="J938" t="s">
        <v>45</v>
      </c>
      <c r="K938">
        <v>2</v>
      </c>
      <c r="L938" s="8">
        <v>13950</v>
      </c>
      <c r="M938" s="8" t="str">
        <f t="shared" si="85"/>
        <v>11-20%</v>
      </c>
      <c r="N938">
        <v>20</v>
      </c>
      <c r="O938" t="str">
        <f t="shared" si="86"/>
        <v>Valid</v>
      </c>
      <c r="P938" t="str">
        <f t="shared" si="87"/>
        <v>Match</v>
      </c>
      <c r="Q938" s="8">
        <v>27900</v>
      </c>
      <c r="R938" s="8">
        <v>5580</v>
      </c>
      <c r="S938" s="8">
        <v>22320</v>
      </c>
      <c r="T938" s="8">
        <v>20028.830000000002</v>
      </c>
      <c r="U938" s="8">
        <v>2291.17</v>
      </c>
      <c r="V938" s="8" t="b">
        <f t="shared" si="88"/>
        <v>0</v>
      </c>
      <c r="W938" s="8">
        <f t="shared" si="89"/>
        <v>0</v>
      </c>
      <c r="X938" t="s">
        <v>46</v>
      </c>
      <c r="Y938" t="s">
        <v>37</v>
      </c>
      <c r="Z938" t="s">
        <v>38</v>
      </c>
      <c r="AA938">
        <v>3.5</v>
      </c>
      <c r="AB938" t="s">
        <v>90</v>
      </c>
      <c r="AC938" t="s">
        <v>40</v>
      </c>
    </row>
    <row r="939" spans="1:29" x14ac:dyDescent="0.3">
      <c r="A939" t="s">
        <v>1070</v>
      </c>
      <c r="B939" s="6">
        <v>45944</v>
      </c>
      <c r="C939" s="6" t="str">
        <f t="shared" si="84"/>
        <v>12 AM - 4 AM</v>
      </c>
      <c r="D939" s="4">
        <v>0.10555555555555556</v>
      </c>
      <c r="E939" t="s">
        <v>60</v>
      </c>
      <c r="F939" t="s">
        <v>24</v>
      </c>
      <c r="G939" t="s">
        <v>88</v>
      </c>
      <c r="H939" t="s">
        <v>102</v>
      </c>
      <c r="I939" t="s">
        <v>82</v>
      </c>
      <c r="J939" t="s">
        <v>35</v>
      </c>
      <c r="K939">
        <v>1</v>
      </c>
      <c r="L939" s="8">
        <v>3100</v>
      </c>
      <c r="M939" s="8" t="str">
        <f t="shared" si="85"/>
        <v>11-20%</v>
      </c>
      <c r="N939">
        <v>15</v>
      </c>
      <c r="O939" t="str">
        <f t="shared" si="86"/>
        <v>Valid</v>
      </c>
      <c r="P939" t="str">
        <f t="shared" si="87"/>
        <v>Match</v>
      </c>
      <c r="Q939" s="8">
        <v>3100</v>
      </c>
      <c r="R939" s="8">
        <v>465</v>
      </c>
      <c r="S939" s="8">
        <v>2635</v>
      </c>
      <c r="T939" s="8">
        <v>1957.25</v>
      </c>
      <c r="U939" s="8">
        <v>677.75</v>
      </c>
      <c r="V939" s="8" t="b">
        <f t="shared" si="88"/>
        <v>0</v>
      </c>
      <c r="W939" s="8">
        <f t="shared" si="89"/>
        <v>0</v>
      </c>
      <c r="X939" t="s">
        <v>28</v>
      </c>
      <c r="Y939" t="s">
        <v>104</v>
      </c>
      <c r="Z939" t="s">
        <v>80</v>
      </c>
      <c r="AA939">
        <v>4</v>
      </c>
      <c r="AB939" t="s">
        <v>57</v>
      </c>
      <c r="AC939" t="s">
        <v>86</v>
      </c>
    </row>
    <row r="940" spans="1:29" x14ac:dyDescent="0.3">
      <c r="A940" t="s">
        <v>1071</v>
      </c>
      <c r="B940" s="6">
        <v>46004</v>
      </c>
      <c r="C940" s="6" t="str">
        <f t="shared" si="84"/>
        <v>12 PM - 4 PM</v>
      </c>
      <c r="D940" s="4">
        <v>0.52152777777777781</v>
      </c>
      <c r="E940" t="s">
        <v>23</v>
      </c>
      <c r="F940" t="s">
        <v>24</v>
      </c>
      <c r="G940" t="s">
        <v>84</v>
      </c>
      <c r="H940" t="s">
        <v>74</v>
      </c>
      <c r="I940" t="s">
        <v>98</v>
      </c>
      <c r="J940" t="s">
        <v>45</v>
      </c>
      <c r="K940">
        <v>2</v>
      </c>
      <c r="L940" s="8">
        <v>10100</v>
      </c>
      <c r="M940" s="8" t="str">
        <f t="shared" si="85"/>
        <v>21-30%</v>
      </c>
      <c r="N940">
        <v>30</v>
      </c>
      <c r="O940" t="str">
        <f t="shared" si="86"/>
        <v>Valid</v>
      </c>
      <c r="P940" t="str">
        <f t="shared" si="87"/>
        <v>Match</v>
      </c>
      <c r="Q940" s="8">
        <v>20200</v>
      </c>
      <c r="R940" s="8">
        <v>6060</v>
      </c>
      <c r="S940" s="8">
        <v>14140</v>
      </c>
      <c r="T940" s="8">
        <v>11604.13</v>
      </c>
      <c r="U940" s="8">
        <v>2535.87</v>
      </c>
      <c r="V940" s="8" t="b">
        <f t="shared" si="88"/>
        <v>0</v>
      </c>
      <c r="W940" s="8">
        <f t="shared" si="89"/>
        <v>0</v>
      </c>
      <c r="X940" t="s">
        <v>28</v>
      </c>
      <c r="Y940" t="s">
        <v>47</v>
      </c>
      <c r="Z940" t="s">
        <v>64</v>
      </c>
      <c r="AA940">
        <v>4</v>
      </c>
      <c r="AB940" t="s">
        <v>39</v>
      </c>
      <c r="AC940" t="s">
        <v>71</v>
      </c>
    </row>
    <row r="941" spans="1:29" x14ac:dyDescent="0.3">
      <c r="A941" t="s">
        <v>1072</v>
      </c>
      <c r="B941" s="6">
        <f ca="1">DATE(VALUE(RIGHT(Table1[[#This Row],[Order_Date]],4)),VALUE(LEFT(Table1[[#This Row],[Order_Date]],2)),VALUE(MID(Table1[[#This Row],[Order_Date]],4,2)))</f>
        <v>45889</v>
      </c>
      <c r="C941" s="6" t="str">
        <f t="shared" si="84"/>
        <v>12 AM - 4 AM</v>
      </c>
      <c r="E941" t="s">
        <v>108</v>
      </c>
      <c r="F941" t="s">
        <v>24</v>
      </c>
      <c r="G941" t="s">
        <v>25</v>
      </c>
      <c r="H941" t="s">
        <v>34</v>
      </c>
      <c r="I941" t="s">
        <v>98</v>
      </c>
      <c r="J941" t="s">
        <v>78</v>
      </c>
      <c r="K941">
        <v>1</v>
      </c>
      <c r="L941" s="8">
        <v>3350</v>
      </c>
      <c r="M941" s="8" t="str">
        <f t="shared" si="85"/>
        <v>0%</v>
      </c>
      <c r="N941">
        <v>0</v>
      </c>
      <c r="O941" t="str">
        <f t="shared" si="86"/>
        <v>Valid</v>
      </c>
      <c r="P941" t="str">
        <f t="shared" si="87"/>
        <v>Match</v>
      </c>
      <c r="Q941" s="8">
        <v>3350</v>
      </c>
      <c r="R941" s="8">
        <v>0</v>
      </c>
      <c r="S941" s="8">
        <v>3350</v>
      </c>
      <c r="T941" s="8">
        <v>2142.06</v>
      </c>
      <c r="U941" s="8">
        <v>1207.94</v>
      </c>
      <c r="V941" s="8" t="b">
        <f t="shared" si="88"/>
        <v>0</v>
      </c>
      <c r="W941" s="8">
        <f t="shared" si="89"/>
        <v>0</v>
      </c>
      <c r="X941" t="s">
        <v>36</v>
      </c>
      <c r="Y941" t="s">
        <v>89</v>
      </c>
      <c r="Z941" t="s">
        <v>80</v>
      </c>
      <c r="AA941">
        <v>3</v>
      </c>
      <c r="AB941" t="s">
        <v>90</v>
      </c>
      <c r="AC941" t="s">
        <v>40</v>
      </c>
    </row>
    <row r="942" spans="1:29" x14ac:dyDescent="0.3">
      <c r="A942" t="s">
        <v>1073</v>
      </c>
      <c r="B942" s="6">
        <v>45733</v>
      </c>
      <c r="C942" s="6" t="str">
        <f t="shared" si="84"/>
        <v>12 PM - 4 PM</v>
      </c>
      <c r="D942" s="4">
        <v>0.57916666666666672</v>
      </c>
      <c r="E942" t="s">
        <v>23</v>
      </c>
      <c r="F942" t="s">
        <v>24</v>
      </c>
      <c r="G942" t="s">
        <v>110</v>
      </c>
      <c r="H942" t="s">
        <v>113</v>
      </c>
      <c r="I942" t="s">
        <v>98</v>
      </c>
      <c r="J942" t="s">
        <v>45</v>
      </c>
      <c r="K942">
        <v>2</v>
      </c>
      <c r="L942" s="8">
        <v>1600</v>
      </c>
      <c r="M942" s="8" t="str">
        <f t="shared" si="85"/>
        <v>21-30%</v>
      </c>
      <c r="N942">
        <v>25</v>
      </c>
      <c r="O942" t="str">
        <f t="shared" si="86"/>
        <v>Valid</v>
      </c>
      <c r="P942" t="str">
        <f t="shared" si="87"/>
        <v>Match</v>
      </c>
      <c r="Q942" s="8">
        <v>3200</v>
      </c>
      <c r="R942" s="8">
        <v>800</v>
      </c>
      <c r="S942" s="8">
        <v>2400</v>
      </c>
      <c r="T942" s="8">
        <v>2114.42</v>
      </c>
      <c r="U942" s="8">
        <v>285.58</v>
      </c>
      <c r="V942" s="8" t="b">
        <f t="shared" si="88"/>
        <v>0</v>
      </c>
      <c r="W942" s="8">
        <f t="shared" si="89"/>
        <v>0</v>
      </c>
      <c r="X942" t="s">
        <v>36</v>
      </c>
      <c r="Y942" t="s">
        <v>65</v>
      </c>
      <c r="Z942" t="s">
        <v>45</v>
      </c>
      <c r="AA942">
        <v>4</v>
      </c>
      <c r="AB942" t="s">
        <v>127</v>
      </c>
      <c r="AC942" t="s">
        <v>49</v>
      </c>
    </row>
    <row r="943" spans="1:29" x14ac:dyDescent="0.3">
      <c r="A943" t="s">
        <v>1074</v>
      </c>
      <c r="B943" s="6">
        <v>45833</v>
      </c>
      <c r="C943" s="6" t="str">
        <f t="shared" si="84"/>
        <v>4 AM - 8 AM</v>
      </c>
      <c r="D943" s="4">
        <v>0.21249999999999999</v>
      </c>
      <c r="E943" t="s">
        <v>60</v>
      </c>
      <c r="F943" t="s">
        <v>96</v>
      </c>
      <c r="G943" t="s">
        <v>97</v>
      </c>
      <c r="H943" t="s">
        <v>74</v>
      </c>
      <c r="I943" t="s">
        <v>44</v>
      </c>
      <c r="J943" t="s">
        <v>35</v>
      </c>
      <c r="K943">
        <v>1</v>
      </c>
      <c r="L943" s="8">
        <v>4250</v>
      </c>
      <c r="M943" s="8" t="str">
        <f t="shared" si="85"/>
        <v>11-20%</v>
      </c>
      <c r="N943">
        <v>15</v>
      </c>
      <c r="O943" t="str">
        <f t="shared" si="86"/>
        <v>Valid</v>
      </c>
      <c r="P943" t="str">
        <f t="shared" si="87"/>
        <v>Match</v>
      </c>
      <c r="Q943" s="8">
        <v>4250</v>
      </c>
      <c r="R943" s="8">
        <v>637.5</v>
      </c>
      <c r="S943" s="8">
        <v>3612.5</v>
      </c>
      <c r="T943" s="8">
        <v>2339.5100000000002</v>
      </c>
      <c r="U943" s="8">
        <v>1272.99</v>
      </c>
      <c r="V943" s="8" t="b">
        <f t="shared" si="88"/>
        <v>0</v>
      </c>
      <c r="W943" s="8">
        <f t="shared" si="89"/>
        <v>0</v>
      </c>
      <c r="X943" t="s">
        <v>36</v>
      </c>
      <c r="Y943" t="s">
        <v>89</v>
      </c>
      <c r="Z943" t="s">
        <v>38</v>
      </c>
      <c r="AA943">
        <v>4</v>
      </c>
      <c r="AB943" t="s">
        <v>48</v>
      </c>
      <c r="AC943" t="s">
        <v>40</v>
      </c>
    </row>
    <row r="944" spans="1:29" x14ac:dyDescent="0.3">
      <c r="A944" t="s">
        <v>1075</v>
      </c>
      <c r="B944" s="6">
        <v>45662</v>
      </c>
      <c r="C944" s="6" t="str">
        <f t="shared" si="84"/>
        <v>12 AM - 4 AM</v>
      </c>
      <c r="D944" s="4">
        <v>0.1451388888888889</v>
      </c>
      <c r="E944" t="s">
        <v>60</v>
      </c>
      <c r="F944" t="s">
        <v>51</v>
      </c>
      <c r="G944" t="s">
        <v>140</v>
      </c>
      <c r="H944" t="s">
        <v>113</v>
      </c>
      <c r="I944" t="s">
        <v>98</v>
      </c>
      <c r="J944" t="s">
        <v>78</v>
      </c>
      <c r="K944">
        <v>3</v>
      </c>
      <c r="L944" s="8">
        <v>4000</v>
      </c>
      <c r="M944" s="8" t="str">
        <f t="shared" si="85"/>
        <v>21-30%</v>
      </c>
      <c r="N944">
        <v>30</v>
      </c>
      <c r="O944" t="str">
        <f t="shared" si="86"/>
        <v>Valid</v>
      </c>
      <c r="P944" t="str">
        <f t="shared" si="87"/>
        <v>Match</v>
      </c>
      <c r="Q944" s="8">
        <v>12000</v>
      </c>
      <c r="R944" s="8">
        <v>3600</v>
      </c>
      <c r="S944" s="8">
        <v>8400</v>
      </c>
      <c r="T944" s="8">
        <v>8080.16</v>
      </c>
      <c r="U944" s="8">
        <v>319.83999999999997</v>
      </c>
      <c r="V944" s="8" t="b">
        <f t="shared" si="88"/>
        <v>0</v>
      </c>
      <c r="W944" s="8">
        <f t="shared" si="89"/>
        <v>0</v>
      </c>
      <c r="X944" t="s">
        <v>36</v>
      </c>
      <c r="Y944" t="s">
        <v>37</v>
      </c>
      <c r="Z944" t="s">
        <v>80</v>
      </c>
      <c r="AA944">
        <v>3.5</v>
      </c>
      <c r="AB944" t="s">
        <v>151</v>
      </c>
      <c r="AC944" t="s">
        <v>30</v>
      </c>
    </row>
    <row r="945" spans="1:29" x14ac:dyDescent="0.3">
      <c r="A945" t="s">
        <v>1076</v>
      </c>
      <c r="B945" s="6">
        <v>45775</v>
      </c>
      <c r="C945" s="6" t="str">
        <f t="shared" si="84"/>
        <v>8 PM - 12 AM</v>
      </c>
      <c r="D945" s="4">
        <v>0.89097222222222228</v>
      </c>
      <c r="E945" t="s">
        <v>60</v>
      </c>
      <c r="F945" t="s">
        <v>24</v>
      </c>
      <c r="G945" t="s">
        <v>120</v>
      </c>
      <c r="H945" t="s">
        <v>62</v>
      </c>
      <c r="I945" t="s">
        <v>63</v>
      </c>
      <c r="J945" t="s">
        <v>85</v>
      </c>
      <c r="K945">
        <v>3</v>
      </c>
      <c r="L945" s="8">
        <v>11950</v>
      </c>
      <c r="M945" s="8" t="str">
        <f t="shared" si="85"/>
        <v>0%</v>
      </c>
      <c r="N945">
        <v>0</v>
      </c>
      <c r="O945" t="str">
        <f t="shared" si="86"/>
        <v>Valid</v>
      </c>
      <c r="P945" t="str">
        <f t="shared" si="87"/>
        <v>Match</v>
      </c>
      <c r="Q945" s="8">
        <v>35850</v>
      </c>
      <c r="R945" s="8">
        <v>0</v>
      </c>
      <c r="S945" s="8">
        <v>35850</v>
      </c>
      <c r="T945" s="8">
        <v>20113.63</v>
      </c>
      <c r="U945" s="8">
        <v>15736.37</v>
      </c>
      <c r="V945" s="8" t="b">
        <f t="shared" si="88"/>
        <v>0</v>
      </c>
      <c r="W945" s="8">
        <f t="shared" si="89"/>
        <v>0</v>
      </c>
      <c r="X945" t="s">
        <v>46</v>
      </c>
      <c r="Y945" t="s">
        <v>104</v>
      </c>
      <c r="Z945" t="s">
        <v>38</v>
      </c>
      <c r="AA945">
        <v>5</v>
      </c>
      <c r="AB945" t="s">
        <v>99</v>
      </c>
      <c r="AC945" t="s">
        <v>49</v>
      </c>
    </row>
    <row r="946" spans="1:29" x14ac:dyDescent="0.3">
      <c r="A946" t="s">
        <v>1077</v>
      </c>
      <c r="B946" s="6">
        <v>45708</v>
      </c>
      <c r="C946" s="6" t="str">
        <f t="shared" si="84"/>
        <v>12 AM - 4 AM</v>
      </c>
      <c r="D946" s="4">
        <v>0.12777777777777777</v>
      </c>
      <c r="E946" t="s">
        <v>60</v>
      </c>
      <c r="F946" t="s">
        <v>51</v>
      </c>
      <c r="G946" t="s">
        <v>122</v>
      </c>
      <c r="H946" t="s">
        <v>113</v>
      </c>
      <c r="I946" t="s">
        <v>98</v>
      </c>
      <c r="J946" t="s">
        <v>85</v>
      </c>
      <c r="K946">
        <v>1</v>
      </c>
      <c r="L946" s="8">
        <v>4650</v>
      </c>
      <c r="M946" s="8" t="str">
        <f t="shared" si="85"/>
        <v>1-10%</v>
      </c>
      <c r="N946">
        <v>10</v>
      </c>
      <c r="O946" t="str">
        <f t="shared" si="86"/>
        <v>Valid</v>
      </c>
      <c r="P946" t="str">
        <f t="shared" si="87"/>
        <v>Match</v>
      </c>
      <c r="Q946" s="8">
        <v>4650</v>
      </c>
      <c r="R946" s="8">
        <v>465</v>
      </c>
      <c r="S946" s="8">
        <v>4185</v>
      </c>
      <c r="T946" s="8">
        <v>3365.92</v>
      </c>
      <c r="U946" s="8">
        <v>819.08</v>
      </c>
      <c r="V946" s="8" t="b">
        <f t="shared" si="88"/>
        <v>0</v>
      </c>
      <c r="W946" s="8">
        <f t="shared" si="89"/>
        <v>0</v>
      </c>
      <c r="X946" t="s">
        <v>79</v>
      </c>
      <c r="Y946" t="s">
        <v>89</v>
      </c>
      <c r="Z946" t="s">
        <v>64</v>
      </c>
      <c r="AA946">
        <v>5</v>
      </c>
      <c r="AB946" t="s">
        <v>66</v>
      </c>
      <c r="AC946" t="s">
        <v>67</v>
      </c>
    </row>
    <row r="947" spans="1:29" x14ac:dyDescent="0.3">
      <c r="A947" t="s">
        <v>1078</v>
      </c>
      <c r="B947" s="6">
        <v>45942</v>
      </c>
      <c r="C947" s="6" t="str">
        <f t="shared" si="84"/>
        <v>12 PM - 4 PM</v>
      </c>
      <c r="D947" s="4">
        <v>0.6333333333333333</v>
      </c>
      <c r="E947" t="s">
        <v>294</v>
      </c>
      <c r="F947" t="s">
        <v>24</v>
      </c>
      <c r="G947" t="s">
        <v>61</v>
      </c>
      <c r="H947" t="s">
        <v>74</v>
      </c>
      <c r="I947" t="s">
        <v>63</v>
      </c>
      <c r="J947" t="s">
        <v>35</v>
      </c>
      <c r="K947">
        <v>3</v>
      </c>
      <c r="L947" s="8">
        <v>22000</v>
      </c>
      <c r="M947" s="8" t="str">
        <f t="shared" si="85"/>
        <v>1-10%</v>
      </c>
      <c r="N947">
        <v>5</v>
      </c>
      <c r="O947" t="str">
        <f t="shared" si="86"/>
        <v>Valid</v>
      </c>
      <c r="P947" t="str">
        <f t="shared" si="87"/>
        <v>Match</v>
      </c>
      <c r="Q947" s="8">
        <v>66000</v>
      </c>
      <c r="R947" s="8">
        <v>3300</v>
      </c>
      <c r="S947" s="8">
        <v>62700</v>
      </c>
      <c r="T947" s="8">
        <v>48117.04</v>
      </c>
      <c r="U947" s="8">
        <v>14582.96</v>
      </c>
      <c r="V947" s="8" t="b">
        <f t="shared" si="88"/>
        <v>0</v>
      </c>
      <c r="W947" s="8">
        <f t="shared" si="89"/>
        <v>0</v>
      </c>
      <c r="X947" t="s">
        <v>36</v>
      </c>
      <c r="Y947" t="s">
        <v>37</v>
      </c>
      <c r="Z947" t="s">
        <v>38</v>
      </c>
      <c r="AA947">
        <v>3</v>
      </c>
      <c r="AB947" t="s">
        <v>57</v>
      </c>
      <c r="AC947" t="s">
        <v>30</v>
      </c>
    </row>
    <row r="948" spans="1:29" x14ac:dyDescent="0.3">
      <c r="A948" t="s">
        <v>1079</v>
      </c>
      <c r="B948" s="6">
        <v>45942</v>
      </c>
      <c r="C948" s="6" t="str">
        <f t="shared" si="84"/>
        <v>8 AM - 12 PM</v>
      </c>
      <c r="D948" s="4">
        <v>0.33888888888888891</v>
      </c>
      <c r="E948" t="s">
        <v>23</v>
      </c>
      <c r="F948" t="s">
        <v>24</v>
      </c>
      <c r="G948" t="s">
        <v>84</v>
      </c>
      <c r="H948" t="s">
        <v>26</v>
      </c>
      <c r="I948" t="s">
        <v>27</v>
      </c>
      <c r="J948" t="s">
        <v>45</v>
      </c>
      <c r="K948">
        <v>1</v>
      </c>
      <c r="L948" s="8">
        <v>26200</v>
      </c>
      <c r="M948" s="8" t="str">
        <f t="shared" si="85"/>
        <v>0%</v>
      </c>
      <c r="N948">
        <v>0</v>
      </c>
      <c r="O948" t="str">
        <f t="shared" si="86"/>
        <v>Valid</v>
      </c>
      <c r="P948" t="str">
        <f t="shared" si="87"/>
        <v>Match</v>
      </c>
      <c r="Q948" s="8">
        <v>26200</v>
      </c>
      <c r="R948" s="8">
        <v>0</v>
      </c>
      <c r="S948" s="8">
        <v>26200</v>
      </c>
      <c r="T948" s="8">
        <v>16093.92</v>
      </c>
      <c r="U948" s="8">
        <v>10106.08</v>
      </c>
      <c r="V948" s="8" t="b">
        <f t="shared" si="88"/>
        <v>0</v>
      </c>
      <c r="W948" s="8">
        <f t="shared" si="89"/>
        <v>0</v>
      </c>
      <c r="X948" t="s">
        <v>46</v>
      </c>
      <c r="Y948" t="s">
        <v>70</v>
      </c>
      <c r="Z948" t="s">
        <v>56</v>
      </c>
      <c r="AA948">
        <v>4</v>
      </c>
      <c r="AB948" t="s">
        <v>57</v>
      </c>
      <c r="AC948" t="s">
        <v>30</v>
      </c>
    </row>
    <row r="949" spans="1:29" x14ac:dyDescent="0.3">
      <c r="A949" t="s">
        <v>1080</v>
      </c>
      <c r="B949" s="6">
        <v>45934</v>
      </c>
      <c r="C949" s="6" t="str">
        <f t="shared" si="84"/>
        <v>12 AM - 4 AM</v>
      </c>
      <c r="D949" s="4">
        <v>0.13750000000000001</v>
      </c>
      <c r="E949" t="s">
        <v>60</v>
      </c>
      <c r="F949" t="s">
        <v>24</v>
      </c>
      <c r="G949" t="s">
        <v>120</v>
      </c>
      <c r="H949" t="s">
        <v>53</v>
      </c>
      <c r="I949" t="s">
        <v>92</v>
      </c>
      <c r="J949" t="s">
        <v>35</v>
      </c>
      <c r="K949">
        <v>1</v>
      </c>
      <c r="L949" s="8">
        <v>14600</v>
      </c>
      <c r="M949" s="8" t="str">
        <f t="shared" si="85"/>
        <v>21-30%</v>
      </c>
      <c r="N949">
        <v>25</v>
      </c>
      <c r="O949" t="str">
        <f t="shared" si="86"/>
        <v>Valid</v>
      </c>
      <c r="P949" t="str">
        <f t="shared" si="87"/>
        <v>Match</v>
      </c>
      <c r="Q949" s="8">
        <v>14600</v>
      </c>
      <c r="R949" s="8">
        <v>3650</v>
      </c>
      <c r="S949" s="8">
        <v>10950</v>
      </c>
      <c r="T949" s="8">
        <v>8394.25</v>
      </c>
      <c r="U949" s="8">
        <v>2555.75</v>
      </c>
      <c r="V949" s="8" t="b">
        <f t="shared" si="88"/>
        <v>0</v>
      </c>
      <c r="W949" s="8">
        <f t="shared" si="89"/>
        <v>0</v>
      </c>
      <c r="X949" t="s">
        <v>36</v>
      </c>
      <c r="Y949" t="s">
        <v>89</v>
      </c>
      <c r="Z949" t="s">
        <v>64</v>
      </c>
      <c r="AA949">
        <v>5</v>
      </c>
      <c r="AB949" t="s">
        <v>57</v>
      </c>
      <c r="AC949" t="s">
        <v>71</v>
      </c>
    </row>
    <row r="950" spans="1:29" x14ac:dyDescent="0.3">
      <c r="A950" t="s">
        <v>1081</v>
      </c>
      <c r="B950" s="6">
        <v>45664</v>
      </c>
      <c r="C950" s="6" t="str">
        <f t="shared" si="84"/>
        <v>4 AM - 8 AM</v>
      </c>
      <c r="D950" s="4">
        <v>0.28680555555555554</v>
      </c>
      <c r="E950" t="s">
        <v>23</v>
      </c>
      <c r="F950" t="s">
        <v>24</v>
      </c>
      <c r="G950" t="s">
        <v>42</v>
      </c>
      <c r="H950" t="s">
        <v>113</v>
      </c>
      <c r="I950" t="s">
        <v>63</v>
      </c>
      <c r="J950" t="s">
        <v>93</v>
      </c>
      <c r="K950">
        <v>1</v>
      </c>
      <c r="L950" s="8">
        <v>87300</v>
      </c>
      <c r="M950" s="8" t="str">
        <f t="shared" si="85"/>
        <v>11-20%</v>
      </c>
      <c r="N950">
        <v>20</v>
      </c>
      <c r="O950" t="str">
        <f t="shared" si="86"/>
        <v>Valid</v>
      </c>
      <c r="P950" t="str">
        <f t="shared" si="87"/>
        <v>Match</v>
      </c>
      <c r="Q950" s="8">
        <v>87300</v>
      </c>
      <c r="R950" s="8">
        <v>17460</v>
      </c>
      <c r="S950" s="8">
        <v>69840</v>
      </c>
      <c r="T950" s="8">
        <v>45853.34</v>
      </c>
      <c r="U950" s="8">
        <v>23986.66</v>
      </c>
      <c r="V950" s="8" t="b">
        <f t="shared" si="88"/>
        <v>0</v>
      </c>
      <c r="W950" s="8">
        <f t="shared" si="89"/>
        <v>0</v>
      </c>
      <c r="X950" t="s">
        <v>28</v>
      </c>
      <c r="Y950" t="s">
        <v>104</v>
      </c>
      <c r="Z950" t="s">
        <v>80</v>
      </c>
      <c r="AA950">
        <v>5</v>
      </c>
      <c r="AB950" t="s">
        <v>151</v>
      </c>
      <c r="AC950" t="s">
        <v>86</v>
      </c>
    </row>
    <row r="951" spans="1:29" x14ac:dyDescent="0.3">
      <c r="A951" t="s">
        <v>1082</v>
      </c>
      <c r="B951" s="6">
        <v>45785</v>
      </c>
      <c r="C951" s="6" t="str">
        <f t="shared" si="84"/>
        <v>8 PM - 12 AM</v>
      </c>
      <c r="D951" s="4">
        <v>0.90138888888888891</v>
      </c>
      <c r="E951" t="s">
        <v>77</v>
      </c>
      <c r="F951" t="s">
        <v>51</v>
      </c>
      <c r="G951" t="s">
        <v>52</v>
      </c>
      <c r="H951" t="s">
        <v>102</v>
      </c>
      <c r="I951" t="s">
        <v>125</v>
      </c>
      <c r="J951" t="s">
        <v>64</v>
      </c>
      <c r="K951">
        <v>2</v>
      </c>
      <c r="L951" s="8">
        <v>41900</v>
      </c>
      <c r="M951" s="8" t="str">
        <f t="shared" si="85"/>
        <v>1-10%</v>
      </c>
      <c r="N951">
        <v>10</v>
      </c>
      <c r="O951" t="str">
        <f t="shared" si="86"/>
        <v>Valid</v>
      </c>
      <c r="P951" t="str">
        <f t="shared" si="87"/>
        <v>Match</v>
      </c>
      <c r="Q951" s="8">
        <v>83800</v>
      </c>
      <c r="R951" s="8">
        <v>8380</v>
      </c>
      <c r="S951" s="8">
        <v>75420</v>
      </c>
      <c r="T951" s="8">
        <v>56619.51</v>
      </c>
      <c r="U951" s="8">
        <v>18800.490000000002</v>
      </c>
      <c r="V951" s="8" t="b">
        <f t="shared" si="88"/>
        <v>0</v>
      </c>
      <c r="W951" s="8">
        <f t="shared" si="89"/>
        <v>0</v>
      </c>
      <c r="X951" t="s">
        <v>79</v>
      </c>
      <c r="Y951" t="s">
        <v>104</v>
      </c>
      <c r="Z951" t="s">
        <v>80</v>
      </c>
      <c r="AA951" t="s">
        <v>1139</v>
      </c>
      <c r="AB951" t="s">
        <v>111</v>
      </c>
      <c r="AC951" t="s">
        <v>67</v>
      </c>
    </row>
    <row r="952" spans="1:29" x14ac:dyDescent="0.3">
      <c r="A952" t="s">
        <v>1083</v>
      </c>
      <c r="B952" s="6">
        <v>45715</v>
      </c>
      <c r="C952" s="6" t="str">
        <f t="shared" si="84"/>
        <v>4 PM - 8 PM</v>
      </c>
      <c r="D952" s="4">
        <v>0.75</v>
      </c>
      <c r="E952" t="s">
        <v>32</v>
      </c>
      <c r="F952" t="s">
        <v>24</v>
      </c>
      <c r="G952" t="s">
        <v>61</v>
      </c>
      <c r="H952" t="s">
        <v>74</v>
      </c>
      <c r="I952" t="s">
        <v>44</v>
      </c>
      <c r="J952" t="s">
        <v>35</v>
      </c>
      <c r="K952">
        <v>1</v>
      </c>
      <c r="L952" s="8">
        <v>33000</v>
      </c>
      <c r="M952" s="8" t="str">
        <f t="shared" si="85"/>
        <v>1-10%</v>
      </c>
      <c r="N952">
        <v>5</v>
      </c>
      <c r="O952" t="str">
        <f t="shared" si="86"/>
        <v>Valid</v>
      </c>
      <c r="P952" t="str">
        <f t="shared" si="87"/>
        <v>Match</v>
      </c>
      <c r="Q952" s="8">
        <v>33000</v>
      </c>
      <c r="R952" s="8">
        <v>1650</v>
      </c>
      <c r="S952" s="8">
        <v>31350</v>
      </c>
      <c r="T952" s="8">
        <v>19167.75</v>
      </c>
      <c r="U952" s="8">
        <v>12182.25</v>
      </c>
      <c r="V952" s="8" t="b">
        <f t="shared" si="88"/>
        <v>0</v>
      </c>
      <c r="W952" s="8">
        <f t="shared" si="89"/>
        <v>0</v>
      </c>
      <c r="X952" t="s">
        <v>79</v>
      </c>
      <c r="Y952" t="s">
        <v>70</v>
      </c>
      <c r="Z952" t="s">
        <v>38</v>
      </c>
      <c r="AA952">
        <v>4</v>
      </c>
      <c r="AB952" t="s">
        <v>66</v>
      </c>
      <c r="AC952" t="s">
        <v>67</v>
      </c>
    </row>
    <row r="953" spans="1:29" x14ac:dyDescent="0.3">
      <c r="A953" t="s">
        <v>1084</v>
      </c>
      <c r="B953" s="6">
        <v>45782</v>
      </c>
      <c r="C953" s="6" t="str">
        <f t="shared" si="84"/>
        <v>8 AM - 12 PM</v>
      </c>
      <c r="D953" s="4">
        <v>0.42708333333333331</v>
      </c>
      <c r="E953" t="s">
        <v>108</v>
      </c>
      <c r="F953" t="s">
        <v>24</v>
      </c>
      <c r="G953" t="s">
        <v>110</v>
      </c>
      <c r="H953" t="s">
        <v>74</v>
      </c>
      <c r="I953" t="s">
        <v>98</v>
      </c>
      <c r="J953" t="s">
        <v>64</v>
      </c>
      <c r="K953">
        <v>1</v>
      </c>
      <c r="L953" s="8">
        <v>2850</v>
      </c>
      <c r="M953" s="8" t="str">
        <f t="shared" si="85"/>
        <v>11-20%</v>
      </c>
      <c r="N953">
        <v>20</v>
      </c>
      <c r="O953" t="str">
        <f t="shared" si="86"/>
        <v>Valid</v>
      </c>
      <c r="P953" t="str">
        <f t="shared" si="87"/>
        <v>Match</v>
      </c>
      <c r="Q953" s="8">
        <v>2850</v>
      </c>
      <c r="R953" s="8">
        <v>570</v>
      </c>
      <c r="S953" s="8">
        <v>2280</v>
      </c>
      <c r="T953" s="8">
        <v>1665.75</v>
      </c>
      <c r="U953" s="8">
        <v>614.25</v>
      </c>
      <c r="V953" s="8" t="b">
        <f t="shared" si="88"/>
        <v>0</v>
      </c>
      <c r="W953" s="8">
        <f t="shared" si="89"/>
        <v>0</v>
      </c>
      <c r="X953" t="s">
        <v>36</v>
      </c>
      <c r="Y953" t="s">
        <v>104</v>
      </c>
      <c r="Z953" t="s">
        <v>64</v>
      </c>
      <c r="AA953">
        <v>4</v>
      </c>
      <c r="AB953" t="s">
        <v>111</v>
      </c>
      <c r="AC953" t="s">
        <v>49</v>
      </c>
    </row>
    <row r="954" spans="1:29" x14ac:dyDescent="0.3">
      <c r="A954" t="s">
        <v>1085</v>
      </c>
      <c r="B954" s="6">
        <v>45866</v>
      </c>
      <c r="C954" s="6" t="str">
        <f t="shared" si="84"/>
        <v>12 AM - 4 AM</v>
      </c>
      <c r="D954" s="4">
        <v>2.9861111111111113E-2</v>
      </c>
      <c r="E954" t="s">
        <v>69</v>
      </c>
      <c r="F954" t="s">
        <v>51</v>
      </c>
      <c r="G954" t="s">
        <v>73</v>
      </c>
      <c r="H954" t="s">
        <v>62</v>
      </c>
      <c r="I954" t="s">
        <v>98</v>
      </c>
      <c r="J954" t="s">
        <v>93</v>
      </c>
      <c r="K954">
        <v>3</v>
      </c>
      <c r="L954" s="8">
        <v>6300</v>
      </c>
      <c r="M954" s="8" t="str">
        <f t="shared" si="85"/>
        <v>21-30%</v>
      </c>
      <c r="N954">
        <v>25</v>
      </c>
      <c r="O954" t="str">
        <f t="shared" si="86"/>
        <v>Valid</v>
      </c>
      <c r="P954" t="str">
        <f t="shared" si="87"/>
        <v>Match</v>
      </c>
      <c r="Q954" s="8">
        <v>18900</v>
      </c>
      <c r="R954" s="8">
        <v>4725</v>
      </c>
      <c r="S954" s="8">
        <v>14175</v>
      </c>
      <c r="T954" s="8">
        <v>11947.27</v>
      </c>
      <c r="U954" s="8">
        <v>2227.73</v>
      </c>
      <c r="V954" s="8" t="b">
        <f t="shared" si="88"/>
        <v>0</v>
      </c>
      <c r="W954" s="8">
        <f t="shared" si="89"/>
        <v>0</v>
      </c>
      <c r="X954" t="s">
        <v>28</v>
      </c>
      <c r="Y954" t="s">
        <v>70</v>
      </c>
      <c r="Z954" t="s">
        <v>80</v>
      </c>
      <c r="AA954">
        <v>4</v>
      </c>
      <c r="AB954" t="s">
        <v>29</v>
      </c>
      <c r="AC954" t="s">
        <v>49</v>
      </c>
    </row>
    <row r="955" spans="1:29" x14ac:dyDescent="0.3">
      <c r="A955" t="s">
        <v>1086</v>
      </c>
      <c r="B955" s="6">
        <v>45767</v>
      </c>
      <c r="C955" s="6" t="str">
        <f t="shared" si="84"/>
        <v>4 AM - 8 AM</v>
      </c>
      <c r="D955" s="4">
        <v>0.22013888888888888</v>
      </c>
      <c r="E955" t="s">
        <v>60</v>
      </c>
      <c r="F955" t="s">
        <v>51</v>
      </c>
      <c r="G955" t="s">
        <v>101</v>
      </c>
      <c r="H955" t="s">
        <v>102</v>
      </c>
      <c r="I955" t="s">
        <v>98</v>
      </c>
      <c r="J955" t="s">
        <v>35</v>
      </c>
      <c r="K955">
        <v>1</v>
      </c>
      <c r="L955" s="8">
        <v>10950</v>
      </c>
      <c r="M955" s="8" t="str">
        <f t="shared" si="85"/>
        <v>11-20%</v>
      </c>
      <c r="N955">
        <v>15</v>
      </c>
      <c r="O955" t="str">
        <f t="shared" si="86"/>
        <v>Valid</v>
      </c>
      <c r="P955" t="str">
        <f t="shared" si="87"/>
        <v>Match</v>
      </c>
      <c r="Q955" s="8">
        <v>10950</v>
      </c>
      <c r="R955" s="8">
        <v>1642.5</v>
      </c>
      <c r="S955" s="8">
        <v>9307.5</v>
      </c>
      <c r="T955" s="8">
        <v>6110.29</v>
      </c>
      <c r="U955" s="8">
        <v>3197.21</v>
      </c>
      <c r="V955" s="8" t="b">
        <f t="shared" si="88"/>
        <v>0</v>
      </c>
      <c r="W955" s="8">
        <f t="shared" si="89"/>
        <v>0</v>
      </c>
      <c r="X955" t="s">
        <v>28</v>
      </c>
      <c r="Y955" t="s">
        <v>104</v>
      </c>
      <c r="Z955" t="s">
        <v>80</v>
      </c>
      <c r="AA955">
        <v>5</v>
      </c>
      <c r="AB955" t="s">
        <v>99</v>
      </c>
      <c r="AC955" t="s">
        <v>30</v>
      </c>
    </row>
    <row r="956" spans="1:29" x14ac:dyDescent="0.3">
      <c r="A956" t="s">
        <v>1087</v>
      </c>
      <c r="B956" s="6">
        <v>45852</v>
      </c>
      <c r="C956" s="6" t="str">
        <f t="shared" si="84"/>
        <v>4 PM - 8 PM</v>
      </c>
      <c r="D956" s="4">
        <v>0.78611111111111109</v>
      </c>
      <c r="E956" t="s">
        <v>622</v>
      </c>
      <c r="F956" t="s">
        <v>96</v>
      </c>
      <c r="G956" t="s">
        <v>145</v>
      </c>
      <c r="H956" t="s">
        <v>34</v>
      </c>
      <c r="I956" t="s">
        <v>63</v>
      </c>
      <c r="J956" t="s">
        <v>35</v>
      </c>
      <c r="K956">
        <v>1</v>
      </c>
      <c r="L956" s="8">
        <v>1750</v>
      </c>
      <c r="M956" s="8" t="str">
        <f t="shared" si="85"/>
        <v>11-20%</v>
      </c>
      <c r="N956">
        <v>15</v>
      </c>
      <c r="O956" t="str">
        <f t="shared" si="86"/>
        <v>Valid</v>
      </c>
      <c r="P956" t="str">
        <f t="shared" si="87"/>
        <v>Match</v>
      </c>
      <c r="Q956" s="8">
        <v>1750</v>
      </c>
      <c r="R956" s="8">
        <v>262.5</v>
      </c>
      <c r="S956" s="8">
        <v>1487.5</v>
      </c>
      <c r="T956" s="8">
        <v>986.48</v>
      </c>
      <c r="U956" s="8">
        <v>501.02</v>
      </c>
      <c r="V956" s="8" t="b">
        <f t="shared" si="88"/>
        <v>0</v>
      </c>
      <c r="W956" s="8">
        <f t="shared" si="89"/>
        <v>0</v>
      </c>
      <c r="X956" t="s">
        <v>46</v>
      </c>
      <c r="Y956" t="s">
        <v>104</v>
      </c>
      <c r="Z956" t="s">
        <v>64</v>
      </c>
      <c r="AA956">
        <v>3.5</v>
      </c>
      <c r="AB956" t="s">
        <v>29</v>
      </c>
      <c r="AC956" t="s">
        <v>49</v>
      </c>
    </row>
    <row r="957" spans="1:29" x14ac:dyDescent="0.3">
      <c r="A957" t="s">
        <v>1088</v>
      </c>
      <c r="B957" s="6">
        <v>45811</v>
      </c>
      <c r="C957" s="6" t="str">
        <f t="shared" si="84"/>
        <v>4 AM - 8 AM</v>
      </c>
      <c r="D957" s="4">
        <v>0.33055555555555555</v>
      </c>
      <c r="E957" t="s">
        <v>60</v>
      </c>
      <c r="F957" t="s">
        <v>51</v>
      </c>
      <c r="G957" t="s">
        <v>73</v>
      </c>
      <c r="H957" t="s">
        <v>43</v>
      </c>
      <c r="I957" t="s">
        <v>103</v>
      </c>
      <c r="J957" t="s">
        <v>45</v>
      </c>
      <c r="K957">
        <v>1</v>
      </c>
      <c r="L957" s="8">
        <v>5650</v>
      </c>
      <c r="M957" s="8" t="str">
        <f t="shared" si="85"/>
        <v>21-30%</v>
      </c>
      <c r="N957">
        <v>25</v>
      </c>
      <c r="O957" t="str">
        <f t="shared" si="86"/>
        <v>Valid</v>
      </c>
      <c r="P957" t="str">
        <f t="shared" si="87"/>
        <v>Match</v>
      </c>
      <c r="Q957" s="8">
        <v>5650</v>
      </c>
      <c r="R957" s="8">
        <v>1412.5</v>
      </c>
      <c r="S957" s="8">
        <v>4237.5</v>
      </c>
      <c r="T957" s="8">
        <v>4124.24</v>
      </c>
      <c r="U957" s="8">
        <v>113.26</v>
      </c>
      <c r="V957" s="8" t="b">
        <f t="shared" si="88"/>
        <v>0</v>
      </c>
      <c r="W957" s="8">
        <f t="shared" si="89"/>
        <v>0</v>
      </c>
      <c r="X957" t="s">
        <v>79</v>
      </c>
      <c r="Y957" t="s">
        <v>37</v>
      </c>
      <c r="Z957" t="s">
        <v>85</v>
      </c>
      <c r="AA957">
        <v>4.5</v>
      </c>
      <c r="AB957" t="s">
        <v>48</v>
      </c>
      <c r="AC957" t="s">
        <v>86</v>
      </c>
    </row>
    <row r="958" spans="1:29" x14ac:dyDescent="0.3">
      <c r="A958" t="s">
        <v>1089</v>
      </c>
      <c r="B958" s="6">
        <v>46019</v>
      </c>
      <c r="C958" s="6" t="str">
        <f t="shared" si="84"/>
        <v>4 PM - 8 PM</v>
      </c>
      <c r="D958" s="4">
        <v>0.76944444444444449</v>
      </c>
      <c r="E958" t="s">
        <v>622</v>
      </c>
      <c r="F958" t="s">
        <v>24</v>
      </c>
      <c r="G958" t="s">
        <v>84</v>
      </c>
      <c r="H958" t="s">
        <v>62</v>
      </c>
      <c r="I958" t="s">
        <v>98</v>
      </c>
      <c r="J958" t="s">
        <v>93</v>
      </c>
      <c r="K958">
        <v>1</v>
      </c>
      <c r="L958" s="8">
        <v>33750</v>
      </c>
      <c r="M958" s="8" t="str">
        <f t="shared" si="85"/>
        <v>1-10%</v>
      </c>
      <c r="N958">
        <v>5</v>
      </c>
      <c r="O958" t="str">
        <f t="shared" si="86"/>
        <v>Valid</v>
      </c>
      <c r="P958" t="str">
        <f t="shared" si="87"/>
        <v>Match</v>
      </c>
      <c r="Q958" s="8">
        <v>33750</v>
      </c>
      <c r="R958" s="8">
        <v>1687.5</v>
      </c>
      <c r="S958" s="8">
        <v>32062.5</v>
      </c>
      <c r="T958" s="8">
        <v>19371.25</v>
      </c>
      <c r="U958" s="8">
        <v>12691.25</v>
      </c>
      <c r="V958" s="8" t="b">
        <f t="shared" si="88"/>
        <v>0</v>
      </c>
      <c r="W958" s="8">
        <f t="shared" si="89"/>
        <v>0</v>
      </c>
      <c r="X958" t="s">
        <v>28</v>
      </c>
      <c r="Y958" t="s">
        <v>94</v>
      </c>
      <c r="Z958" t="s">
        <v>45</v>
      </c>
      <c r="AA958">
        <v>4.5</v>
      </c>
      <c r="AB958" t="s">
        <v>39</v>
      </c>
      <c r="AC958" t="s">
        <v>30</v>
      </c>
    </row>
    <row r="959" spans="1:29" x14ac:dyDescent="0.3">
      <c r="A959" t="s">
        <v>1090</v>
      </c>
      <c r="B959" s="6">
        <v>45911</v>
      </c>
      <c r="C959" s="6" t="str">
        <f t="shared" si="84"/>
        <v>4 AM - 8 AM</v>
      </c>
      <c r="D959" s="4">
        <v>0.1763888888888889</v>
      </c>
      <c r="E959" t="s">
        <v>32</v>
      </c>
      <c r="F959" t="s">
        <v>24</v>
      </c>
      <c r="G959" t="s">
        <v>61</v>
      </c>
      <c r="H959" t="s">
        <v>26</v>
      </c>
      <c r="I959" t="s">
        <v>44</v>
      </c>
      <c r="J959" t="s">
        <v>35</v>
      </c>
      <c r="K959">
        <v>1</v>
      </c>
      <c r="L959" s="8">
        <v>23750</v>
      </c>
      <c r="M959" s="8" t="str">
        <f t="shared" si="85"/>
        <v>21-30%</v>
      </c>
      <c r="N959">
        <v>30</v>
      </c>
      <c r="O959" t="str">
        <f t="shared" si="86"/>
        <v>Valid</v>
      </c>
      <c r="P959" t="str">
        <f t="shared" si="87"/>
        <v>Match</v>
      </c>
      <c r="Q959" s="8">
        <v>23750</v>
      </c>
      <c r="R959" s="8">
        <v>7125</v>
      </c>
      <c r="S959" s="8">
        <v>16625</v>
      </c>
      <c r="T959" s="8">
        <v>13792.85</v>
      </c>
      <c r="U959" s="8">
        <v>2832.15</v>
      </c>
      <c r="V959" s="8" t="b">
        <f t="shared" si="88"/>
        <v>0</v>
      </c>
      <c r="W959" s="8">
        <f t="shared" si="89"/>
        <v>0</v>
      </c>
      <c r="X959" t="s">
        <v>55</v>
      </c>
      <c r="Y959" t="s">
        <v>94</v>
      </c>
      <c r="Z959" t="s">
        <v>38</v>
      </c>
      <c r="AA959">
        <v>2.5</v>
      </c>
      <c r="AB959" t="s">
        <v>155</v>
      </c>
      <c r="AC959" t="s">
        <v>67</v>
      </c>
    </row>
    <row r="960" spans="1:29" x14ac:dyDescent="0.3">
      <c r="A960" t="s">
        <v>1091</v>
      </c>
      <c r="B960" s="6">
        <v>45890</v>
      </c>
      <c r="C960" s="6" t="str">
        <f t="shared" si="84"/>
        <v>12 AM - 4 AM</v>
      </c>
      <c r="D960" s="4">
        <v>5.7638888888888892E-2</v>
      </c>
      <c r="E960" t="s">
        <v>69</v>
      </c>
      <c r="F960" t="s">
        <v>24</v>
      </c>
      <c r="G960" t="s">
        <v>88</v>
      </c>
      <c r="H960" t="s">
        <v>26</v>
      </c>
      <c r="I960" t="s">
        <v>98</v>
      </c>
      <c r="J960" t="s">
        <v>35</v>
      </c>
      <c r="K960">
        <v>1</v>
      </c>
      <c r="L960" s="8">
        <v>1800</v>
      </c>
      <c r="M960" s="8" t="str">
        <f t="shared" si="85"/>
        <v>21-30%</v>
      </c>
      <c r="N960">
        <v>25</v>
      </c>
      <c r="O960" t="str">
        <f t="shared" si="86"/>
        <v>Valid</v>
      </c>
      <c r="P960" t="str">
        <f t="shared" si="87"/>
        <v>Match</v>
      </c>
      <c r="Q960" s="8">
        <v>1800</v>
      </c>
      <c r="R960" s="8">
        <v>450</v>
      </c>
      <c r="S960" s="8">
        <v>1350</v>
      </c>
      <c r="T960" s="8">
        <v>1143.6600000000001</v>
      </c>
      <c r="U960" s="8">
        <v>206.34</v>
      </c>
      <c r="V960" s="8" t="b">
        <f t="shared" si="88"/>
        <v>0</v>
      </c>
      <c r="W960" s="8">
        <f t="shared" si="89"/>
        <v>0</v>
      </c>
      <c r="X960" t="s">
        <v>55</v>
      </c>
      <c r="Y960" t="s">
        <v>104</v>
      </c>
      <c r="Z960" t="s">
        <v>38</v>
      </c>
      <c r="AA960">
        <v>2.5</v>
      </c>
      <c r="AB960" t="s">
        <v>90</v>
      </c>
      <c r="AC960" t="s">
        <v>67</v>
      </c>
    </row>
    <row r="961" spans="1:29" x14ac:dyDescent="0.3">
      <c r="A961" t="s">
        <v>1092</v>
      </c>
      <c r="B961" s="6">
        <v>46004</v>
      </c>
      <c r="C961" s="6" t="str">
        <f t="shared" si="84"/>
        <v>4 PM - 8 PM</v>
      </c>
      <c r="D961" s="4">
        <v>0.71527777777777779</v>
      </c>
      <c r="E961" t="s">
        <v>622</v>
      </c>
      <c r="F961" t="s">
        <v>24</v>
      </c>
      <c r="G961" t="s">
        <v>25</v>
      </c>
      <c r="H961" t="s">
        <v>53</v>
      </c>
      <c r="I961" t="s">
        <v>82</v>
      </c>
      <c r="J961" t="s">
        <v>35</v>
      </c>
      <c r="K961">
        <v>3</v>
      </c>
      <c r="L961" s="8">
        <v>6600</v>
      </c>
      <c r="M961" s="8" t="str">
        <f t="shared" si="85"/>
        <v>11-20%</v>
      </c>
      <c r="N961">
        <v>15</v>
      </c>
      <c r="O961" t="str">
        <f t="shared" si="86"/>
        <v>Valid</v>
      </c>
      <c r="P961" t="str">
        <f t="shared" si="87"/>
        <v>Match</v>
      </c>
      <c r="Q961" s="8">
        <v>19800</v>
      </c>
      <c r="R961" s="8">
        <v>2970</v>
      </c>
      <c r="S961" s="8">
        <v>16830</v>
      </c>
      <c r="T961" s="8">
        <v>14221.67</v>
      </c>
      <c r="U961" s="8">
        <v>2608.33</v>
      </c>
      <c r="V961" s="8" t="b">
        <f t="shared" si="88"/>
        <v>0</v>
      </c>
      <c r="W961" s="8">
        <f t="shared" si="89"/>
        <v>0</v>
      </c>
      <c r="X961" t="s">
        <v>79</v>
      </c>
      <c r="Y961" t="s">
        <v>104</v>
      </c>
      <c r="Z961" t="s">
        <v>56</v>
      </c>
      <c r="AA961">
        <v>4</v>
      </c>
      <c r="AB961" t="s">
        <v>39</v>
      </c>
      <c r="AC961" t="s">
        <v>71</v>
      </c>
    </row>
    <row r="962" spans="1:29" x14ac:dyDescent="0.3">
      <c r="A962" t="s">
        <v>1093</v>
      </c>
      <c r="B962" s="6">
        <v>45721</v>
      </c>
      <c r="C962" s="6" t="str">
        <f t="shared" ref="C962:C1001" si="90">IF(D962&lt;TIME(4,0,0),"12 AM - 4 AM",IF(D962&lt;TIME(8,0,0),"4 AM - 8 AM",IF(D962&lt;TIME(12,0,0),"8 AM - 12 PM",IF(D962&lt;TIME(16,0,0),"12 PM - 4 PM",IF(D962&lt;TIME(20,0,0),"4 PM - 8 PM","8 PM - 12 AM")))))</f>
        <v>8 PM - 12 AM</v>
      </c>
      <c r="D962" s="4">
        <v>0.85763888888888884</v>
      </c>
      <c r="E962" t="s">
        <v>622</v>
      </c>
      <c r="F962" t="s">
        <v>51</v>
      </c>
      <c r="G962" t="s">
        <v>122</v>
      </c>
      <c r="H962" t="s">
        <v>34</v>
      </c>
      <c r="I962" t="s">
        <v>63</v>
      </c>
      <c r="J962" t="s">
        <v>35</v>
      </c>
      <c r="K962">
        <v>2</v>
      </c>
      <c r="L962" s="8">
        <v>5100</v>
      </c>
      <c r="M962" s="8" t="str">
        <f t="shared" ref="M962:M1001" si="91">IF(N962&lt;0,"Invalid",IF(N962=0,"0%",IF(N962&lt;=10,"1-10%",IF(N962&lt;=20,"11-20%",IF(N962&lt;=30,"21-30%","30%+")))))</f>
        <v>1-10%</v>
      </c>
      <c r="N962">
        <v>10</v>
      </c>
      <c r="O962" t="str">
        <f t="shared" ref="O962:O1001" si="92">IF(OR(N962&lt;0,N962&gt;100),"Invalid Discount","Valid")</f>
        <v>Valid</v>
      </c>
      <c r="P962" t="str">
        <f t="shared" ref="P962:P1001" si="93">IF(ROUND(R962,2)=ROUND(Q962*N962/100,2),"Match","Mismatch")</f>
        <v>Match</v>
      </c>
      <c r="Q962" s="8">
        <v>10200</v>
      </c>
      <c r="R962" s="8">
        <v>1020</v>
      </c>
      <c r="S962" s="8">
        <v>9180</v>
      </c>
      <c r="T962" s="8">
        <v>6562.98</v>
      </c>
      <c r="U962" s="8">
        <v>2617.02</v>
      </c>
      <c r="V962" s="8" t="b">
        <f t="shared" ref="V962:V1001" si="94">IF(AND(S962-T962&lt;0,U962=S962-T962),TRUE,FALSE)</f>
        <v>0</v>
      </c>
      <c r="W962" s="8">
        <f t="shared" ref="W962:W1025" si="95">IF(V962=TRUE,ABS(U962),0)</f>
        <v>0</v>
      </c>
      <c r="X962" t="s">
        <v>28</v>
      </c>
      <c r="Y962" t="s">
        <v>47</v>
      </c>
      <c r="Z962" t="s">
        <v>45</v>
      </c>
      <c r="AA962">
        <v>4.5</v>
      </c>
      <c r="AB962" t="s">
        <v>127</v>
      </c>
      <c r="AC962" t="s">
        <v>40</v>
      </c>
    </row>
    <row r="963" spans="1:29" x14ac:dyDescent="0.3">
      <c r="A963" t="s">
        <v>1094</v>
      </c>
      <c r="B963" s="6">
        <v>46016</v>
      </c>
      <c r="C963" s="6" t="str">
        <f t="shared" si="90"/>
        <v>4 PM - 8 PM</v>
      </c>
      <c r="D963" s="4">
        <v>0.78819444444444442</v>
      </c>
      <c r="E963" t="s">
        <v>60</v>
      </c>
      <c r="F963" t="s">
        <v>24</v>
      </c>
      <c r="G963" t="s">
        <v>25</v>
      </c>
      <c r="H963" t="s">
        <v>113</v>
      </c>
      <c r="I963" t="s">
        <v>92</v>
      </c>
      <c r="J963" t="s">
        <v>407</v>
      </c>
      <c r="K963">
        <v>2</v>
      </c>
      <c r="L963" s="8">
        <v>6050</v>
      </c>
      <c r="M963" s="8" t="str">
        <f t="shared" si="91"/>
        <v>0%</v>
      </c>
      <c r="N963">
        <v>0</v>
      </c>
      <c r="O963" t="str">
        <f t="shared" si="92"/>
        <v>Valid</v>
      </c>
      <c r="P963" t="str">
        <f t="shared" si="93"/>
        <v>Match</v>
      </c>
      <c r="Q963" s="8">
        <v>12100</v>
      </c>
      <c r="R963" s="8">
        <v>0</v>
      </c>
      <c r="S963" s="8">
        <v>12100</v>
      </c>
      <c r="T963" s="8">
        <v>7700.09</v>
      </c>
      <c r="U963" s="8">
        <v>4399.91</v>
      </c>
      <c r="V963" s="8" t="b">
        <f t="shared" si="94"/>
        <v>0</v>
      </c>
      <c r="W963" s="8">
        <f t="shared" si="95"/>
        <v>0</v>
      </c>
      <c r="X963" t="s">
        <v>28</v>
      </c>
      <c r="Y963" t="s">
        <v>70</v>
      </c>
      <c r="Z963" t="s">
        <v>56</v>
      </c>
      <c r="AA963">
        <v>3.5</v>
      </c>
      <c r="AB963" t="s">
        <v>39</v>
      </c>
      <c r="AC963" t="s">
        <v>67</v>
      </c>
    </row>
    <row r="964" spans="1:29" x14ac:dyDescent="0.3">
      <c r="A964" t="s">
        <v>1095</v>
      </c>
      <c r="B964" s="6">
        <v>45968</v>
      </c>
      <c r="C964" s="6" t="str">
        <f t="shared" si="90"/>
        <v>8 PM - 12 AM</v>
      </c>
      <c r="D964" s="4">
        <v>0.87777777777777777</v>
      </c>
      <c r="E964" t="s">
        <v>69</v>
      </c>
      <c r="F964" t="s">
        <v>24</v>
      </c>
      <c r="G964" t="s">
        <v>61</v>
      </c>
      <c r="H964" t="s">
        <v>43</v>
      </c>
      <c r="I964" t="s">
        <v>63</v>
      </c>
      <c r="J964" t="s">
        <v>85</v>
      </c>
      <c r="K964">
        <v>2</v>
      </c>
      <c r="L964" s="8">
        <v>19100</v>
      </c>
      <c r="M964" s="8" t="str">
        <f t="shared" si="91"/>
        <v>1-10%</v>
      </c>
      <c r="N964">
        <v>10</v>
      </c>
      <c r="O964" t="str">
        <f t="shared" si="92"/>
        <v>Valid</v>
      </c>
      <c r="P964" t="str">
        <f t="shared" si="93"/>
        <v>Match</v>
      </c>
      <c r="Q964" s="8">
        <v>38200</v>
      </c>
      <c r="R964" s="8">
        <v>3820</v>
      </c>
      <c r="S964" s="8">
        <v>34380</v>
      </c>
      <c r="T964" s="8">
        <v>25730.63</v>
      </c>
      <c r="U964" s="8">
        <v>8649.3700000000008</v>
      </c>
      <c r="V964" s="8" t="b">
        <f t="shared" si="94"/>
        <v>0</v>
      </c>
      <c r="W964" s="8">
        <f t="shared" si="95"/>
        <v>0</v>
      </c>
      <c r="X964" t="s">
        <v>79</v>
      </c>
      <c r="Y964" t="s">
        <v>104</v>
      </c>
      <c r="Z964" t="s">
        <v>56</v>
      </c>
      <c r="AA964">
        <v>4</v>
      </c>
      <c r="AB964" t="s">
        <v>75</v>
      </c>
      <c r="AC964" t="s">
        <v>58</v>
      </c>
    </row>
    <row r="965" spans="1:29" x14ac:dyDescent="0.3">
      <c r="A965" t="s">
        <v>1096</v>
      </c>
      <c r="B965" s="6">
        <v>45835</v>
      </c>
      <c r="C965" s="6" t="str">
        <f t="shared" si="90"/>
        <v>12 PM - 4 PM</v>
      </c>
      <c r="D965" s="4">
        <v>0.58958333333333335</v>
      </c>
      <c r="E965" t="s">
        <v>77</v>
      </c>
      <c r="F965" t="s">
        <v>24</v>
      </c>
      <c r="G965" t="s">
        <v>88</v>
      </c>
      <c r="H965" t="s">
        <v>26</v>
      </c>
      <c r="I965" t="s">
        <v>82</v>
      </c>
      <c r="J965" t="s">
        <v>93</v>
      </c>
      <c r="K965">
        <v>2</v>
      </c>
      <c r="L965" s="8">
        <v>2650</v>
      </c>
      <c r="M965" s="8" t="str">
        <f t="shared" si="91"/>
        <v>1-10%</v>
      </c>
      <c r="N965">
        <v>10</v>
      </c>
      <c r="O965" t="str">
        <f t="shared" si="92"/>
        <v>Valid</v>
      </c>
      <c r="P965" t="str">
        <f t="shared" si="93"/>
        <v>Match</v>
      </c>
      <c r="Q965" s="8">
        <v>5300</v>
      </c>
      <c r="R965" s="8">
        <v>530</v>
      </c>
      <c r="S965" s="8">
        <v>4770</v>
      </c>
      <c r="T965" s="8">
        <v>3153.13</v>
      </c>
      <c r="U965" s="8">
        <v>1616.87</v>
      </c>
      <c r="V965" s="8" t="b">
        <f t="shared" si="94"/>
        <v>0</v>
      </c>
      <c r="W965" s="8">
        <f t="shared" si="95"/>
        <v>0</v>
      </c>
      <c r="X965" t="s">
        <v>28</v>
      </c>
      <c r="Y965" t="s">
        <v>89</v>
      </c>
      <c r="Z965" t="s">
        <v>38</v>
      </c>
      <c r="AA965">
        <v>5</v>
      </c>
      <c r="AB965" t="s">
        <v>48</v>
      </c>
      <c r="AC965" t="s">
        <v>58</v>
      </c>
    </row>
    <row r="966" spans="1:29" x14ac:dyDescent="0.3">
      <c r="A966" t="s">
        <v>1097</v>
      </c>
      <c r="B966" s="6">
        <v>46001</v>
      </c>
      <c r="C966" s="6" t="str">
        <f t="shared" si="90"/>
        <v>4 PM - 8 PM</v>
      </c>
      <c r="D966" s="4">
        <v>0.78749999999999998</v>
      </c>
      <c r="E966" t="s">
        <v>622</v>
      </c>
      <c r="F966" t="s">
        <v>24</v>
      </c>
      <c r="G966" t="s">
        <v>84</v>
      </c>
      <c r="H966" t="s">
        <v>74</v>
      </c>
      <c r="I966" t="s">
        <v>82</v>
      </c>
      <c r="J966" t="s">
        <v>93</v>
      </c>
      <c r="K966">
        <v>3</v>
      </c>
      <c r="L966" s="8">
        <v>9150</v>
      </c>
      <c r="M966" s="8" t="str">
        <f t="shared" si="91"/>
        <v>1-10%</v>
      </c>
      <c r="N966">
        <v>5</v>
      </c>
      <c r="O966" t="str">
        <f t="shared" si="92"/>
        <v>Valid</v>
      </c>
      <c r="P966" t="str">
        <f t="shared" si="93"/>
        <v>Match</v>
      </c>
      <c r="Q966" s="8">
        <v>27450</v>
      </c>
      <c r="R966" s="8">
        <v>1372.5</v>
      </c>
      <c r="S966" s="8">
        <v>26077.5</v>
      </c>
      <c r="T966" s="8">
        <v>14966.21</v>
      </c>
      <c r="U966" s="8">
        <v>11111.29</v>
      </c>
      <c r="V966" s="8" t="b">
        <f t="shared" si="94"/>
        <v>0</v>
      </c>
      <c r="W966" s="8">
        <f t="shared" si="95"/>
        <v>0</v>
      </c>
      <c r="X966" t="s">
        <v>79</v>
      </c>
      <c r="Y966" t="s">
        <v>65</v>
      </c>
      <c r="Z966" t="s">
        <v>45</v>
      </c>
      <c r="AA966">
        <v>4</v>
      </c>
      <c r="AB966" t="s">
        <v>39</v>
      </c>
      <c r="AC966" t="s">
        <v>40</v>
      </c>
    </row>
    <row r="967" spans="1:29" x14ac:dyDescent="0.3">
      <c r="A967" t="s">
        <v>1098</v>
      </c>
      <c r="B967" s="6">
        <v>45868</v>
      </c>
      <c r="C967" s="6" t="str">
        <f t="shared" si="90"/>
        <v>8 PM - 12 AM</v>
      </c>
      <c r="D967" s="4">
        <v>0.91319444444444442</v>
      </c>
      <c r="E967" t="s">
        <v>32</v>
      </c>
      <c r="F967" t="s">
        <v>96</v>
      </c>
      <c r="G967" t="s">
        <v>145</v>
      </c>
      <c r="H967" t="s">
        <v>43</v>
      </c>
      <c r="I967" t="s">
        <v>63</v>
      </c>
      <c r="J967" t="s">
        <v>93</v>
      </c>
      <c r="K967">
        <v>1</v>
      </c>
      <c r="L967" s="8">
        <v>3150</v>
      </c>
      <c r="M967" s="8" t="str">
        <f t="shared" si="91"/>
        <v>21-30%</v>
      </c>
      <c r="N967">
        <v>25</v>
      </c>
      <c r="O967" t="str">
        <f t="shared" si="92"/>
        <v>Valid</v>
      </c>
      <c r="P967" t="str">
        <f t="shared" si="93"/>
        <v>Match</v>
      </c>
      <c r="Q967" s="8">
        <v>3150</v>
      </c>
      <c r="R967" s="8">
        <v>787.5</v>
      </c>
      <c r="S967" s="8">
        <v>2362.5</v>
      </c>
      <c r="T967" s="8">
        <v>2278.67</v>
      </c>
      <c r="U967" s="8">
        <v>83.83</v>
      </c>
      <c r="V967" s="8" t="b">
        <f t="shared" si="94"/>
        <v>0</v>
      </c>
      <c r="W967" s="8">
        <f t="shared" si="95"/>
        <v>0</v>
      </c>
      <c r="X967" t="s">
        <v>36</v>
      </c>
      <c r="Y967" t="s">
        <v>70</v>
      </c>
      <c r="Z967" t="s">
        <v>38</v>
      </c>
      <c r="AA967">
        <v>4</v>
      </c>
      <c r="AB967" t="s">
        <v>29</v>
      </c>
      <c r="AC967" t="s">
        <v>40</v>
      </c>
    </row>
    <row r="968" spans="1:29" x14ac:dyDescent="0.3">
      <c r="A968" t="s">
        <v>1099</v>
      </c>
      <c r="B968" s="6">
        <v>45737</v>
      </c>
      <c r="C968" s="6" t="str">
        <f t="shared" si="90"/>
        <v>12 AM - 4 AM</v>
      </c>
      <c r="D968" s="4">
        <v>8.819444444444445E-2</v>
      </c>
      <c r="E968" t="s">
        <v>32</v>
      </c>
      <c r="F968" t="s">
        <v>51</v>
      </c>
      <c r="G968" t="s">
        <v>101</v>
      </c>
      <c r="H968" t="s">
        <v>62</v>
      </c>
      <c r="I968" t="s">
        <v>98</v>
      </c>
      <c r="J968" t="s">
        <v>35</v>
      </c>
      <c r="K968">
        <v>2</v>
      </c>
      <c r="L968" s="8">
        <v>4650</v>
      </c>
      <c r="M968" s="8" t="str">
        <f t="shared" si="91"/>
        <v>1-10%</v>
      </c>
      <c r="N968">
        <v>5</v>
      </c>
      <c r="O968" t="str">
        <f t="shared" si="92"/>
        <v>Valid</v>
      </c>
      <c r="P968" t="str">
        <f t="shared" si="93"/>
        <v>Match</v>
      </c>
      <c r="Q968" s="8">
        <v>9300</v>
      </c>
      <c r="R968" s="8">
        <v>465</v>
      </c>
      <c r="S968" s="8">
        <v>8835</v>
      </c>
      <c r="T968" s="8">
        <v>6238.24</v>
      </c>
      <c r="U968" s="8">
        <v>2596.7600000000002</v>
      </c>
      <c r="V968" s="8" t="b">
        <f t="shared" si="94"/>
        <v>0</v>
      </c>
      <c r="W968" s="8">
        <f t="shared" si="95"/>
        <v>0</v>
      </c>
      <c r="X968" t="s">
        <v>79</v>
      </c>
      <c r="Y968" t="s">
        <v>65</v>
      </c>
      <c r="Z968" t="s">
        <v>45</v>
      </c>
      <c r="AA968">
        <v>4</v>
      </c>
      <c r="AB968" t="s">
        <v>127</v>
      </c>
      <c r="AC968" t="s">
        <v>58</v>
      </c>
    </row>
    <row r="969" spans="1:29" x14ac:dyDescent="0.3">
      <c r="A969" t="s">
        <v>1100</v>
      </c>
      <c r="B969" s="6">
        <v>45921</v>
      </c>
      <c r="C969" s="6" t="str">
        <f t="shared" si="90"/>
        <v>4 PM - 8 PM</v>
      </c>
      <c r="D969" s="4">
        <v>0.8208333333333333</v>
      </c>
      <c r="E969" t="s">
        <v>622</v>
      </c>
      <c r="F969" t="s">
        <v>51</v>
      </c>
      <c r="G969" t="s">
        <v>52</v>
      </c>
      <c r="H969" t="s">
        <v>74</v>
      </c>
      <c r="I969" t="s">
        <v>63</v>
      </c>
      <c r="J969" t="s">
        <v>64</v>
      </c>
      <c r="K969">
        <v>2</v>
      </c>
      <c r="L969" s="8">
        <v>36250</v>
      </c>
      <c r="M969" s="8" t="str">
        <f t="shared" si="91"/>
        <v>1-10%</v>
      </c>
      <c r="N969">
        <v>5</v>
      </c>
      <c r="O969" t="str">
        <f t="shared" si="92"/>
        <v>Valid</v>
      </c>
      <c r="P969" t="str">
        <f t="shared" si="93"/>
        <v>Match</v>
      </c>
      <c r="Q969" s="8">
        <v>72500</v>
      </c>
      <c r="R969" s="8">
        <v>3625</v>
      </c>
      <c r="S969" s="8">
        <v>68875</v>
      </c>
      <c r="T969" s="8">
        <v>51311.86</v>
      </c>
      <c r="U969" s="8">
        <v>17563.14</v>
      </c>
      <c r="V969" s="8" t="b">
        <f t="shared" si="94"/>
        <v>0</v>
      </c>
      <c r="W969" s="8">
        <f t="shared" si="95"/>
        <v>0</v>
      </c>
      <c r="X969" t="s">
        <v>46</v>
      </c>
      <c r="Y969" t="s">
        <v>94</v>
      </c>
      <c r="Z969" t="s">
        <v>80</v>
      </c>
      <c r="AA969">
        <v>4</v>
      </c>
      <c r="AB969" t="s">
        <v>155</v>
      </c>
      <c r="AC969" t="s">
        <v>30</v>
      </c>
    </row>
    <row r="970" spans="1:29" x14ac:dyDescent="0.3">
      <c r="A970" t="s">
        <v>1101</v>
      </c>
      <c r="B970" s="6">
        <v>45963</v>
      </c>
      <c r="C970" s="6" t="str">
        <f t="shared" si="90"/>
        <v>4 AM - 8 AM</v>
      </c>
      <c r="D970" s="4">
        <v>0.19166666666666668</v>
      </c>
      <c r="E970" t="s">
        <v>77</v>
      </c>
      <c r="F970" t="s">
        <v>24</v>
      </c>
      <c r="G970" t="s">
        <v>61</v>
      </c>
      <c r="H970" t="s">
        <v>26</v>
      </c>
      <c r="I970" t="s">
        <v>54</v>
      </c>
      <c r="J970" t="s">
        <v>35</v>
      </c>
      <c r="K970">
        <v>2</v>
      </c>
      <c r="L970" s="8">
        <v>13950</v>
      </c>
      <c r="M970" s="8" t="str">
        <f t="shared" si="91"/>
        <v>11-20%</v>
      </c>
      <c r="N970">
        <v>20</v>
      </c>
      <c r="O970" t="str">
        <f t="shared" si="92"/>
        <v>Valid</v>
      </c>
      <c r="P970" t="str">
        <f t="shared" si="93"/>
        <v>Match</v>
      </c>
      <c r="Q970" s="8">
        <v>27900</v>
      </c>
      <c r="R970" s="8">
        <v>5580</v>
      </c>
      <c r="S970" s="8">
        <v>22320</v>
      </c>
      <c r="T970" s="8">
        <v>16892.39</v>
      </c>
      <c r="U970" s="8">
        <v>5427.61</v>
      </c>
      <c r="V970" s="8" t="b">
        <f t="shared" si="94"/>
        <v>0</v>
      </c>
      <c r="W970" s="8">
        <f t="shared" si="95"/>
        <v>0</v>
      </c>
      <c r="X970" t="s">
        <v>28</v>
      </c>
      <c r="Y970" t="s">
        <v>89</v>
      </c>
      <c r="Z970" t="s">
        <v>85</v>
      </c>
      <c r="AA970">
        <v>4.5</v>
      </c>
      <c r="AB970" t="s">
        <v>75</v>
      </c>
      <c r="AC970" t="s">
        <v>30</v>
      </c>
    </row>
    <row r="971" spans="1:29" x14ac:dyDescent="0.3">
      <c r="A971" t="s">
        <v>1102</v>
      </c>
      <c r="B971" s="6">
        <v>45974</v>
      </c>
      <c r="C971" s="6" t="str">
        <f t="shared" si="90"/>
        <v>8 AM - 12 PM</v>
      </c>
      <c r="D971" s="4">
        <v>0.46458333333333335</v>
      </c>
      <c r="E971" t="s">
        <v>108</v>
      </c>
      <c r="F971" t="s">
        <v>24</v>
      </c>
      <c r="G971" t="s">
        <v>33</v>
      </c>
      <c r="H971" t="s">
        <v>43</v>
      </c>
      <c r="I971" t="s">
        <v>54</v>
      </c>
      <c r="J971" t="s">
        <v>35</v>
      </c>
      <c r="K971">
        <v>1</v>
      </c>
      <c r="L971" s="8">
        <v>4000</v>
      </c>
      <c r="M971" s="8" t="str">
        <f t="shared" si="91"/>
        <v>1-10%</v>
      </c>
      <c r="N971">
        <v>5</v>
      </c>
      <c r="O971" t="str">
        <f t="shared" si="92"/>
        <v>Valid</v>
      </c>
      <c r="P971" t="str">
        <f t="shared" si="93"/>
        <v>Match</v>
      </c>
      <c r="Q971" s="8">
        <v>4000</v>
      </c>
      <c r="R971" s="8">
        <v>200</v>
      </c>
      <c r="S971" s="8">
        <v>3800</v>
      </c>
      <c r="T971" s="8">
        <v>2814.75</v>
      </c>
      <c r="U971" s="8">
        <v>985.25</v>
      </c>
      <c r="V971" s="8" t="b">
        <f t="shared" si="94"/>
        <v>0</v>
      </c>
      <c r="W971" s="8">
        <f t="shared" si="95"/>
        <v>0</v>
      </c>
      <c r="X971" t="s">
        <v>55</v>
      </c>
      <c r="Y971" t="s">
        <v>37</v>
      </c>
      <c r="Z971" t="s">
        <v>80</v>
      </c>
      <c r="AA971">
        <v>5</v>
      </c>
      <c r="AB971" t="s">
        <v>75</v>
      </c>
      <c r="AC971" t="s">
        <v>67</v>
      </c>
    </row>
    <row r="972" spans="1:29" x14ac:dyDescent="0.3">
      <c r="A972" t="s">
        <v>1103</v>
      </c>
      <c r="B972" s="6">
        <v>45828</v>
      </c>
      <c r="C972" s="6" t="str">
        <f t="shared" si="90"/>
        <v>8 AM - 12 PM</v>
      </c>
      <c r="D972" s="4">
        <v>0.3659722222222222</v>
      </c>
      <c r="E972" t="s">
        <v>622</v>
      </c>
      <c r="F972" t="s">
        <v>24</v>
      </c>
      <c r="G972" t="s">
        <v>88</v>
      </c>
      <c r="H972" t="s">
        <v>74</v>
      </c>
      <c r="I972" t="s">
        <v>82</v>
      </c>
      <c r="J972" t="s">
        <v>35</v>
      </c>
      <c r="K972">
        <v>1</v>
      </c>
      <c r="L972" s="8">
        <v>3900</v>
      </c>
      <c r="M972" s="8" t="str">
        <f t="shared" si="91"/>
        <v>11-20%</v>
      </c>
      <c r="N972">
        <v>15</v>
      </c>
      <c r="O972" t="str">
        <f t="shared" si="92"/>
        <v>Valid</v>
      </c>
      <c r="P972" t="str">
        <f t="shared" si="93"/>
        <v>Match</v>
      </c>
      <c r="Q972" s="8">
        <v>3900</v>
      </c>
      <c r="R972" s="8">
        <v>585</v>
      </c>
      <c r="S972" s="8">
        <v>3315</v>
      </c>
      <c r="T972" s="8">
        <v>2107.77</v>
      </c>
      <c r="U972" s="8">
        <v>1207.23</v>
      </c>
      <c r="V972" s="8" t="b">
        <f t="shared" si="94"/>
        <v>0</v>
      </c>
      <c r="W972" s="8">
        <f t="shared" si="95"/>
        <v>0</v>
      </c>
      <c r="X972" t="s">
        <v>28</v>
      </c>
      <c r="Y972" t="s">
        <v>37</v>
      </c>
      <c r="Z972" t="s">
        <v>38</v>
      </c>
      <c r="AA972">
        <v>3</v>
      </c>
      <c r="AB972" t="s">
        <v>48</v>
      </c>
      <c r="AC972" t="s">
        <v>58</v>
      </c>
    </row>
    <row r="973" spans="1:29" x14ac:dyDescent="0.3">
      <c r="A973" t="s">
        <v>1104</v>
      </c>
      <c r="B973" s="6">
        <v>45673</v>
      </c>
      <c r="C973" s="6" t="str">
        <f t="shared" si="90"/>
        <v>8 AM - 12 PM</v>
      </c>
      <c r="D973" s="4">
        <v>0.33541666666666664</v>
      </c>
      <c r="E973" t="s">
        <v>108</v>
      </c>
      <c r="F973" t="s">
        <v>24</v>
      </c>
      <c r="G973" t="s">
        <v>120</v>
      </c>
      <c r="H973" t="s">
        <v>26</v>
      </c>
      <c r="I973" t="s">
        <v>82</v>
      </c>
      <c r="J973" t="s">
        <v>78</v>
      </c>
      <c r="K973">
        <v>1</v>
      </c>
      <c r="L973" s="8">
        <v>7350</v>
      </c>
      <c r="M973" s="8" t="str">
        <f t="shared" si="91"/>
        <v>1-10%</v>
      </c>
      <c r="N973">
        <v>10</v>
      </c>
      <c r="O973" t="str">
        <f t="shared" si="92"/>
        <v>Valid</v>
      </c>
      <c r="P973" t="str">
        <f t="shared" si="93"/>
        <v>Match</v>
      </c>
      <c r="Q973" s="8">
        <v>7350</v>
      </c>
      <c r="R973" s="8">
        <v>735</v>
      </c>
      <c r="S973" s="8">
        <v>6615</v>
      </c>
      <c r="T973" s="8">
        <v>4787.54</v>
      </c>
      <c r="U973" s="8">
        <v>1827.46</v>
      </c>
      <c r="V973" s="8" t="b">
        <f t="shared" si="94"/>
        <v>0</v>
      </c>
      <c r="W973" s="8">
        <f t="shared" si="95"/>
        <v>0</v>
      </c>
      <c r="X973" t="s">
        <v>46</v>
      </c>
      <c r="Y973" t="s">
        <v>70</v>
      </c>
      <c r="Z973" t="s">
        <v>64</v>
      </c>
      <c r="AA973">
        <v>3.5</v>
      </c>
      <c r="AB973" t="s">
        <v>151</v>
      </c>
      <c r="AC973" t="s">
        <v>67</v>
      </c>
    </row>
    <row r="974" spans="1:29" x14ac:dyDescent="0.3">
      <c r="A974" t="s">
        <v>1105</v>
      </c>
      <c r="B974" s="6">
        <v>45747</v>
      </c>
      <c r="C974" s="6" t="str">
        <f t="shared" si="90"/>
        <v>8 PM - 12 AM</v>
      </c>
      <c r="D974" s="4">
        <v>0.85763888888888884</v>
      </c>
      <c r="E974" t="s">
        <v>32</v>
      </c>
      <c r="F974" t="s">
        <v>96</v>
      </c>
      <c r="G974" t="s">
        <v>115</v>
      </c>
      <c r="H974" t="s">
        <v>113</v>
      </c>
      <c r="I974" t="s">
        <v>98</v>
      </c>
      <c r="J974" t="s">
        <v>35</v>
      </c>
      <c r="K974">
        <v>1</v>
      </c>
      <c r="L974" s="8">
        <v>6150</v>
      </c>
      <c r="M974" s="8" t="str">
        <f t="shared" si="91"/>
        <v>0%</v>
      </c>
      <c r="N974">
        <v>0</v>
      </c>
      <c r="O974" t="str">
        <f t="shared" si="92"/>
        <v>Valid</v>
      </c>
      <c r="P974" t="str">
        <f t="shared" si="93"/>
        <v>Match</v>
      </c>
      <c r="Q974" s="8">
        <v>6150</v>
      </c>
      <c r="R974" s="8">
        <v>0</v>
      </c>
      <c r="S974" s="8">
        <v>6150</v>
      </c>
      <c r="T974" s="8">
        <v>3692.62</v>
      </c>
      <c r="U974" s="8">
        <v>2457.38</v>
      </c>
      <c r="V974" s="8" t="b">
        <f t="shared" si="94"/>
        <v>0</v>
      </c>
      <c r="W974" s="8">
        <f t="shared" si="95"/>
        <v>0</v>
      </c>
      <c r="X974" t="s">
        <v>36</v>
      </c>
      <c r="Y974" t="s">
        <v>47</v>
      </c>
      <c r="Z974" t="s">
        <v>45</v>
      </c>
      <c r="AA974">
        <v>3.5</v>
      </c>
      <c r="AB974" t="s">
        <v>127</v>
      </c>
      <c r="AC974" t="s">
        <v>49</v>
      </c>
    </row>
    <row r="975" spans="1:29" x14ac:dyDescent="0.3">
      <c r="A975" t="s">
        <v>1106</v>
      </c>
      <c r="B975" s="6">
        <v>45891</v>
      </c>
      <c r="C975" s="6" t="str">
        <f t="shared" si="90"/>
        <v>8 AM - 12 PM</v>
      </c>
      <c r="D975" s="4">
        <v>0.34861111111111109</v>
      </c>
      <c r="E975" t="s">
        <v>108</v>
      </c>
      <c r="F975" t="s">
        <v>24</v>
      </c>
      <c r="G975" t="s">
        <v>120</v>
      </c>
      <c r="H975" t="s">
        <v>62</v>
      </c>
      <c r="I975" t="s">
        <v>63</v>
      </c>
      <c r="J975" t="s">
        <v>45</v>
      </c>
      <c r="K975">
        <v>3</v>
      </c>
      <c r="L975" s="8">
        <v>3750</v>
      </c>
      <c r="M975" s="8" t="str">
        <f t="shared" si="91"/>
        <v>21-30%</v>
      </c>
      <c r="N975">
        <v>30</v>
      </c>
      <c r="O975" t="str">
        <f t="shared" si="92"/>
        <v>Valid</v>
      </c>
      <c r="P975" t="str">
        <f t="shared" si="93"/>
        <v>Match</v>
      </c>
      <c r="Q975" s="8">
        <v>11250</v>
      </c>
      <c r="R975" s="8">
        <v>3375</v>
      </c>
      <c r="S975" s="8">
        <v>7875</v>
      </c>
      <c r="T975" s="8">
        <v>5920.23</v>
      </c>
      <c r="U975" s="8">
        <v>1954.77</v>
      </c>
      <c r="V975" s="8" t="b">
        <f t="shared" si="94"/>
        <v>0</v>
      </c>
      <c r="W975" s="8">
        <f t="shared" si="95"/>
        <v>0</v>
      </c>
      <c r="X975" t="s">
        <v>79</v>
      </c>
      <c r="Y975" t="s">
        <v>104</v>
      </c>
      <c r="Z975" t="s">
        <v>64</v>
      </c>
      <c r="AA975">
        <v>4</v>
      </c>
      <c r="AB975" t="s">
        <v>90</v>
      </c>
      <c r="AC975" t="s">
        <v>58</v>
      </c>
    </row>
    <row r="976" spans="1:29" x14ac:dyDescent="0.3">
      <c r="A976" t="s">
        <v>1107</v>
      </c>
      <c r="B976" s="6">
        <v>45707</v>
      </c>
      <c r="C976" s="6" t="str">
        <f t="shared" si="90"/>
        <v>12 AM - 4 AM</v>
      </c>
      <c r="D976" s="4">
        <v>0.1125</v>
      </c>
      <c r="E976" t="s">
        <v>108</v>
      </c>
      <c r="F976" t="s">
        <v>24</v>
      </c>
      <c r="G976" t="s">
        <v>42</v>
      </c>
      <c r="H976" t="s">
        <v>102</v>
      </c>
      <c r="I976" t="s">
        <v>63</v>
      </c>
      <c r="J976" t="s">
        <v>35</v>
      </c>
      <c r="K976">
        <v>1</v>
      </c>
      <c r="L976" s="8">
        <v>122000</v>
      </c>
      <c r="M976" s="8" t="str">
        <f t="shared" si="91"/>
        <v>1-10%</v>
      </c>
      <c r="N976">
        <v>10</v>
      </c>
      <c r="O976" t="str">
        <f t="shared" si="92"/>
        <v>Valid</v>
      </c>
      <c r="P976" t="str">
        <f t="shared" si="93"/>
        <v>Match</v>
      </c>
      <c r="Q976" s="8">
        <v>122000</v>
      </c>
      <c r="R976" s="8">
        <v>12200</v>
      </c>
      <c r="S976" s="8">
        <v>109800</v>
      </c>
      <c r="T976" s="8">
        <v>80133.59</v>
      </c>
      <c r="U976" s="8">
        <v>29666.41</v>
      </c>
      <c r="V976" s="8" t="b">
        <f t="shared" si="94"/>
        <v>0</v>
      </c>
      <c r="W976" s="8">
        <f t="shared" si="95"/>
        <v>0</v>
      </c>
      <c r="X976" t="s">
        <v>28</v>
      </c>
      <c r="Y976" t="s">
        <v>104</v>
      </c>
      <c r="Z976" t="s">
        <v>80</v>
      </c>
      <c r="AA976">
        <v>3.5</v>
      </c>
      <c r="AB976" t="s">
        <v>66</v>
      </c>
      <c r="AC976" t="s">
        <v>40</v>
      </c>
    </row>
    <row r="977" spans="1:29" x14ac:dyDescent="0.3">
      <c r="A977" t="s">
        <v>1108</v>
      </c>
      <c r="B977" s="6">
        <v>45978</v>
      </c>
      <c r="C977" s="6" t="str">
        <f t="shared" si="90"/>
        <v>12 PM - 4 PM</v>
      </c>
      <c r="D977" s="4">
        <v>0.5444444444444444</v>
      </c>
      <c r="E977" t="s">
        <v>622</v>
      </c>
      <c r="F977" t="s">
        <v>24</v>
      </c>
      <c r="G977" t="s">
        <v>84</v>
      </c>
      <c r="H977" t="s">
        <v>53</v>
      </c>
      <c r="I977" t="s">
        <v>27</v>
      </c>
      <c r="J977" t="s">
        <v>45</v>
      </c>
      <c r="K977">
        <v>2</v>
      </c>
      <c r="L977" s="8">
        <v>3850</v>
      </c>
      <c r="M977" s="8" t="str">
        <f t="shared" si="91"/>
        <v>0%</v>
      </c>
      <c r="N977">
        <v>0</v>
      </c>
      <c r="O977" t="str">
        <f t="shared" si="92"/>
        <v>Valid</v>
      </c>
      <c r="P977" t="str">
        <f t="shared" si="93"/>
        <v>Match</v>
      </c>
      <c r="Q977" s="8">
        <v>7700</v>
      </c>
      <c r="R977" s="8">
        <v>0</v>
      </c>
      <c r="S977" s="8">
        <v>7700</v>
      </c>
      <c r="T977" s="8">
        <v>4514.6899999999996</v>
      </c>
      <c r="U977" s="8">
        <v>3185.31</v>
      </c>
      <c r="V977" s="8" t="b">
        <f t="shared" si="94"/>
        <v>0</v>
      </c>
      <c r="W977" s="8">
        <f t="shared" si="95"/>
        <v>0</v>
      </c>
      <c r="X977" t="s">
        <v>46</v>
      </c>
      <c r="Y977" t="s">
        <v>47</v>
      </c>
      <c r="Z977" t="s">
        <v>38</v>
      </c>
      <c r="AA977">
        <v>4</v>
      </c>
      <c r="AB977" t="s">
        <v>75</v>
      </c>
      <c r="AC977" t="s">
        <v>49</v>
      </c>
    </row>
    <row r="978" spans="1:29" x14ac:dyDescent="0.3">
      <c r="A978" t="s">
        <v>1109</v>
      </c>
      <c r="B978" s="6">
        <v>45896</v>
      </c>
      <c r="C978" s="6" t="str">
        <f t="shared" si="90"/>
        <v>4 PM - 8 PM</v>
      </c>
      <c r="D978" s="4">
        <v>0.75555555555555554</v>
      </c>
      <c r="E978" t="s">
        <v>622</v>
      </c>
      <c r="F978" t="s">
        <v>24</v>
      </c>
      <c r="G978" t="s">
        <v>33</v>
      </c>
      <c r="H978" t="s">
        <v>43</v>
      </c>
      <c r="I978" t="s">
        <v>98</v>
      </c>
      <c r="J978" t="s">
        <v>93</v>
      </c>
      <c r="K978">
        <v>2</v>
      </c>
      <c r="L978" s="8">
        <v>3400</v>
      </c>
      <c r="M978" s="8" t="str">
        <f t="shared" si="91"/>
        <v>11-20%</v>
      </c>
      <c r="N978">
        <v>20</v>
      </c>
      <c r="O978" t="str">
        <f t="shared" si="92"/>
        <v>Valid</v>
      </c>
      <c r="P978" t="str">
        <f t="shared" si="93"/>
        <v>Match</v>
      </c>
      <c r="Q978" s="8">
        <v>6800</v>
      </c>
      <c r="R978" s="8">
        <v>1360</v>
      </c>
      <c r="S978" s="8">
        <v>5440</v>
      </c>
      <c r="T978" s="8">
        <v>3653.5</v>
      </c>
      <c r="U978" s="8">
        <v>1786.5</v>
      </c>
      <c r="V978" s="8" t="b">
        <f t="shared" si="94"/>
        <v>0</v>
      </c>
      <c r="W978" s="8">
        <f t="shared" si="95"/>
        <v>0</v>
      </c>
      <c r="X978" t="s">
        <v>79</v>
      </c>
      <c r="Y978" t="s">
        <v>65</v>
      </c>
      <c r="Z978" t="s">
        <v>64</v>
      </c>
      <c r="AA978">
        <v>3</v>
      </c>
      <c r="AB978" t="s">
        <v>90</v>
      </c>
      <c r="AC978" t="s">
        <v>40</v>
      </c>
    </row>
    <row r="979" spans="1:29" x14ac:dyDescent="0.3">
      <c r="A979" t="s">
        <v>1110</v>
      </c>
      <c r="B979" s="6">
        <v>45970</v>
      </c>
      <c r="C979" s="6" t="str">
        <f t="shared" si="90"/>
        <v>4 AM - 8 AM</v>
      </c>
      <c r="D979" s="4">
        <v>0.27500000000000002</v>
      </c>
      <c r="E979" t="s">
        <v>32</v>
      </c>
      <c r="F979" t="s">
        <v>24</v>
      </c>
      <c r="G979" t="s">
        <v>120</v>
      </c>
      <c r="H979" t="s">
        <v>26</v>
      </c>
      <c r="I979" t="s">
        <v>98</v>
      </c>
      <c r="J979" t="s">
        <v>35</v>
      </c>
      <c r="K979">
        <v>1</v>
      </c>
      <c r="L979" s="8">
        <v>12100</v>
      </c>
      <c r="M979" s="8" t="str">
        <f t="shared" si="91"/>
        <v>21-30%</v>
      </c>
      <c r="N979">
        <v>25</v>
      </c>
      <c r="O979" t="str">
        <f t="shared" si="92"/>
        <v>Valid</v>
      </c>
      <c r="P979" t="str">
        <f t="shared" si="93"/>
        <v>Match</v>
      </c>
      <c r="Q979" s="8">
        <v>12100</v>
      </c>
      <c r="R979" s="8">
        <v>3025</v>
      </c>
      <c r="S979" s="8">
        <v>9075</v>
      </c>
      <c r="T979" s="8">
        <v>7090.76</v>
      </c>
      <c r="U979" s="8">
        <v>1984.24</v>
      </c>
      <c r="V979" s="8" t="b">
        <f t="shared" si="94"/>
        <v>0</v>
      </c>
      <c r="W979" s="8">
        <f t="shared" si="95"/>
        <v>0</v>
      </c>
      <c r="X979" t="s">
        <v>79</v>
      </c>
      <c r="Y979" t="s">
        <v>47</v>
      </c>
      <c r="Z979" t="s">
        <v>38</v>
      </c>
      <c r="AA979">
        <v>3.5</v>
      </c>
      <c r="AB979" t="s">
        <v>75</v>
      </c>
      <c r="AC979" t="s">
        <v>30</v>
      </c>
    </row>
    <row r="980" spans="1:29" x14ac:dyDescent="0.3">
      <c r="A980" t="s">
        <v>1111</v>
      </c>
      <c r="B980" s="6">
        <v>45811</v>
      </c>
      <c r="C980" s="6" t="str">
        <f t="shared" si="90"/>
        <v>12 AM - 4 AM</v>
      </c>
      <c r="D980" s="4">
        <v>7.3611111111111113E-2</v>
      </c>
      <c r="E980" t="s">
        <v>108</v>
      </c>
      <c r="F980" t="s">
        <v>51</v>
      </c>
      <c r="G980" t="s">
        <v>153</v>
      </c>
      <c r="H980" t="s">
        <v>113</v>
      </c>
      <c r="I980" t="s">
        <v>63</v>
      </c>
      <c r="J980" t="s">
        <v>45</v>
      </c>
      <c r="K980">
        <v>2</v>
      </c>
      <c r="L980" s="8">
        <v>3050</v>
      </c>
      <c r="M980" s="8" t="str">
        <f t="shared" si="91"/>
        <v>0%</v>
      </c>
      <c r="N980">
        <v>0</v>
      </c>
      <c r="O980" t="str">
        <f t="shared" si="92"/>
        <v>Valid</v>
      </c>
      <c r="P980" t="str">
        <f t="shared" si="93"/>
        <v>Match</v>
      </c>
      <c r="Q980" s="8">
        <v>6100</v>
      </c>
      <c r="R980" s="8">
        <v>0</v>
      </c>
      <c r="S980" s="8">
        <v>6100</v>
      </c>
      <c r="T980" s="8">
        <v>3970.8</v>
      </c>
      <c r="U980" s="8">
        <v>2129.1999999999998</v>
      </c>
      <c r="V980" s="8" t="b">
        <f t="shared" si="94"/>
        <v>0</v>
      </c>
      <c r="W980" s="8">
        <f t="shared" si="95"/>
        <v>0</v>
      </c>
      <c r="X980" t="s">
        <v>28</v>
      </c>
      <c r="Y980" t="s">
        <v>104</v>
      </c>
      <c r="Z980" t="s">
        <v>45</v>
      </c>
      <c r="AA980">
        <v>4</v>
      </c>
      <c r="AB980" t="s">
        <v>48</v>
      </c>
      <c r="AC980" t="s">
        <v>86</v>
      </c>
    </row>
    <row r="981" spans="1:29" x14ac:dyDescent="0.3">
      <c r="A981" t="s">
        <v>1112</v>
      </c>
      <c r="B981" s="6">
        <v>45850</v>
      </c>
      <c r="C981" s="6" t="str">
        <f t="shared" si="90"/>
        <v>12 PM - 4 PM</v>
      </c>
      <c r="D981" s="4">
        <v>0.65138888888888891</v>
      </c>
      <c r="E981" t="s">
        <v>32</v>
      </c>
      <c r="F981" t="s">
        <v>24</v>
      </c>
      <c r="G981" t="s">
        <v>25</v>
      </c>
      <c r="H981" t="s">
        <v>26</v>
      </c>
      <c r="I981" t="s">
        <v>82</v>
      </c>
      <c r="J981" t="s">
        <v>35</v>
      </c>
      <c r="K981">
        <v>1</v>
      </c>
      <c r="L981" s="8">
        <v>8450</v>
      </c>
      <c r="M981" s="8" t="str">
        <f t="shared" si="91"/>
        <v>21-30%</v>
      </c>
      <c r="N981">
        <v>30</v>
      </c>
      <c r="O981" t="str">
        <f t="shared" si="92"/>
        <v>Valid</v>
      </c>
      <c r="P981" t="str">
        <f t="shared" si="93"/>
        <v>Match</v>
      </c>
      <c r="Q981" s="8">
        <v>8450</v>
      </c>
      <c r="R981" s="8">
        <v>2535</v>
      </c>
      <c r="S981" s="8">
        <v>5915</v>
      </c>
      <c r="T981" s="8">
        <v>5593.3</v>
      </c>
      <c r="U981" s="8">
        <v>321.7</v>
      </c>
      <c r="V981" s="8" t="b">
        <f t="shared" si="94"/>
        <v>0</v>
      </c>
      <c r="W981" s="8">
        <f t="shared" si="95"/>
        <v>0</v>
      </c>
      <c r="X981" t="s">
        <v>230</v>
      </c>
      <c r="Y981" t="s">
        <v>47</v>
      </c>
      <c r="Z981" t="s">
        <v>80</v>
      </c>
      <c r="AA981">
        <v>5</v>
      </c>
      <c r="AB981" t="s">
        <v>29</v>
      </c>
      <c r="AC981" t="s">
        <v>71</v>
      </c>
    </row>
    <row r="982" spans="1:29" x14ac:dyDescent="0.3">
      <c r="A982" t="s">
        <v>1113</v>
      </c>
      <c r="B982" s="6">
        <v>45669</v>
      </c>
      <c r="C982" s="6" t="str">
        <f t="shared" si="90"/>
        <v>8 AM - 12 PM</v>
      </c>
      <c r="D982" s="4">
        <v>0.39513888888888887</v>
      </c>
      <c r="E982" t="s">
        <v>32</v>
      </c>
      <c r="F982" t="s">
        <v>96</v>
      </c>
      <c r="G982" t="s">
        <v>97</v>
      </c>
      <c r="H982" t="s">
        <v>34</v>
      </c>
      <c r="I982" t="s">
        <v>103</v>
      </c>
      <c r="J982" t="s">
        <v>64</v>
      </c>
      <c r="K982">
        <v>2</v>
      </c>
      <c r="L982" s="8">
        <v>3200</v>
      </c>
      <c r="M982" s="8" t="str">
        <f t="shared" si="91"/>
        <v>1-10%</v>
      </c>
      <c r="N982">
        <v>5</v>
      </c>
      <c r="O982" t="str">
        <f t="shared" si="92"/>
        <v>Valid</v>
      </c>
      <c r="P982" t="str">
        <f t="shared" si="93"/>
        <v>Match</v>
      </c>
      <c r="Q982" s="8">
        <v>6400</v>
      </c>
      <c r="R982" s="8">
        <v>320</v>
      </c>
      <c r="S982" s="8">
        <v>6080</v>
      </c>
      <c r="T982" s="8">
        <v>4503.43</v>
      </c>
      <c r="U982" s="8">
        <v>1576.57</v>
      </c>
      <c r="V982" s="8" t="b">
        <f t="shared" si="94"/>
        <v>0</v>
      </c>
      <c r="W982" s="8">
        <f t="shared" si="95"/>
        <v>0</v>
      </c>
      <c r="X982" t="s">
        <v>28</v>
      </c>
      <c r="Y982" t="s">
        <v>89</v>
      </c>
      <c r="Z982" t="s">
        <v>85</v>
      </c>
      <c r="AA982">
        <v>3.5</v>
      </c>
      <c r="AB982" t="s">
        <v>151</v>
      </c>
      <c r="AC982" t="s">
        <v>30</v>
      </c>
    </row>
    <row r="983" spans="1:29" x14ac:dyDescent="0.3">
      <c r="A983" t="s">
        <v>1114</v>
      </c>
      <c r="B983" s="6">
        <v>45695</v>
      </c>
      <c r="C983" s="6" t="str">
        <f t="shared" si="90"/>
        <v>12 PM - 4 PM</v>
      </c>
      <c r="D983" s="4">
        <v>0.6166666666666667</v>
      </c>
      <c r="E983" t="s">
        <v>60</v>
      </c>
      <c r="F983" t="s">
        <v>51</v>
      </c>
      <c r="G983" t="s">
        <v>101</v>
      </c>
      <c r="H983" t="s">
        <v>74</v>
      </c>
      <c r="I983" t="s">
        <v>98</v>
      </c>
      <c r="J983" t="s">
        <v>45</v>
      </c>
      <c r="K983">
        <v>1</v>
      </c>
      <c r="L983" s="8">
        <v>16900</v>
      </c>
      <c r="M983" s="8" t="str">
        <f t="shared" si="91"/>
        <v>1-10%</v>
      </c>
      <c r="N983">
        <v>10</v>
      </c>
      <c r="O983" t="str">
        <f t="shared" si="92"/>
        <v>Valid</v>
      </c>
      <c r="P983" t="str">
        <f t="shared" si="93"/>
        <v>Match</v>
      </c>
      <c r="Q983" s="8">
        <v>16900</v>
      </c>
      <c r="R983" s="8">
        <v>1690</v>
      </c>
      <c r="S983" s="8">
        <v>15210</v>
      </c>
      <c r="T983" s="8">
        <v>9213.61</v>
      </c>
      <c r="U983" s="8">
        <v>5996.39</v>
      </c>
      <c r="V983" s="8" t="b">
        <f t="shared" si="94"/>
        <v>0</v>
      </c>
      <c r="W983" s="8">
        <f t="shared" si="95"/>
        <v>0</v>
      </c>
      <c r="X983" t="s">
        <v>28</v>
      </c>
      <c r="Y983" t="s">
        <v>104</v>
      </c>
      <c r="Z983" t="s">
        <v>85</v>
      </c>
      <c r="AA983">
        <v>4</v>
      </c>
      <c r="AB983" t="s">
        <v>66</v>
      </c>
      <c r="AC983" t="s">
        <v>58</v>
      </c>
    </row>
    <row r="984" spans="1:29" x14ac:dyDescent="0.3">
      <c r="A984" t="s">
        <v>1115</v>
      </c>
      <c r="B984" s="6">
        <v>45736</v>
      </c>
      <c r="C984" s="6" t="str">
        <f t="shared" si="90"/>
        <v>4 AM - 8 AM</v>
      </c>
      <c r="D984" s="4">
        <v>0.18888888888888888</v>
      </c>
      <c r="E984" t="s">
        <v>157</v>
      </c>
      <c r="F984" t="s">
        <v>51</v>
      </c>
      <c r="G984" t="s">
        <v>153</v>
      </c>
      <c r="H984" t="s">
        <v>102</v>
      </c>
      <c r="I984" t="s">
        <v>103</v>
      </c>
      <c r="J984" t="s">
        <v>35</v>
      </c>
      <c r="K984">
        <v>1</v>
      </c>
      <c r="L984" s="8">
        <v>1500</v>
      </c>
      <c r="M984" s="8" t="str">
        <f t="shared" si="91"/>
        <v>1-10%</v>
      </c>
      <c r="N984">
        <v>5</v>
      </c>
      <c r="O984" t="str">
        <f t="shared" si="92"/>
        <v>Valid</v>
      </c>
      <c r="P984" t="str">
        <f t="shared" si="93"/>
        <v>Match</v>
      </c>
      <c r="Q984" s="8">
        <v>1500</v>
      </c>
      <c r="R984" s="8">
        <v>75</v>
      </c>
      <c r="S984" s="8">
        <v>1425</v>
      </c>
      <c r="T984" s="8">
        <v>1030.31</v>
      </c>
      <c r="U984" s="8">
        <v>394.69</v>
      </c>
      <c r="V984" s="8" t="b">
        <f t="shared" si="94"/>
        <v>0</v>
      </c>
      <c r="W984" s="8">
        <f t="shared" si="95"/>
        <v>0</v>
      </c>
      <c r="X984" t="s">
        <v>28</v>
      </c>
      <c r="Y984" t="s">
        <v>37</v>
      </c>
      <c r="Z984" t="s">
        <v>64</v>
      </c>
      <c r="AA984">
        <v>3</v>
      </c>
      <c r="AB984" t="s">
        <v>127</v>
      </c>
      <c r="AC984" t="s">
        <v>67</v>
      </c>
    </row>
    <row r="985" spans="1:29" x14ac:dyDescent="0.3">
      <c r="A985" t="s">
        <v>1116</v>
      </c>
      <c r="B985" s="6">
        <v>45882</v>
      </c>
      <c r="C985" s="6" t="str">
        <f t="shared" si="90"/>
        <v>12 AM - 4 AM</v>
      </c>
      <c r="D985" s="4">
        <v>4.7222222222222221E-2</v>
      </c>
      <c r="E985" t="s">
        <v>622</v>
      </c>
      <c r="F985" t="s">
        <v>24</v>
      </c>
      <c r="G985" t="s">
        <v>84</v>
      </c>
      <c r="H985" t="s">
        <v>62</v>
      </c>
      <c r="I985" t="s">
        <v>27</v>
      </c>
      <c r="J985" t="s">
        <v>35</v>
      </c>
      <c r="K985">
        <v>1</v>
      </c>
      <c r="L985" s="8">
        <v>33450</v>
      </c>
      <c r="M985" s="8" t="str">
        <f t="shared" si="91"/>
        <v>11-20%</v>
      </c>
      <c r="N985">
        <v>20</v>
      </c>
      <c r="O985" t="str">
        <f t="shared" si="92"/>
        <v>Valid</v>
      </c>
      <c r="P985" t="str">
        <f t="shared" si="93"/>
        <v>Match</v>
      </c>
      <c r="Q985" s="8">
        <v>33450</v>
      </c>
      <c r="R985" s="8">
        <v>6690</v>
      </c>
      <c r="S985" s="8">
        <v>26760</v>
      </c>
      <c r="T985" s="8">
        <v>22384.06</v>
      </c>
      <c r="U985" s="8">
        <v>4375.9399999999996</v>
      </c>
      <c r="V985" s="8" t="b">
        <f t="shared" si="94"/>
        <v>0</v>
      </c>
      <c r="W985" s="8">
        <f t="shared" si="95"/>
        <v>0</v>
      </c>
      <c r="X985" t="s">
        <v>55</v>
      </c>
      <c r="Y985" t="s">
        <v>70</v>
      </c>
      <c r="Z985" t="s">
        <v>64</v>
      </c>
      <c r="AA985">
        <v>4</v>
      </c>
      <c r="AB985" t="s">
        <v>90</v>
      </c>
      <c r="AC985" t="s">
        <v>40</v>
      </c>
    </row>
    <row r="986" spans="1:29" x14ac:dyDescent="0.3">
      <c r="A986" t="s">
        <v>1117</v>
      </c>
      <c r="B986" s="6">
        <v>45824</v>
      </c>
      <c r="C986" s="6" t="str">
        <f t="shared" si="90"/>
        <v>12 AM - 4 AM</v>
      </c>
      <c r="D986" s="4">
        <v>0.15486111111111112</v>
      </c>
      <c r="E986" t="s">
        <v>69</v>
      </c>
      <c r="F986" t="s">
        <v>24</v>
      </c>
      <c r="G986" t="s">
        <v>33</v>
      </c>
      <c r="H986" t="s">
        <v>113</v>
      </c>
      <c r="I986" t="s">
        <v>63</v>
      </c>
      <c r="J986" t="s">
        <v>35</v>
      </c>
      <c r="K986">
        <v>2</v>
      </c>
      <c r="L986" s="8">
        <v>2300</v>
      </c>
      <c r="M986" s="8" t="str">
        <f t="shared" si="91"/>
        <v>21-30%</v>
      </c>
      <c r="N986">
        <v>25</v>
      </c>
      <c r="O986" t="str">
        <f t="shared" si="92"/>
        <v>Valid</v>
      </c>
      <c r="P986" t="str">
        <f t="shared" si="93"/>
        <v>Match</v>
      </c>
      <c r="Q986" s="8">
        <v>4600</v>
      </c>
      <c r="R986" s="8">
        <v>1150</v>
      </c>
      <c r="S986" s="8">
        <v>3450</v>
      </c>
      <c r="T986" s="8">
        <v>3078.54</v>
      </c>
      <c r="U986" s="8">
        <v>371.46</v>
      </c>
      <c r="V986" s="8" t="b">
        <f t="shared" si="94"/>
        <v>0</v>
      </c>
      <c r="W986" s="8">
        <f t="shared" si="95"/>
        <v>0</v>
      </c>
      <c r="X986" t="s">
        <v>46</v>
      </c>
      <c r="Y986" t="s">
        <v>37</v>
      </c>
      <c r="Z986" t="s">
        <v>56</v>
      </c>
      <c r="AA986">
        <v>3</v>
      </c>
      <c r="AB986" t="s">
        <v>48</v>
      </c>
      <c r="AC986" t="s">
        <v>49</v>
      </c>
    </row>
    <row r="987" spans="1:29" x14ac:dyDescent="0.3">
      <c r="A987" t="s">
        <v>1118</v>
      </c>
      <c r="B987" s="6">
        <v>45742</v>
      </c>
      <c r="C987" s="6" t="str">
        <f t="shared" si="90"/>
        <v>12 PM - 4 PM</v>
      </c>
      <c r="D987" s="4">
        <v>0.58472222222222225</v>
      </c>
      <c r="E987" t="s">
        <v>77</v>
      </c>
      <c r="F987" t="s">
        <v>24</v>
      </c>
      <c r="G987" t="s">
        <v>88</v>
      </c>
      <c r="H987" t="s">
        <v>34</v>
      </c>
      <c r="I987" t="s">
        <v>98</v>
      </c>
      <c r="J987" t="s">
        <v>35</v>
      </c>
      <c r="K987">
        <v>1</v>
      </c>
      <c r="L987" s="8">
        <v>1200</v>
      </c>
      <c r="M987" s="8" t="str">
        <f t="shared" si="91"/>
        <v>21-30%</v>
      </c>
      <c r="N987">
        <v>25</v>
      </c>
      <c r="O987" t="str">
        <f t="shared" si="92"/>
        <v>Valid</v>
      </c>
      <c r="P987" t="str">
        <f t="shared" si="93"/>
        <v>Match</v>
      </c>
      <c r="Q987" s="8">
        <v>1200</v>
      </c>
      <c r="R987" s="8">
        <v>300</v>
      </c>
      <c r="S987" s="8">
        <v>900</v>
      </c>
      <c r="T987" s="8">
        <v>827.57</v>
      </c>
      <c r="U987" s="8">
        <v>72.430000000000007</v>
      </c>
      <c r="V987" s="8" t="b">
        <f t="shared" si="94"/>
        <v>0</v>
      </c>
      <c r="W987" s="8">
        <f t="shared" si="95"/>
        <v>0</v>
      </c>
      <c r="X987" t="s">
        <v>55</v>
      </c>
      <c r="Y987" t="s">
        <v>70</v>
      </c>
      <c r="Z987" t="s">
        <v>56</v>
      </c>
      <c r="AA987">
        <v>4</v>
      </c>
      <c r="AB987" t="s">
        <v>127</v>
      </c>
      <c r="AC987" t="s">
        <v>40</v>
      </c>
    </row>
    <row r="988" spans="1:29" x14ac:dyDescent="0.3">
      <c r="A988" t="s">
        <v>1119</v>
      </c>
      <c r="B988" s="6">
        <v>45915</v>
      </c>
      <c r="C988" s="6" t="str">
        <f t="shared" si="90"/>
        <v>12 AM - 4 AM</v>
      </c>
      <c r="D988" s="4">
        <v>7.7083333333333337E-2</v>
      </c>
      <c r="E988" t="s">
        <v>622</v>
      </c>
      <c r="F988" t="s">
        <v>24</v>
      </c>
      <c r="G988" t="s">
        <v>42</v>
      </c>
      <c r="H988" t="s">
        <v>34</v>
      </c>
      <c r="I988" t="s">
        <v>54</v>
      </c>
      <c r="J988" t="s">
        <v>35</v>
      </c>
      <c r="K988">
        <v>1</v>
      </c>
      <c r="L988" s="8">
        <v>124900</v>
      </c>
      <c r="M988" s="8" t="str">
        <f t="shared" si="91"/>
        <v>1-10%</v>
      </c>
      <c r="N988">
        <v>10</v>
      </c>
      <c r="O988" t="str">
        <f t="shared" si="92"/>
        <v>Valid</v>
      </c>
      <c r="P988" t="str">
        <f t="shared" si="93"/>
        <v>Match</v>
      </c>
      <c r="Q988" s="8">
        <v>124900</v>
      </c>
      <c r="R988" s="8">
        <v>12490</v>
      </c>
      <c r="S988" s="8">
        <v>112410</v>
      </c>
      <c r="T988" s="8">
        <v>69748.81</v>
      </c>
      <c r="U988" s="8">
        <v>42661.19</v>
      </c>
      <c r="V988" s="8" t="b">
        <f t="shared" si="94"/>
        <v>0</v>
      </c>
      <c r="W988" s="8">
        <f t="shared" si="95"/>
        <v>0</v>
      </c>
      <c r="X988" t="s">
        <v>28</v>
      </c>
      <c r="Y988" t="s">
        <v>89</v>
      </c>
      <c r="Z988" t="s">
        <v>56</v>
      </c>
      <c r="AA988">
        <v>3</v>
      </c>
      <c r="AB988" t="s">
        <v>155</v>
      </c>
      <c r="AC988" t="s">
        <v>49</v>
      </c>
    </row>
    <row r="989" spans="1:29" x14ac:dyDescent="0.3">
      <c r="A989" t="s">
        <v>1120</v>
      </c>
      <c r="B989" s="6">
        <v>45827</v>
      </c>
      <c r="C989" s="6" t="str">
        <f t="shared" si="90"/>
        <v>12 AM - 4 AM</v>
      </c>
      <c r="D989" s="4">
        <v>8.5416666666666669E-2</v>
      </c>
      <c r="E989" t="s">
        <v>622</v>
      </c>
      <c r="F989" t="s">
        <v>24</v>
      </c>
      <c r="G989" t="s">
        <v>84</v>
      </c>
      <c r="H989" t="s">
        <v>26</v>
      </c>
      <c r="I989" t="s">
        <v>54</v>
      </c>
      <c r="J989" t="s">
        <v>35</v>
      </c>
      <c r="K989">
        <v>2</v>
      </c>
      <c r="L989" s="8">
        <v>30150</v>
      </c>
      <c r="M989" s="8" t="str">
        <f t="shared" si="91"/>
        <v>21-30%</v>
      </c>
      <c r="N989">
        <v>30</v>
      </c>
      <c r="O989" t="str">
        <f t="shared" si="92"/>
        <v>Valid</v>
      </c>
      <c r="P989" t="str">
        <f t="shared" si="93"/>
        <v>Match</v>
      </c>
      <c r="Q989" s="8">
        <v>60300</v>
      </c>
      <c r="R989" s="8">
        <v>18090</v>
      </c>
      <c r="S989" s="8">
        <v>42210</v>
      </c>
      <c r="T989" s="8">
        <v>39359.18</v>
      </c>
      <c r="U989" s="8">
        <v>2850.82</v>
      </c>
      <c r="V989" s="8" t="b">
        <f t="shared" si="94"/>
        <v>0</v>
      </c>
      <c r="W989" s="8">
        <f t="shared" si="95"/>
        <v>0</v>
      </c>
      <c r="X989" t="s">
        <v>28</v>
      </c>
      <c r="Y989" t="s">
        <v>65</v>
      </c>
      <c r="Z989" t="s">
        <v>80</v>
      </c>
      <c r="AA989">
        <v>4</v>
      </c>
      <c r="AB989" t="s">
        <v>48</v>
      </c>
      <c r="AC989" t="s">
        <v>67</v>
      </c>
    </row>
    <row r="990" spans="1:29" x14ac:dyDescent="0.3">
      <c r="A990" t="s">
        <v>1121</v>
      </c>
      <c r="B990" s="6">
        <v>45713</v>
      </c>
      <c r="C990" s="6" t="str">
        <f t="shared" si="90"/>
        <v>12 PM - 4 PM</v>
      </c>
      <c r="D990" s="4">
        <v>0.62777777777777777</v>
      </c>
      <c r="E990" t="s">
        <v>60</v>
      </c>
      <c r="F990" t="s">
        <v>24</v>
      </c>
      <c r="G990" t="s">
        <v>120</v>
      </c>
      <c r="H990" t="s">
        <v>102</v>
      </c>
      <c r="I990" t="s">
        <v>27</v>
      </c>
      <c r="J990" t="s">
        <v>78</v>
      </c>
      <c r="K990">
        <v>2</v>
      </c>
      <c r="L990" s="8">
        <v>9500</v>
      </c>
      <c r="M990" s="8" t="str">
        <f t="shared" si="91"/>
        <v>1-10%</v>
      </c>
      <c r="N990">
        <v>10</v>
      </c>
      <c r="O990" t="str">
        <f t="shared" si="92"/>
        <v>Valid</v>
      </c>
      <c r="P990" t="str">
        <f t="shared" si="93"/>
        <v>Match</v>
      </c>
      <c r="Q990" s="8">
        <v>19000</v>
      </c>
      <c r="R990" s="8">
        <v>1900</v>
      </c>
      <c r="S990" s="8">
        <v>17100</v>
      </c>
      <c r="T990" s="8">
        <v>11127.63</v>
      </c>
      <c r="U990" s="8">
        <v>5972.37</v>
      </c>
      <c r="V990" s="8" t="b">
        <f t="shared" si="94"/>
        <v>0</v>
      </c>
      <c r="W990" s="8">
        <f t="shared" si="95"/>
        <v>0</v>
      </c>
      <c r="X990" t="s">
        <v>36</v>
      </c>
      <c r="Y990" t="s">
        <v>70</v>
      </c>
      <c r="Z990" t="s">
        <v>80</v>
      </c>
      <c r="AA990">
        <v>4</v>
      </c>
      <c r="AB990" t="s">
        <v>66</v>
      </c>
      <c r="AC990" t="s">
        <v>86</v>
      </c>
    </row>
    <row r="991" spans="1:29" x14ac:dyDescent="0.3">
      <c r="A991" t="s">
        <v>1122</v>
      </c>
      <c r="B991" s="6">
        <v>45874</v>
      </c>
      <c r="C991" s="6" t="str">
        <f t="shared" si="90"/>
        <v>4 PM - 8 PM</v>
      </c>
      <c r="D991" s="4">
        <v>0.67152777777777772</v>
      </c>
      <c r="E991" t="s">
        <v>32</v>
      </c>
      <c r="F991" t="s">
        <v>96</v>
      </c>
      <c r="G991" t="s">
        <v>134</v>
      </c>
      <c r="H991" t="s">
        <v>43</v>
      </c>
      <c r="I991" t="s">
        <v>125</v>
      </c>
      <c r="J991" t="s">
        <v>35</v>
      </c>
      <c r="K991">
        <v>1</v>
      </c>
      <c r="L991" s="8">
        <v>4300</v>
      </c>
      <c r="M991" s="8" t="str">
        <f t="shared" si="91"/>
        <v>21-30%</v>
      </c>
      <c r="N991">
        <v>30</v>
      </c>
      <c r="O991" t="str">
        <f t="shared" si="92"/>
        <v>Valid</v>
      </c>
      <c r="P991" t="str">
        <f t="shared" si="93"/>
        <v>Match</v>
      </c>
      <c r="Q991" s="8">
        <v>4300</v>
      </c>
      <c r="R991" s="8">
        <v>1290</v>
      </c>
      <c r="S991" s="8">
        <v>3010</v>
      </c>
      <c r="T991" s="8">
        <v>2523.5300000000002</v>
      </c>
      <c r="U991" s="8">
        <v>486.47</v>
      </c>
      <c r="V991" s="8" t="b">
        <f t="shared" si="94"/>
        <v>0</v>
      </c>
      <c r="W991" s="8">
        <f t="shared" si="95"/>
        <v>0</v>
      </c>
      <c r="X991" t="s">
        <v>79</v>
      </c>
      <c r="Y991" t="s">
        <v>47</v>
      </c>
      <c r="Z991" t="s">
        <v>64</v>
      </c>
      <c r="AA991">
        <v>2.5</v>
      </c>
      <c r="AB991" t="s">
        <v>90</v>
      </c>
      <c r="AC991" t="s">
        <v>86</v>
      </c>
    </row>
    <row r="992" spans="1:29" x14ac:dyDescent="0.3">
      <c r="A992" t="s">
        <v>1123</v>
      </c>
      <c r="B992" s="6">
        <v>45861</v>
      </c>
      <c r="C992" s="6" t="str">
        <f t="shared" si="90"/>
        <v>12 PM - 4 PM</v>
      </c>
      <c r="D992" s="4">
        <v>0.63263888888888886</v>
      </c>
      <c r="E992" t="s">
        <v>32</v>
      </c>
      <c r="F992" t="s">
        <v>24</v>
      </c>
      <c r="G992" t="s">
        <v>42</v>
      </c>
      <c r="H992" t="s">
        <v>102</v>
      </c>
      <c r="I992" t="s">
        <v>44</v>
      </c>
      <c r="J992" t="s">
        <v>78</v>
      </c>
      <c r="K992">
        <v>1</v>
      </c>
      <c r="L992" s="8">
        <v>115700</v>
      </c>
      <c r="M992" s="8" t="str">
        <f t="shared" si="91"/>
        <v>30%+</v>
      </c>
      <c r="N992" t="s">
        <v>838</v>
      </c>
      <c r="O992" t="str">
        <f t="shared" si="92"/>
        <v>Invalid Discount</v>
      </c>
      <c r="P992" t="str">
        <f t="shared" si="93"/>
        <v>Match</v>
      </c>
      <c r="Q992" s="8">
        <v>115700</v>
      </c>
      <c r="R992" s="8">
        <v>5785</v>
      </c>
      <c r="S992" s="8">
        <v>109915</v>
      </c>
      <c r="T992" s="8">
        <v>85546.01</v>
      </c>
      <c r="U992" s="8">
        <v>24368.99</v>
      </c>
      <c r="V992" s="8" t="b">
        <f t="shared" si="94"/>
        <v>0</v>
      </c>
      <c r="W992" s="8">
        <f t="shared" si="95"/>
        <v>0</v>
      </c>
      <c r="X992" t="s">
        <v>55</v>
      </c>
      <c r="Y992" t="s">
        <v>47</v>
      </c>
      <c r="Z992" t="s">
        <v>45</v>
      </c>
      <c r="AA992">
        <v>3</v>
      </c>
      <c r="AB992" t="s">
        <v>29</v>
      </c>
      <c r="AC992" t="s">
        <v>40</v>
      </c>
    </row>
    <row r="993" spans="1:29" x14ac:dyDescent="0.3">
      <c r="A993" t="s">
        <v>1124</v>
      </c>
      <c r="B993" s="6">
        <v>45891</v>
      </c>
      <c r="C993" s="6" t="str">
        <f t="shared" si="90"/>
        <v>12 PM - 4 PM</v>
      </c>
      <c r="D993" s="4">
        <v>0.55972222222222223</v>
      </c>
      <c r="E993" t="s">
        <v>60</v>
      </c>
      <c r="F993" t="s">
        <v>96</v>
      </c>
      <c r="G993" t="s">
        <v>134</v>
      </c>
      <c r="H993" t="s">
        <v>26</v>
      </c>
      <c r="I993" t="s">
        <v>125</v>
      </c>
      <c r="J993" t="s">
        <v>35</v>
      </c>
      <c r="K993">
        <v>1</v>
      </c>
      <c r="L993" s="8">
        <v>5250</v>
      </c>
      <c r="M993" s="8" t="str">
        <f t="shared" si="91"/>
        <v>11-20%</v>
      </c>
      <c r="N993">
        <v>15</v>
      </c>
      <c r="O993" t="str">
        <f t="shared" si="92"/>
        <v>Valid</v>
      </c>
      <c r="P993" t="str">
        <f t="shared" si="93"/>
        <v>Match</v>
      </c>
      <c r="Q993" s="8">
        <v>5250</v>
      </c>
      <c r="R993" s="8">
        <v>787.5</v>
      </c>
      <c r="S993" s="8">
        <v>4462.5</v>
      </c>
      <c r="T993" s="8">
        <v>3479.49</v>
      </c>
      <c r="U993" s="8">
        <v>983.01</v>
      </c>
      <c r="V993" s="8" t="b">
        <f t="shared" si="94"/>
        <v>0</v>
      </c>
      <c r="W993" s="8">
        <f t="shared" si="95"/>
        <v>0</v>
      </c>
      <c r="X993" t="s">
        <v>28</v>
      </c>
      <c r="Y993" t="s">
        <v>104</v>
      </c>
      <c r="Z993" t="s">
        <v>56</v>
      </c>
      <c r="AA993">
        <v>3</v>
      </c>
      <c r="AB993" t="s">
        <v>90</v>
      </c>
      <c r="AC993" t="s">
        <v>58</v>
      </c>
    </row>
    <row r="994" spans="1:29" x14ac:dyDescent="0.3">
      <c r="A994" t="s">
        <v>1125</v>
      </c>
      <c r="B994" s="6">
        <v>45678</v>
      </c>
      <c r="C994" s="6" t="str">
        <f t="shared" si="90"/>
        <v>8 AM - 12 PM</v>
      </c>
      <c r="D994" s="4">
        <v>0.46736111111111112</v>
      </c>
      <c r="E994" t="s">
        <v>32</v>
      </c>
      <c r="F994" t="s">
        <v>51</v>
      </c>
      <c r="G994" t="s">
        <v>122</v>
      </c>
      <c r="H994" t="s">
        <v>26</v>
      </c>
      <c r="I994" t="s">
        <v>103</v>
      </c>
      <c r="J994" t="s">
        <v>35</v>
      </c>
      <c r="K994">
        <v>1</v>
      </c>
      <c r="L994" s="8">
        <v>4650</v>
      </c>
      <c r="M994" s="8" t="str">
        <f t="shared" si="91"/>
        <v>0%</v>
      </c>
      <c r="N994">
        <v>0</v>
      </c>
      <c r="O994" t="str">
        <f t="shared" si="92"/>
        <v>Valid</v>
      </c>
      <c r="P994" t="str">
        <f t="shared" si="93"/>
        <v>Match</v>
      </c>
      <c r="Q994" s="8">
        <v>4650</v>
      </c>
      <c r="R994" s="8">
        <v>0</v>
      </c>
      <c r="S994" s="8">
        <v>4650</v>
      </c>
      <c r="T994" s="8">
        <v>2733.35</v>
      </c>
      <c r="U994" s="8">
        <v>1916.65</v>
      </c>
      <c r="V994" s="8" t="b">
        <f t="shared" si="94"/>
        <v>0</v>
      </c>
      <c r="W994" s="8">
        <f t="shared" si="95"/>
        <v>0</v>
      </c>
      <c r="X994" t="s">
        <v>36</v>
      </c>
      <c r="Y994" t="s">
        <v>94</v>
      </c>
      <c r="Z994" t="s">
        <v>85</v>
      </c>
      <c r="AA994">
        <v>4.5</v>
      </c>
      <c r="AB994" t="s">
        <v>151</v>
      </c>
      <c r="AC994" t="s">
        <v>86</v>
      </c>
    </row>
    <row r="995" spans="1:29" x14ac:dyDescent="0.3">
      <c r="A995" t="s">
        <v>1126</v>
      </c>
      <c r="B995" s="6">
        <v>45717</v>
      </c>
      <c r="C995" s="6" t="str">
        <f t="shared" si="90"/>
        <v>4 AM - 8 AM</v>
      </c>
      <c r="D995" s="4">
        <v>0.22847222222222222</v>
      </c>
      <c r="E995" t="s">
        <v>60</v>
      </c>
      <c r="F995" t="s">
        <v>24</v>
      </c>
      <c r="G995" t="s">
        <v>25</v>
      </c>
      <c r="H995" t="s">
        <v>26</v>
      </c>
      <c r="I995" t="s">
        <v>98</v>
      </c>
      <c r="J995" t="s">
        <v>45</v>
      </c>
      <c r="K995">
        <v>1</v>
      </c>
      <c r="L995" s="8">
        <v>4800</v>
      </c>
      <c r="M995" s="8" t="str">
        <f t="shared" si="91"/>
        <v>1-10%</v>
      </c>
      <c r="N995">
        <v>5</v>
      </c>
      <c r="O995" t="str">
        <f t="shared" si="92"/>
        <v>Valid</v>
      </c>
      <c r="P995" t="str">
        <f t="shared" si="93"/>
        <v>Match</v>
      </c>
      <c r="Q995" s="8">
        <v>4800</v>
      </c>
      <c r="R995" s="8">
        <v>240</v>
      </c>
      <c r="S995" s="8">
        <v>4560</v>
      </c>
      <c r="T995" s="8">
        <v>3195.51</v>
      </c>
      <c r="U995" s="8">
        <v>1364.49</v>
      </c>
      <c r="V995" s="8" t="b">
        <f t="shared" si="94"/>
        <v>0</v>
      </c>
      <c r="W995" s="8">
        <f t="shared" si="95"/>
        <v>0</v>
      </c>
      <c r="X995" t="s">
        <v>28</v>
      </c>
      <c r="Y995" t="s">
        <v>94</v>
      </c>
      <c r="Z995" t="s">
        <v>38</v>
      </c>
      <c r="AA995">
        <v>5</v>
      </c>
      <c r="AB995" t="s">
        <v>127</v>
      </c>
      <c r="AC995" t="s">
        <v>71</v>
      </c>
    </row>
    <row r="996" spans="1:29" x14ac:dyDescent="0.3">
      <c r="A996" t="s">
        <v>1127</v>
      </c>
      <c r="B996" s="6">
        <v>45706</v>
      </c>
      <c r="C996" s="6" t="str">
        <f t="shared" si="90"/>
        <v>8 AM - 12 PM</v>
      </c>
      <c r="D996" s="4">
        <v>0.43541666666666667</v>
      </c>
      <c r="E996" t="s">
        <v>60</v>
      </c>
      <c r="F996" t="s">
        <v>24</v>
      </c>
      <c r="G996" t="s">
        <v>33</v>
      </c>
      <c r="H996" t="s">
        <v>43</v>
      </c>
      <c r="I996" t="s">
        <v>63</v>
      </c>
      <c r="J996" t="s">
        <v>45</v>
      </c>
      <c r="K996">
        <v>3</v>
      </c>
      <c r="L996" s="8">
        <v>2250</v>
      </c>
      <c r="M996" s="8" t="str">
        <f t="shared" si="91"/>
        <v>11-20%</v>
      </c>
      <c r="N996">
        <v>15</v>
      </c>
      <c r="O996" t="str">
        <f t="shared" si="92"/>
        <v>Valid</v>
      </c>
      <c r="P996" t="str">
        <f t="shared" si="93"/>
        <v>Match</v>
      </c>
      <c r="Q996" s="8">
        <v>6750</v>
      </c>
      <c r="R996" s="8">
        <v>1012.5</v>
      </c>
      <c r="S996" s="8">
        <v>5737.5</v>
      </c>
      <c r="T996" s="8">
        <v>4127.74</v>
      </c>
      <c r="U996" s="8">
        <v>1609.76</v>
      </c>
      <c r="V996" s="8" t="b">
        <f t="shared" si="94"/>
        <v>0</v>
      </c>
      <c r="W996" s="8">
        <f t="shared" si="95"/>
        <v>0</v>
      </c>
      <c r="X996" t="s">
        <v>46</v>
      </c>
      <c r="Y996" t="s">
        <v>37</v>
      </c>
      <c r="Z996" t="s">
        <v>45</v>
      </c>
      <c r="AA996">
        <v>5</v>
      </c>
      <c r="AB996" t="s">
        <v>66</v>
      </c>
      <c r="AC996" t="s">
        <v>86</v>
      </c>
    </row>
    <row r="997" spans="1:29" x14ac:dyDescent="0.3">
      <c r="A997" t="s">
        <v>1128</v>
      </c>
      <c r="B997" s="6">
        <v>45967</v>
      </c>
      <c r="C997" s="6" t="str">
        <f t="shared" si="90"/>
        <v>8 AM - 12 PM</v>
      </c>
      <c r="D997" s="4">
        <v>0.45347222222222222</v>
      </c>
      <c r="E997" t="s">
        <v>69</v>
      </c>
      <c r="F997" t="s">
        <v>24</v>
      </c>
      <c r="G997" t="s">
        <v>84</v>
      </c>
      <c r="H997" t="s">
        <v>102</v>
      </c>
      <c r="I997" t="s">
        <v>92</v>
      </c>
      <c r="J997" t="s">
        <v>35</v>
      </c>
      <c r="K997">
        <v>2</v>
      </c>
      <c r="L997" s="8">
        <v>21450</v>
      </c>
      <c r="M997" s="8" t="str">
        <f t="shared" si="91"/>
        <v>1-10%</v>
      </c>
      <c r="N997">
        <v>5</v>
      </c>
      <c r="O997" t="str">
        <f t="shared" si="92"/>
        <v>Valid</v>
      </c>
      <c r="P997" t="str">
        <f t="shared" si="93"/>
        <v>Match</v>
      </c>
      <c r="Q997" s="8">
        <v>42900</v>
      </c>
      <c r="R997" s="8">
        <v>2145</v>
      </c>
      <c r="S997" s="8">
        <v>40755</v>
      </c>
      <c r="T997" s="8">
        <v>28525.119999999999</v>
      </c>
      <c r="U997" s="8">
        <v>12229.88</v>
      </c>
      <c r="V997" s="8" t="b">
        <f t="shared" si="94"/>
        <v>0</v>
      </c>
      <c r="W997" s="8">
        <f t="shared" si="95"/>
        <v>0</v>
      </c>
      <c r="X997" t="s">
        <v>36</v>
      </c>
      <c r="Y997" t="s">
        <v>94</v>
      </c>
      <c r="Z997" t="s">
        <v>80</v>
      </c>
      <c r="AA997">
        <v>3</v>
      </c>
      <c r="AB997" t="s">
        <v>75</v>
      </c>
      <c r="AC997" t="s">
        <v>67</v>
      </c>
    </row>
    <row r="998" spans="1:29" x14ac:dyDescent="0.3">
      <c r="A998" t="s">
        <v>1129</v>
      </c>
      <c r="B998" s="6">
        <v>45690</v>
      </c>
      <c r="C998" s="6" t="str">
        <f t="shared" si="90"/>
        <v>8 AM - 12 PM</v>
      </c>
      <c r="D998" s="4">
        <v>0.34305555555555556</v>
      </c>
      <c r="E998" t="s">
        <v>60</v>
      </c>
      <c r="F998" t="s">
        <v>24</v>
      </c>
      <c r="G998" t="s">
        <v>61</v>
      </c>
      <c r="H998" t="s">
        <v>102</v>
      </c>
      <c r="I998" t="s">
        <v>63</v>
      </c>
      <c r="J998" t="s">
        <v>35</v>
      </c>
      <c r="K998">
        <v>1</v>
      </c>
      <c r="L998" s="8">
        <v>38300</v>
      </c>
      <c r="M998" s="8" t="str">
        <f t="shared" si="91"/>
        <v>11-20%</v>
      </c>
      <c r="N998">
        <v>20</v>
      </c>
      <c r="O998" t="str">
        <f t="shared" si="92"/>
        <v>Valid</v>
      </c>
      <c r="P998" t="str">
        <f t="shared" si="93"/>
        <v>Match</v>
      </c>
      <c r="Q998" s="8">
        <v>38300</v>
      </c>
      <c r="R998" s="8">
        <v>7660</v>
      </c>
      <c r="S998" s="8">
        <v>30640</v>
      </c>
      <c r="T998" s="8">
        <v>23584.49</v>
      </c>
      <c r="U998" s="8">
        <v>7055.51</v>
      </c>
      <c r="V998" s="8" t="b">
        <f t="shared" si="94"/>
        <v>0</v>
      </c>
      <c r="W998" s="8">
        <f t="shared" si="95"/>
        <v>0</v>
      </c>
      <c r="X998" t="s">
        <v>55</v>
      </c>
      <c r="Y998" t="s">
        <v>37</v>
      </c>
      <c r="Z998" t="s">
        <v>85</v>
      </c>
      <c r="AA998">
        <v>4</v>
      </c>
      <c r="AB998" t="s">
        <v>66</v>
      </c>
      <c r="AC998" t="s">
        <v>30</v>
      </c>
    </row>
    <row r="999" spans="1:29" x14ac:dyDescent="0.3">
      <c r="A999" t="s">
        <v>1130</v>
      </c>
      <c r="B999" s="6">
        <v>45730</v>
      </c>
      <c r="C999" s="6" t="str">
        <f t="shared" si="90"/>
        <v>4 AM - 8 AM</v>
      </c>
      <c r="D999" s="4">
        <v>0.31458333333333333</v>
      </c>
      <c r="E999" t="s">
        <v>77</v>
      </c>
      <c r="F999" t="s">
        <v>24</v>
      </c>
      <c r="G999" t="s">
        <v>61</v>
      </c>
      <c r="H999" t="s">
        <v>26</v>
      </c>
      <c r="I999" t="s">
        <v>44</v>
      </c>
      <c r="J999" t="s">
        <v>93</v>
      </c>
      <c r="K999">
        <v>1</v>
      </c>
      <c r="L999" s="8">
        <v>9550</v>
      </c>
      <c r="M999" s="8" t="str">
        <f t="shared" si="91"/>
        <v>11-20%</v>
      </c>
      <c r="N999">
        <v>15</v>
      </c>
      <c r="O999" t="str">
        <f t="shared" si="92"/>
        <v>Valid</v>
      </c>
      <c r="P999" t="str">
        <f t="shared" si="93"/>
        <v>Match</v>
      </c>
      <c r="Q999" s="8">
        <v>9550</v>
      </c>
      <c r="R999" s="8">
        <v>1432.5</v>
      </c>
      <c r="S999" s="8">
        <v>8117.5</v>
      </c>
      <c r="T999" s="8">
        <v>6243.02</v>
      </c>
      <c r="U999" s="8">
        <v>1874.48</v>
      </c>
      <c r="V999" s="8" t="b">
        <f t="shared" si="94"/>
        <v>0</v>
      </c>
      <c r="W999" s="8">
        <f t="shared" si="95"/>
        <v>0</v>
      </c>
      <c r="X999" t="s">
        <v>79</v>
      </c>
      <c r="Y999" t="s">
        <v>1137</v>
      </c>
      <c r="Z999" t="s">
        <v>56</v>
      </c>
      <c r="AA999">
        <v>4</v>
      </c>
      <c r="AB999" t="s">
        <v>127</v>
      </c>
      <c r="AC999" t="s">
        <v>58</v>
      </c>
    </row>
    <row r="1000" spans="1:29" x14ac:dyDescent="0.3">
      <c r="A1000" t="s">
        <v>1131</v>
      </c>
      <c r="B1000" s="6">
        <v>45890</v>
      </c>
      <c r="C1000" s="6" t="str">
        <f t="shared" si="90"/>
        <v>8 PM - 12 AM</v>
      </c>
      <c r="D1000" s="4">
        <v>0.89652777777777781</v>
      </c>
      <c r="E1000" t="s">
        <v>622</v>
      </c>
      <c r="F1000" t="s">
        <v>24</v>
      </c>
      <c r="G1000" t="s">
        <v>61</v>
      </c>
      <c r="H1000" t="s">
        <v>53</v>
      </c>
      <c r="I1000" t="s">
        <v>125</v>
      </c>
      <c r="J1000" t="s">
        <v>35</v>
      </c>
      <c r="K1000">
        <v>1</v>
      </c>
      <c r="L1000" s="8">
        <v>7550</v>
      </c>
      <c r="M1000" s="8" t="str">
        <f t="shared" si="91"/>
        <v>21-30%</v>
      </c>
      <c r="N1000">
        <v>30</v>
      </c>
      <c r="O1000" t="str">
        <f t="shared" si="92"/>
        <v>Valid</v>
      </c>
      <c r="P1000" t="str">
        <f t="shared" si="93"/>
        <v>Match</v>
      </c>
      <c r="Q1000" s="8">
        <v>7550</v>
      </c>
      <c r="R1000" s="8">
        <v>2265</v>
      </c>
      <c r="S1000" s="8">
        <v>5285</v>
      </c>
      <c r="T1000" s="8">
        <v>5454.1</v>
      </c>
      <c r="U1000" s="8">
        <v>-169.1</v>
      </c>
      <c r="V1000" s="8" t="b">
        <f t="shared" si="94"/>
        <v>1</v>
      </c>
      <c r="W1000" s="8">
        <f t="shared" si="95"/>
        <v>169.1</v>
      </c>
      <c r="X1000" t="s">
        <v>36</v>
      </c>
      <c r="Y1000" t="s">
        <v>104</v>
      </c>
      <c r="Z1000" t="s">
        <v>85</v>
      </c>
      <c r="AA1000">
        <v>4</v>
      </c>
      <c r="AB1000" t="s">
        <v>90</v>
      </c>
      <c r="AC1000" t="s">
        <v>67</v>
      </c>
    </row>
    <row r="1001" spans="1:29" x14ac:dyDescent="0.3">
      <c r="A1001" t="s">
        <v>1132</v>
      </c>
      <c r="B1001" s="6">
        <v>45811</v>
      </c>
      <c r="C1001" s="6" t="str">
        <f t="shared" si="90"/>
        <v>4 AM - 8 AM</v>
      </c>
      <c r="D1001" s="4">
        <v>0.23958333333333334</v>
      </c>
      <c r="E1001" t="s">
        <v>32</v>
      </c>
      <c r="F1001" t="s">
        <v>96</v>
      </c>
      <c r="G1001" t="s">
        <v>129</v>
      </c>
      <c r="H1001" t="s">
        <v>34</v>
      </c>
      <c r="I1001" t="s">
        <v>44</v>
      </c>
      <c r="J1001" t="s">
        <v>78</v>
      </c>
      <c r="K1001">
        <v>2</v>
      </c>
      <c r="L1001" s="8">
        <v>2650</v>
      </c>
      <c r="M1001" s="8" t="str">
        <f t="shared" si="91"/>
        <v>11-20%</v>
      </c>
      <c r="N1001">
        <v>20</v>
      </c>
      <c r="O1001" t="str">
        <f t="shared" si="92"/>
        <v>Valid</v>
      </c>
      <c r="P1001" t="str">
        <f t="shared" si="93"/>
        <v>Match</v>
      </c>
      <c r="Q1001" s="8">
        <v>5300</v>
      </c>
      <c r="R1001" s="8">
        <v>1060</v>
      </c>
      <c r="S1001" s="8">
        <v>4240</v>
      </c>
      <c r="T1001" s="8">
        <v>3388.17</v>
      </c>
      <c r="U1001" s="8">
        <v>851.83</v>
      </c>
      <c r="V1001" s="8" t="b">
        <f t="shared" si="94"/>
        <v>0</v>
      </c>
      <c r="W1001" s="8">
        <f t="shared" si="95"/>
        <v>0</v>
      </c>
      <c r="X1001" t="s">
        <v>46</v>
      </c>
      <c r="Y1001" t="s">
        <v>70</v>
      </c>
      <c r="Z1001" t="s">
        <v>85</v>
      </c>
      <c r="AA1001">
        <v>4.5</v>
      </c>
      <c r="AB1001" t="s">
        <v>48</v>
      </c>
      <c r="AC1001" t="s">
        <v>86</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0EB61-E80D-421A-BB3C-B152D3CD0607}">
  <dimension ref="A3:D23"/>
  <sheetViews>
    <sheetView workbookViewId="0">
      <selection activeCell="G13" sqref="G13"/>
    </sheetView>
  </sheetViews>
  <sheetFormatPr defaultRowHeight="14.4" x14ac:dyDescent="0.3"/>
  <cols>
    <col min="1" max="1" width="12.88671875" bestFit="1" customWidth="1"/>
    <col min="2" max="3" width="10.33203125" bestFit="1" customWidth="1"/>
    <col min="4" max="4" width="11.21875" bestFit="1" customWidth="1"/>
  </cols>
  <sheetData>
    <row r="3" spans="1:4" x14ac:dyDescent="0.3">
      <c r="A3" s="10" t="s">
        <v>1146</v>
      </c>
      <c r="B3" t="s">
        <v>15</v>
      </c>
      <c r="C3" t="s">
        <v>1151</v>
      </c>
      <c r="D3" t="s">
        <v>1142</v>
      </c>
    </row>
    <row r="4" spans="1:4" x14ac:dyDescent="0.3">
      <c r="A4" s="11" t="s">
        <v>110</v>
      </c>
      <c r="B4" s="8">
        <v>124490.69999999998</v>
      </c>
      <c r="C4" s="8">
        <v>449410</v>
      </c>
      <c r="D4" s="12">
        <v>82</v>
      </c>
    </row>
    <row r="5" spans="1:4" x14ac:dyDescent="0.3">
      <c r="A5" s="11" t="s">
        <v>42</v>
      </c>
      <c r="B5" s="8">
        <v>1821832.5999999999</v>
      </c>
      <c r="C5" s="8">
        <v>6742667.5</v>
      </c>
      <c r="D5" s="12">
        <v>78</v>
      </c>
    </row>
    <row r="6" spans="1:4" x14ac:dyDescent="0.3">
      <c r="A6" s="11" t="s">
        <v>122</v>
      </c>
      <c r="B6" s="8">
        <v>62409.63</v>
      </c>
      <c r="C6" s="8">
        <v>235832.5</v>
      </c>
      <c r="D6" s="12">
        <v>36</v>
      </c>
    </row>
    <row r="7" spans="1:4" x14ac:dyDescent="0.3">
      <c r="A7" s="11" t="s">
        <v>88</v>
      </c>
      <c r="B7" s="8">
        <v>72888.28</v>
      </c>
      <c r="C7" s="8">
        <v>282107.5</v>
      </c>
      <c r="D7" s="12">
        <v>70</v>
      </c>
    </row>
    <row r="8" spans="1:4" x14ac:dyDescent="0.3">
      <c r="A8" s="11" t="s">
        <v>120</v>
      </c>
      <c r="B8" s="8">
        <v>306560.18000000011</v>
      </c>
      <c r="C8" s="8">
        <v>1129902.5</v>
      </c>
      <c r="D8" s="12">
        <v>79</v>
      </c>
    </row>
    <row r="9" spans="1:4" x14ac:dyDescent="0.3">
      <c r="A9" s="11" t="s">
        <v>101</v>
      </c>
      <c r="B9" s="8">
        <v>172807.02000000002</v>
      </c>
      <c r="C9" s="8">
        <v>672747.5</v>
      </c>
      <c r="D9" s="12">
        <v>42</v>
      </c>
    </row>
    <row r="10" spans="1:4" x14ac:dyDescent="0.3">
      <c r="A10" s="11" t="s">
        <v>97</v>
      </c>
      <c r="B10" s="8">
        <v>38501.009999999995</v>
      </c>
      <c r="C10" s="8">
        <v>143855</v>
      </c>
      <c r="D10" s="12">
        <v>29</v>
      </c>
    </row>
    <row r="11" spans="1:4" x14ac:dyDescent="0.3">
      <c r="A11" s="11" t="s">
        <v>145</v>
      </c>
      <c r="B11" s="8">
        <v>34452.519999999982</v>
      </c>
      <c r="C11" s="8">
        <v>116995</v>
      </c>
      <c r="D11" s="12">
        <v>32</v>
      </c>
    </row>
    <row r="12" spans="1:4" x14ac:dyDescent="0.3">
      <c r="A12" s="11" t="s">
        <v>115</v>
      </c>
      <c r="B12" s="8">
        <v>38602.04</v>
      </c>
      <c r="C12" s="8">
        <v>235250</v>
      </c>
      <c r="D12" s="12">
        <v>24</v>
      </c>
    </row>
    <row r="13" spans="1:4" x14ac:dyDescent="0.3">
      <c r="A13" s="11" t="s">
        <v>129</v>
      </c>
      <c r="B13" s="8">
        <v>22932.33</v>
      </c>
      <c r="C13" s="8">
        <v>93300</v>
      </c>
      <c r="D13" s="12">
        <v>28</v>
      </c>
    </row>
    <row r="14" spans="1:4" x14ac:dyDescent="0.3">
      <c r="A14" s="11" t="s">
        <v>134</v>
      </c>
      <c r="B14" s="8">
        <v>43569.23</v>
      </c>
      <c r="C14" s="8">
        <v>175927.5</v>
      </c>
      <c r="D14" s="12">
        <v>32</v>
      </c>
    </row>
    <row r="15" spans="1:4" x14ac:dyDescent="0.3">
      <c r="A15" s="11" t="s">
        <v>73</v>
      </c>
      <c r="B15" s="8">
        <v>71412.44</v>
      </c>
      <c r="C15" s="8">
        <v>239012.5</v>
      </c>
      <c r="D15" s="12">
        <v>38</v>
      </c>
    </row>
    <row r="16" spans="1:4" x14ac:dyDescent="0.3">
      <c r="A16" s="11" t="s">
        <v>33</v>
      </c>
      <c r="B16" s="8">
        <v>63840.369999999995</v>
      </c>
      <c r="C16" s="8">
        <v>252990</v>
      </c>
      <c r="D16" s="12">
        <v>75</v>
      </c>
    </row>
    <row r="17" spans="1:4" x14ac:dyDescent="0.3">
      <c r="A17" s="11" t="s">
        <v>61</v>
      </c>
      <c r="B17" s="8">
        <v>852715.85</v>
      </c>
      <c r="C17" s="8">
        <v>3042712.5</v>
      </c>
      <c r="D17" s="12">
        <v>84</v>
      </c>
    </row>
    <row r="18" spans="1:4" x14ac:dyDescent="0.3">
      <c r="A18" s="11" t="s">
        <v>140</v>
      </c>
      <c r="B18" s="8">
        <v>58839.79</v>
      </c>
      <c r="C18" s="8">
        <v>226405</v>
      </c>
      <c r="D18" s="12">
        <v>39</v>
      </c>
    </row>
    <row r="19" spans="1:4" x14ac:dyDescent="0.3">
      <c r="A19" s="11" t="s">
        <v>25</v>
      </c>
      <c r="B19" s="8">
        <v>119856.56000000001</v>
      </c>
      <c r="C19" s="8">
        <v>477285</v>
      </c>
      <c r="D19" s="12">
        <v>75</v>
      </c>
    </row>
    <row r="20" spans="1:4" x14ac:dyDescent="0.3">
      <c r="A20" s="11" t="s">
        <v>84</v>
      </c>
      <c r="B20" s="8">
        <v>526743.46000000008</v>
      </c>
      <c r="C20" s="8">
        <v>2005997.5</v>
      </c>
      <c r="D20" s="12">
        <v>79</v>
      </c>
    </row>
    <row r="21" spans="1:4" x14ac:dyDescent="0.3">
      <c r="A21" s="11" t="s">
        <v>52</v>
      </c>
      <c r="B21" s="8">
        <v>332226.3600000001</v>
      </c>
      <c r="C21" s="8">
        <v>1230755</v>
      </c>
      <c r="D21" s="12">
        <v>33</v>
      </c>
    </row>
    <row r="22" spans="1:4" x14ac:dyDescent="0.3">
      <c r="A22" s="11" t="s">
        <v>153</v>
      </c>
      <c r="B22" s="8">
        <v>40300.450000000004</v>
      </c>
      <c r="C22" s="8">
        <v>161962.5</v>
      </c>
      <c r="D22" s="12">
        <v>45</v>
      </c>
    </row>
    <row r="23" spans="1:4" x14ac:dyDescent="0.3">
      <c r="A23" s="11" t="s">
        <v>1147</v>
      </c>
      <c r="B23" s="8"/>
      <c r="C23" s="8"/>
      <c r="D23"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FB7C4-34EE-4B59-A010-9F669581D8D8}">
  <dimension ref="A3:C8"/>
  <sheetViews>
    <sheetView workbookViewId="0">
      <selection activeCell="D17" sqref="D17"/>
    </sheetView>
  </sheetViews>
  <sheetFormatPr defaultRowHeight="14.4" x14ac:dyDescent="0.3"/>
  <cols>
    <col min="1" max="1" width="16.77734375" bestFit="1" customWidth="1"/>
    <col min="2" max="2" width="9.33203125" bestFit="1" customWidth="1"/>
    <col min="3" max="3" width="9.44140625" bestFit="1" customWidth="1"/>
    <col min="4" max="4" width="10" bestFit="1" customWidth="1"/>
  </cols>
  <sheetData>
    <row r="3" spans="1:3" x14ac:dyDescent="0.3">
      <c r="A3" s="10" t="s">
        <v>1146</v>
      </c>
      <c r="B3" t="s">
        <v>15</v>
      </c>
      <c r="C3" t="s">
        <v>1152</v>
      </c>
    </row>
    <row r="4" spans="1:3" x14ac:dyDescent="0.3">
      <c r="A4" s="11" t="s">
        <v>62</v>
      </c>
      <c r="B4" s="8">
        <v>707237.17</v>
      </c>
      <c r="C4" s="12">
        <v>128</v>
      </c>
    </row>
    <row r="5" spans="1:3" x14ac:dyDescent="0.3">
      <c r="A5" s="11" t="s">
        <v>74</v>
      </c>
      <c r="B5" s="8">
        <v>698335.25000000012</v>
      </c>
      <c r="C5" s="12">
        <v>134</v>
      </c>
    </row>
    <row r="6" spans="1:3" x14ac:dyDescent="0.3">
      <c r="A6" s="11" t="s">
        <v>43</v>
      </c>
      <c r="B6" s="8">
        <v>641940.28999999969</v>
      </c>
      <c r="C6" s="12">
        <v>130</v>
      </c>
    </row>
    <row r="7" spans="1:3" x14ac:dyDescent="0.3">
      <c r="A7" s="11" t="s">
        <v>26</v>
      </c>
      <c r="B7" s="8">
        <v>611333.08999999962</v>
      </c>
      <c r="C7" s="12">
        <v>149</v>
      </c>
    </row>
    <row r="8" spans="1:3" x14ac:dyDescent="0.3">
      <c r="A8" s="11" t="s">
        <v>102</v>
      </c>
      <c r="B8" s="8">
        <v>595560.29999999993</v>
      </c>
      <c r="C8" s="12">
        <v>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5EA5D-8B1A-48F8-868E-E505CAC37C5C}">
  <dimension ref="A3:B8"/>
  <sheetViews>
    <sheetView workbookViewId="0">
      <selection activeCell="H24" sqref="H24"/>
    </sheetView>
  </sheetViews>
  <sheetFormatPr defaultRowHeight="14.4" x14ac:dyDescent="0.3"/>
  <cols>
    <col min="1" max="1" width="16.77734375" bestFit="1" customWidth="1"/>
    <col min="2" max="2" width="15.77734375" bestFit="1" customWidth="1"/>
  </cols>
  <sheetData>
    <row r="3" spans="1:2" x14ac:dyDescent="0.3">
      <c r="A3" s="10" t="s">
        <v>1146</v>
      </c>
      <c r="B3" t="s">
        <v>1149</v>
      </c>
    </row>
    <row r="4" spans="1:2" x14ac:dyDescent="0.3">
      <c r="A4" s="11" t="s">
        <v>62</v>
      </c>
      <c r="B4" s="8">
        <v>2616140</v>
      </c>
    </row>
    <row r="5" spans="1:2" x14ac:dyDescent="0.3">
      <c r="A5" s="11" t="s">
        <v>74</v>
      </c>
      <c r="B5" s="8">
        <v>2452697.5</v>
      </c>
    </row>
    <row r="6" spans="1:2" x14ac:dyDescent="0.3">
      <c r="A6" s="11" t="s">
        <v>26</v>
      </c>
      <c r="B6" s="8">
        <v>2442980</v>
      </c>
    </row>
    <row r="7" spans="1:2" x14ac:dyDescent="0.3">
      <c r="A7" s="11" t="s">
        <v>43</v>
      </c>
      <c r="B7" s="8">
        <v>2394800</v>
      </c>
    </row>
    <row r="8" spans="1:2" x14ac:dyDescent="0.3">
      <c r="A8" s="11" t="s">
        <v>102</v>
      </c>
      <c r="B8" s="8">
        <v>2335560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5BD1A-5433-4302-BD49-F78E9429AE73}">
  <dimension ref="A3:D12"/>
  <sheetViews>
    <sheetView workbookViewId="0">
      <selection activeCell="D18" sqref="D18"/>
    </sheetView>
  </sheetViews>
  <sheetFormatPr defaultRowHeight="14.4" x14ac:dyDescent="0.3"/>
  <cols>
    <col min="1" max="1" width="13.109375" bestFit="1" customWidth="1"/>
    <col min="2" max="2" width="16.21875" bestFit="1" customWidth="1"/>
    <col min="3" max="3" width="15.77734375" bestFit="1" customWidth="1"/>
    <col min="4" max="4" width="12.109375" bestFit="1" customWidth="1"/>
  </cols>
  <sheetData>
    <row r="3" spans="1:4" x14ac:dyDescent="0.3">
      <c r="A3" s="10" t="s">
        <v>1146</v>
      </c>
      <c r="B3" t="s">
        <v>1153</v>
      </c>
      <c r="C3" t="s">
        <v>1149</v>
      </c>
      <c r="D3" t="s">
        <v>1148</v>
      </c>
    </row>
    <row r="4" spans="1:4" x14ac:dyDescent="0.3">
      <c r="A4" s="11" t="s">
        <v>622</v>
      </c>
      <c r="B4" s="12">
        <v>163</v>
      </c>
      <c r="C4" s="8">
        <v>3195380</v>
      </c>
      <c r="D4" s="8">
        <v>880560.08000000031</v>
      </c>
    </row>
    <row r="5" spans="1:4" x14ac:dyDescent="0.3">
      <c r="A5" s="11" t="s">
        <v>60</v>
      </c>
      <c r="B5" s="12">
        <v>149</v>
      </c>
      <c r="C5" s="8">
        <v>2881082.5</v>
      </c>
      <c r="D5" s="8">
        <v>765498.25999999966</v>
      </c>
    </row>
    <row r="6" spans="1:4" x14ac:dyDescent="0.3">
      <c r="A6" s="11" t="s">
        <v>69</v>
      </c>
      <c r="B6" s="12">
        <v>131</v>
      </c>
      <c r="C6" s="8">
        <v>2879527.5</v>
      </c>
      <c r="D6" s="8">
        <v>776155.04999999993</v>
      </c>
    </row>
    <row r="7" spans="1:4" x14ac:dyDescent="0.3">
      <c r="A7" s="11" t="s">
        <v>108</v>
      </c>
      <c r="B7" s="12">
        <v>140</v>
      </c>
      <c r="C7" s="8">
        <v>2499340</v>
      </c>
      <c r="D7" s="8">
        <v>655477.4</v>
      </c>
    </row>
    <row r="8" spans="1:4" x14ac:dyDescent="0.3">
      <c r="A8" s="11" t="s">
        <v>77</v>
      </c>
      <c r="B8" s="12">
        <v>143</v>
      </c>
      <c r="C8" s="8">
        <v>2167305</v>
      </c>
      <c r="D8" s="8">
        <v>561506.55000000028</v>
      </c>
    </row>
    <row r="9" spans="1:4" x14ac:dyDescent="0.3">
      <c r="A9" s="11" t="s">
        <v>32</v>
      </c>
      <c r="B9" s="12">
        <v>135</v>
      </c>
      <c r="C9" s="8">
        <v>2113322.5</v>
      </c>
      <c r="D9" s="8">
        <v>549682.21</v>
      </c>
    </row>
    <row r="10" spans="1:4" x14ac:dyDescent="0.3">
      <c r="A10" s="11" t="s">
        <v>23</v>
      </c>
      <c r="B10" s="12">
        <v>128</v>
      </c>
      <c r="C10" s="8">
        <v>2083735</v>
      </c>
      <c r="D10" s="8">
        <v>590092.10999999975</v>
      </c>
    </row>
    <row r="11" spans="1:4" x14ac:dyDescent="0.3">
      <c r="A11" s="11" t="s">
        <v>157</v>
      </c>
      <c r="B11" s="12">
        <v>11</v>
      </c>
      <c r="C11" s="8">
        <v>95422.5</v>
      </c>
      <c r="D11" s="8">
        <v>26009.16</v>
      </c>
    </row>
    <row r="12" spans="1:4" x14ac:dyDescent="0.3">
      <c r="A12" s="11" t="s">
        <v>1147</v>
      </c>
      <c r="B12" s="12"/>
      <c r="C12" s="8"/>
      <c r="D12"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C0257-95E4-418E-A173-C4CAAC9C818F}">
  <dimension ref="A3:D12"/>
  <sheetViews>
    <sheetView workbookViewId="0">
      <selection activeCell="E17" sqref="E17"/>
    </sheetView>
  </sheetViews>
  <sheetFormatPr defaultRowHeight="14.4" x14ac:dyDescent="0.3"/>
  <cols>
    <col min="1" max="1" width="13.77734375" bestFit="1" customWidth="1"/>
    <col min="2" max="2" width="16.44140625" bestFit="1" customWidth="1"/>
    <col min="3" max="3" width="15.77734375" bestFit="1" customWidth="1"/>
    <col min="4" max="4" width="12.109375" bestFit="1" customWidth="1"/>
  </cols>
  <sheetData>
    <row r="3" spans="1:4" x14ac:dyDescent="0.3">
      <c r="A3" s="10" t="s">
        <v>1146</v>
      </c>
      <c r="B3" t="s">
        <v>1150</v>
      </c>
      <c r="C3" t="s">
        <v>1149</v>
      </c>
      <c r="D3" t="s">
        <v>1148</v>
      </c>
    </row>
    <row r="4" spans="1:4" x14ac:dyDescent="0.3">
      <c r="A4" s="11" t="s">
        <v>63</v>
      </c>
      <c r="B4" s="12">
        <v>203</v>
      </c>
      <c r="C4" s="8">
        <v>3929987.5</v>
      </c>
      <c r="D4" s="8">
        <v>1083417.8200000005</v>
      </c>
    </row>
    <row r="5" spans="1:4" x14ac:dyDescent="0.3">
      <c r="A5" s="11" t="s">
        <v>98</v>
      </c>
      <c r="B5" s="12">
        <v>184</v>
      </c>
      <c r="C5" s="8">
        <v>1605865</v>
      </c>
      <c r="D5" s="8">
        <v>407903.3699999997</v>
      </c>
    </row>
    <row r="6" spans="1:4" x14ac:dyDescent="0.3">
      <c r="A6" s="11" t="s">
        <v>54</v>
      </c>
      <c r="B6" s="12">
        <v>139</v>
      </c>
      <c r="C6" s="8">
        <v>3677457.5</v>
      </c>
      <c r="D6" s="8">
        <v>980551.0500000004</v>
      </c>
    </row>
    <row r="7" spans="1:4" x14ac:dyDescent="0.3">
      <c r="A7" s="11" t="s">
        <v>44</v>
      </c>
      <c r="B7" s="12">
        <v>124</v>
      </c>
      <c r="C7" s="8">
        <v>3187417.5</v>
      </c>
      <c r="D7" s="8">
        <v>864889.91999999958</v>
      </c>
    </row>
    <row r="8" spans="1:4" x14ac:dyDescent="0.3">
      <c r="A8" s="11" t="s">
        <v>82</v>
      </c>
      <c r="B8" s="12">
        <v>82</v>
      </c>
      <c r="C8" s="8">
        <v>789137.5</v>
      </c>
      <c r="D8" s="8">
        <v>217392.69</v>
      </c>
    </row>
    <row r="9" spans="1:4" x14ac:dyDescent="0.3">
      <c r="A9" s="11" t="s">
        <v>103</v>
      </c>
      <c r="B9" s="12">
        <v>82</v>
      </c>
      <c r="C9" s="8">
        <v>557492.5</v>
      </c>
      <c r="D9" s="8">
        <v>142651.83000000002</v>
      </c>
    </row>
    <row r="10" spans="1:4" x14ac:dyDescent="0.3">
      <c r="A10" s="11" t="s">
        <v>27</v>
      </c>
      <c r="B10" s="12">
        <v>72</v>
      </c>
      <c r="C10" s="8">
        <v>927477.5</v>
      </c>
      <c r="D10" s="8">
        <v>270546.19</v>
      </c>
    </row>
    <row r="11" spans="1:4" x14ac:dyDescent="0.3">
      <c r="A11" s="11" t="s">
        <v>92</v>
      </c>
      <c r="B11" s="12">
        <v>68</v>
      </c>
      <c r="C11" s="8">
        <v>737570</v>
      </c>
      <c r="D11" s="8">
        <v>180340.36000000002</v>
      </c>
    </row>
    <row r="12" spans="1:4" x14ac:dyDescent="0.3">
      <c r="A12" s="11" t="s">
        <v>125</v>
      </c>
      <c r="B12" s="12">
        <v>46</v>
      </c>
      <c r="C12" s="8">
        <v>2502710</v>
      </c>
      <c r="D12" s="8">
        <v>657287.58999999985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A510-1F2E-4CDF-A8A9-F783DCF21A63}">
  <dimension ref="A3:C11"/>
  <sheetViews>
    <sheetView workbookViewId="0">
      <selection activeCell="C4" sqref="C4"/>
    </sheetView>
  </sheetViews>
  <sheetFormatPr defaultRowHeight="14.4" x14ac:dyDescent="0.3"/>
  <cols>
    <col min="1" max="1" width="12.5546875" bestFit="1" customWidth="1"/>
    <col min="2" max="2" width="11.21875" bestFit="1" customWidth="1"/>
    <col min="3" max="3" width="10.33203125" bestFit="1" customWidth="1"/>
  </cols>
  <sheetData>
    <row r="3" spans="1:3" x14ac:dyDescent="0.3">
      <c r="A3" s="10" t="s">
        <v>1146</v>
      </c>
      <c r="B3" t="s">
        <v>1142</v>
      </c>
      <c r="C3" t="s">
        <v>1141</v>
      </c>
    </row>
    <row r="4" spans="1:3" x14ac:dyDescent="0.3">
      <c r="A4" s="11" t="s">
        <v>163</v>
      </c>
      <c r="B4" s="12">
        <v>5</v>
      </c>
      <c r="C4" s="8">
        <v>11296.68</v>
      </c>
    </row>
    <row r="5" spans="1:3" x14ac:dyDescent="0.3">
      <c r="A5" s="11" t="s">
        <v>407</v>
      </c>
      <c r="B5" s="12">
        <v>5</v>
      </c>
      <c r="C5" s="8">
        <v>39101.050000000003</v>
      </c>
    </row>
    <row r="6" spans="1:3" x14ac:dyDescent="0.3">
      <c r="A6" s="11" t="s">
        <v>85</v>
      </c>
      <c r="B6" s="12">
        <v>28</v>
      </c>
      <c r="C6" s="8">
        <v>158181.25999999998</v>
      </c>
    </row>
    <row r="7" spans="1:3" x14ac:dyDescent="0.3">
      <c r="A7" s="11" t="s">
        <v>78</v>
      </c>
      <c r="B7" s="12">
        <v>89</v>
      </c>
      <c r="C7" s="8">
        <v>323099.35000000003</v>
      </c>
    </row>
    <row r="8" spans="1:3" x14ac:dyDescent="0.3">
      <c r="A8" s="11" t="s">
        <v>64</v>
      </c>
      <c r="B8" s="12">
        <v>86</v>
      </c>
      <c r="C8" s="8">
        <v>448401.72</v>
      </c>
    </row>
    <row r="9" spans="1:3" x14ac:dyDescent="0.3">
      <c r="A9" s="11" t="s">
        <v>93</v>
      </c>
      <c r="B9" s="12">
        <v>115</v>
      </c>
      <c r="C9" s="8">
        <v>466892.74999999983</v>
      </c>
    </row>
    <row r="10" spans="1:3" x14ac:dyDescent="0.3">
      <c r="A10" s="11" t="s">
        <v>45</v>
      </c>
      <c r="B10" s="12">
        <v>158</v>
      </c>
      <c r="C10" s="8">
        <v>854948.60000000056</v>
      </c>
    </row>
    <row r="11" spans="1:3" x14ac:dyDescent="0.3">
      <c r="A11" s="11" t="s">
        <v>35</v>
      </c>
      <c r="B11" s="12">
        <v>514</v>
      </c>
      <c r="C11" s="8">
        <v>2503059.4100000006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58C4-DF96-4878-B28B-239964954F53}">
  <dimension ref="A3:D8"/>
  <sheetViews>
    <sheetView workbookViewId="0">
      <selection activeCell="C4" sqref="C4"/>
    </sheetView>
  </sheetViews>
  <sheetFormatPr defaultRowHeight="14.4" x14ac:dyDescent="0.3"/>
  <cols>
    <col min="1" max="1" width="12.5546875" bestFit="1" customWidth="1"/>
    <col min="2" max="3" width="10.33203125" bestFit="1" customWidth="1"/>
    <col min="4" max="4" width="15.77734375" bestFit="1" customWidth="1"/>
    <col min="5" max="9" width="5" bestFit="1" customWidth="1"/>
    <col min="10" max="10" width="7" bestFit="1" customWidth="1"/>
    <col min="11" max="11" width="4" bestFit="1" customWidth="1"/>
    <col min="12" max="13" width="7" bestFit="1" customWidth="1"/>
    <col min="14" max="18" width="5" bestFit="1" customWidth="1"/>
    <col min="19" max="19" width="7" bestFit="1" customWidth="1"/>
    <col min="20" max="20" width="5" bestFit="1" customWidth="1"/>
    <col min="21" max="21" width="6" bestFit="1" customWidth="1"/>
    <col min="22" max="22" width="5" bestFit="1" customWidth="1"/>
    <col min="23" max="23" width="7" bestFit="1" customWidth="1"/>
    <col min="24" max="25" width="5" bestFit="1" customWidth="1"/>
    <col min="26" max="26" width="7" bestFit="1" customWidth="1"/>
    <col min="27" max="27" width="5" bestFit="1" customWidth="1"/>
    <col min="28" max="28" width="7" bestFit="1" customWidth="1"/>
    <col min="29" max="29" width="5" bestFit="1" customWidth="1"/>
    <col min="30" max="30" width="7" bestFit="1" customWidth="1"/>
    <col min="31" max="35" width="5" bestFit="1" customWidth="1"/>
    <col min="36" max="36" width="7" bestFit="1" customWidth="1"/>
    <col min="37" max="37" width="6" bestFit="1" customWidth="1"/>
    <col min="38" max="42" width="5" bestFit="1" customWidth="1"/>
    <col min="43" max="43" width="7" bestFit="1" customWidth="1"/>
    <col min="44" max="44" width="5" bestFit="1" customWidth="1"/>
    <col min="45" max="45" width="7" bestFit="1" customWidth="1"/>
    <col min="46" max="46" width="6" bestFit="1" customWidth="1"/>
    <col min="47" max="47" width="5" bestFit="1" customWidth="1"/>
    <col min="48" max="48" width="4" bestFit="1" customWidth="1"/>
    <col min="49" max="49" width="7" bestFit="1" customWidth="1"/>
    <col min="50" max="50" width="5" bestFit="1" customWidth="1"/>
    <col min="51" max="51" width="7" bestFit="1" customWidth="1"/>
    <col min="52" max="54" width="6" bestFit="1" customWidth="1"/>
    <col min="55" max="56" width="5" bestFit="1" customWidth="1"/>
    <col min="57" max="57" width="7" bestFit="1" customWidth="1"/>
    <col min="58" max="58" width="5" bestFit="1" customWidth="1"/>
    <col min="59" max="59" width="6" bestFit="1" customWidth="1"/>
    <col min="60" max="60" width="5" bestFit="1" customWidth="1"/>
    <col min="61" max="62" width="7" bestFit="1" customWidth="1"/>
    <col min="63" max="63" width="6" bestFit="1" customWidth="1"/>
    <col min="64" max="64" width="7" bestFit="1" customWidth="1"/>
    <col min="65" max="65" width="4" bestFit="1" customWidth="1"/>
    <col min="66" max="66" width="5" bestFit="1" customWidth="1"/>
    <col min="67" max="69" width="7" bestFit="1" customWidth="1"/>
    <col min="70" max="70" width="6" bestFit="1" customWidth="1"/>
    <col min="71" max="71" width="5" bestFit="1" customWidth="1"/>
    <col min="72" max="72" width="6" bestFit="1" customWidth="1"/>
    <col min="73" max="74" width="5" bestFit="1" customWidth="1"/>
    <col min="75" max="76" width="7" bestFit="1" customWidth="1"/>
    <col min="77" max="77" width="5" bestFit="1" customWidth="1"/>
    <col min="78" max="78" width="6" bestFit="1" customWidth="1"/>
    <col min="79" max="79" width="5" bestFit="1" customWidth="1"/>
    <col min="80" max="81" width="7" bestFit="1" customWidth="1"/>
    <col min="82" max="83" width="6" bestFit="1" customWidth="1"/>
    <col min="84" max="84" width="5" bestFit="1" customWidth="1"/>
    <col min="85" max="85" width="7" bestFit="1" customWidth="1"/>
    <col min="86" max="87" width="5" bestFit="1" customWidth="1"/>
    <col min="88" max="88" width="7" bestFit="1" customWidth="1"/>
    <col min="89" max="89" width="5" bestFit="1" customWidth="1"/>
    <col min="90" max="90" width="6" bestFit="1" customWidth="1"/>
    <col min="91" max="92" width="5" bestFit="1" customWidth="1"/>
    <col min="93" max="93" width="7" bestFit="1" customWidth="1"/>
    <col min="94" max="94" width="6" bestFit="1" customWidth="1"/>
    <col min="95" max="95" width="5" bestFit="1" customWidth="1"/>
    <col min="96" max="96" width="7" bestFit="1" customWidth="1"/>
    <col min="97" max="98" width="6" bestFit="1" customWidth="1"/>
    <col min="99" max="99" width="7" bestFit="1" customWidth="1"/>
    <col min="100" max="100" width="6" bestFit="1" customWidth="1"/>
    <col min="101" max="101" width="5" bestFit="1" customWidth="1"/>
    <col min="102" max="104" width="6" bestFit="1" customWidth="1"/>
    <col min="105" max="106" width="7" bestFit="1" customWidth="1"/>
    <col min="107" max="107" width="5" bestFit="1" customWidth="1"/>
    <col min="108" max="108" width="7" bestFit="1" customWidth="1"/>
    <col min="109" max="110" width="5" bestFit="1" customWidth="1"/>
    <col min="111" max="112" width="6" bestFit="1" customWidth="1"/>
    <col min="113" max="113" width="7" bestFit="1" customWidth="1"/>
    <col min="114" max="114" width="5" bestFit="1" customWidth="1"/>
    <col min="115" max="115" width="6" bestFit="1" customWidth="1"/>
    <col min="116" max="116" width="5" bestFit="1" customWidth="1"/>
    <col min="117" max="117" width="7" bestFit="1" customWidth="1"/>
    <col min="118" max="118" width="6" bestFit="1" customWidth="1"/>
    <col min="119" max="119" width="7" bestFit="1" customWidth="1"/>
    <col min="120" max="121" width="5" bestFit="1" customWidth="1"/>
    <col min="122" max="123" width="6" bestFit="1" customWidth="1"/>
    <col min="124" max="128" width="5" bestFit="1" customWidth="1"/>
    <col min="129" max="129" width="8" bestFit="1" customWidth="1"/>
    <col min="130" max="130" width="5" bestFit="1" customWidth="1"/>
    <col min="131" max="131" width="6" bestFit="1" customWidth="1"/>
    <col min="132" max="132" width="7" bestFit="1" customWidth="1"/>
    <col min="133" max="133" width="5" bestFit="1" customWidth="1"/>
    <col min="134" max="135" width="6" bestFit="1" customWidth="1"/>
    <col min="136" max="136" width="7" bestFit="1" customWidth="1"/>
    <col min="137" max="137" width="5" bestFit="1" customWidth="1"/>
    <col min="138" max="139" width="6" bestFit="1" customWidth="1"/>
    <col min="140" max="140" width="5" bestFit="1" customWidth="1"/>
    <col min="141" max="141" width="7" bestFit="1" customWidth="1"/>
    <col min="142" max="142" width="6" bestFit="1" customWidth="1"/>
    <col min="143" max="143" width="5" bestFit="1" customWidth="1"/>
    <col min="144" max="145" width="6" bestFit="1" customWidth="1"/>
    <col min="146" max="147" width="5" bestFit="1" customWidth="1"/>
    <col min="148" max="149" width="6" bestFit="1" customWidth="1"/>
    <col min="150" max="151" width="5" bestFit="1" customWidth="1"/>
    <col min="152" max="152" width="6" bestFit="1" customWidth="1"/>
    <col min="153" max="153" width="5" bestFit="1" customWidth="1"/>
    <col min="154" max="154" width="6" bestFit="1" customWidth="1"/>
    <col min="155" max="156" width="5" bestFit="1" customWidth="1"/>
    <col min="157" max="158" width="6" bestFit="1" customWidth="1"/>
    <col min="159" max="160" width="5" bestFit="1" customWidth="1"/>
    <col min="161" max="161" width="7" bestFit="1" customWidth="1"/>
    <col min="162" max="162" width="6" bestFit="1" customWidth="1"/>
    <col min="163" max="164" width="5" bestFit="1" customWidth="1"/>
    <col min="165" max="165" width="6" bestFit="1" customWidth="1"/>
    <col min="166" max="166" width="7" bestFit="1" customWidth="1"/>
    <col min="167" max="167" width="5" bestFit="1" customWidth="1"/>
    <col min="168" max="171" width="6" bestFit="1" customWidth="1"/>
    <col min="172" max="174" width="5" bestFit="1" customWidth="1"/>
    <col min="175" max="175" width="6" bestFit="1" customWidth="1"/>
    <col min="176" max="176" width="8" bestFit="1" customWidth="1"/>
    <col min="177" max="177" width="6" bestFit="1" customWidth="1"/>
    <col min="178" max="178" width="8" bestFit="1" customWidth="1"/>
    <col min="179" max="179" width="6" bestFit="1" customWidth="1"/>
    <col min="180" max="180" width="7" bestFit="1" customWidth="1"/>
    <col min="181" max="181" width="5" bestFit="1" customWidth="1"/>
    <col min="182" max="182" width="7" bestFit="1" customWidth="1"/>
    <col min="183" max="183" width="5" bestFit="1" customWidth="1"/>
    <col min="184" max="184" width="6" bestFit="1" customWidth="1"/>
    <col min="185" max="185" width="5" bestFit="1" customWidth="1"/>
    <col min="186" max="187" width="6" bestFit="1" customWidth="1"/>
    <col min="188" max="188" width="5" bestFit="1" customWidth="1"/>
    <col min="189" max="190" width="6" bestFit="1" customWidth="1"/>
    <col min="191" max="191" width="7" bestFit="1" customWidth="1"/>
    <col min="192" max="192" width="6" bestFit="1" customWidth="1"/>
    <col min="193" max="193" width="5" bestFit="1" customWidth="1"/>
    <col min="194" max="194" width="6" bestFit="1" customWidth="1"/>
    <col min="195" max="195" width="7" bestFit="1" customWidth="1"/>
    <col min="196" max="197" width="6" bestFit="1" customWidth="1"/>
    <col min="198" max="198" width="5" bestFit="1" customWidth="1"/>
    <col min="199" max="199" width="6" bestFit="1" customWidth="1"/>
    <col min="200" max="201" width="5" bestFit="1" customWidth="1"/>
    <col min="202" max="202" width="7" bestFit="1" customWidth="1"/>
    <col min="203" max="203" width="6" bestFit="1" customWidth="1"/>
    <col min="204" max="204" width="5" bestFit="1" customWidth="1"/>
    <col min="205" max="205" width="6" bestFit="1" customWidth="1"/>
    <col min="206" max="206" width="7" bestFit="1" customWidth="1"/>
    <col min="207" max="209" width="5" bestFit="1" customWidth="1"/>
    <col min="210" max="210" width="7" bestFit="1" customWidth="1"/>
    <col min="211" max="211" width="5" bestFit="1" customWidth="1"/>
    <col min="212" max="213" width="6" bestFit="1" customWidth="1"/>
    <col min="214" max="214" width="5" bestFit="1" customWidth="1"/>
    <col min="215" max="215" width="7" bestFit="1" customWidth="1"/>
    <col min="216" max="217" width="5" bestFit="1" customWidth="1"/>
    <col min="218" max="218" width="7" bestFit="1" customWidth="1"/>
    <col min="219" max="219" width="6" bestFit="1" customWidth="1"/>
    <col min="220" max="220" width="8" bestFit="1" customWidth="1"/>
    <col min="221" max="223" width="5" bestFit="1" customWidth="1"/>
    <col min="224" max="224" width="7" bestFit="1" customWidth="1"/>
    <col min="225" max="225" width="6" bestFit="1" customWidth="1"/>
    <col min="226" max="227" width="5" bestFit="1" customWidth="1"/>
    <col min="228" max="228" width="6" bestFit="1" customWidth="1"/>
    <col min="229" max="229" width="5" bestFit="1" customWidth="1"/>
    <col min="230" max="231" width="6" bestFit="1" customWidth="1"/>
    <col min="232" max="232" width="5" bestFit="1" customWidth="1"/>
    <col min="233" max="233" width="7" bestFit="1" customWidth="1"/>
    <col min="234" max="235" width="6" bestFit="1" customWidth="1"/>
    <col min="236" max="236" width="5" bestFit="1" customWidth="1"/>
    <col min="237" max="237" width="7" bestFit="1" customWidth="1"/>
    <col min="238" max="238" width="8" bestFit="1" customWidth="1"/>
    <col min="239" max="240" width="6" bestFit="1" customWidth="1"/>
    <col min="241" max="241" width="5" bestFit="1" customWidth="1"/>
    <col min="242" max="243" width="7" bestFit="1" customWidth="1"/>
    <col min="244" max="244" width="6" bestFit="1" customWidth="1"/>
    <col min="245" max="245" width="7" bestFit="1" customWidth="1"/>
    <col min="246" max="247" width="5" bestFit="1" customWidth="1"/>
    <col min="248" max="248" width="7" bestFit="1" customWidth="1"/>
    <col min="249" max="249" width="6" bestFit="1" customWidth="1"/>
    <col min="250" max="250" width="8" bestFit="1" customWidth="1"/>
    <col min="251" max="252" width="6" bestFit="1" customWidth="1"/>
    <col min="253" max="253" width="7" bestFit="1" customWidth="1"/>
    <col min="254" max="254" width="5" bestFit="1" customWidth="1"/>
    <col min="255" max="255" width="6" bestFit="1" customWidth="1"/>
    <col min="256" max="257" width="5" bestFit="1" customWidth="1"/>
    <col min="258" max="258" width="6" bestFit="1" customWidth="1"/>
    <col min="259" max="259" width="7" bestFit="1" customWidth="1"/>
    <col min="260" max="260" width="5" bestFit="1" customWidth="1"/>
    <col min="261" max="263" width="6" bestFit="1" customWidth="1"/>
    <col min="264" max="264" width="5" bestFit="1" customWidth="1"/>
    <col min="265" max="266" width="6" bestFit="1" customWidth="1"/>
    <col min="267" max="267" width="7" bestFit="1" customWidth="1"/>
    <col min="268" max="268" width="5" bestFit="1" customWidth="1"/>
    <col min="269" max="269" width="7" bestFit="1" customWidth="1"/>
    <col min="270" max="271" width="6" bestFit="1" customWidth="1"/>
    <col min="272" max="272" width="7" bestFit="1" customWidth="1"/>
    <col min="273" max="274" width="5" bestFit="1" customWidth="1"/>
    <col min="275" max="276" width="8" bestFit="1" customWidth="1"/>
    <col min="277" max="279" width="6" bestFit="1" customWidth="1"/>
    <col min="280" max="280" width="5" bestFit="1" customWidth="1"/>
    <col min="281" max="281" width="7" bestFit="1" customWidth="1"/>
    <col min="282" max="282" width="6" bestFit="1" customWidth="1"/>
    <col min="283" max="283" width="5" bestFit="1" customWidth="1"/>
    <col min="284" max="285" width="6" bestFit="1" customWidth="1"/>
    <col min="286" max="286" width="7" bestFit="1" customWidth="1"/>
    <col min="287" max="288" width="6" bestFit="1" customWidth="1"/>
    <col min="289" max="290" width="5" bestFit="1" customWidth="1"/>
    <col min="291" max="291" width="6" bestFit="1" customWidth="1"/>
    <col min="292" max="292" width="5" bestFit="1" customWidth="1"/>
    <col min="293" max="297" width="6" bestFit="1" customWidth="1"/>
    <col min="298" max="298" width="5" bestFit="1" customWidth="1"/>
    <col min="299" max="299" width="6" bestFit="1" customWidth="1"/>
    <col min="300" max="300" width="8" bestFit="1" customWidth="1"/>
    <col min="301" max="301" width="6" bestFit="1" customWidth="1"/>
    <col min="302" max="302" width="5" bestFit="1" customWidth="1"/>
    <col min="303" max="304" width="6" bestFit="1" customWidth="1"/>
    <col min="305" max="307" width="5" bestFit="1" customWidth="1"/>
    <col min="308" max="308" width="8" bestFit="1" customWidth="1"/>
    <col min="309" max="315" width="6" bestFit="1" customWidth="1"/>
    <col min="316" max="316" width="8" bestFit="1" customWidth="1"/>
    <col min="317" max="317" width="6" bestFit="1" customWidth="1"/>
    <col min="318" max="319" width="5" bestFit="1" customWidth="1"/>
    <col min="320" max="321" width="6" bestFit="1" customWidth="1"/>
    <col min="322" max="323" width="5" bestFit="1" customWidth="1"/>
    <col min="324" max="324" width="7" bestFit="1" customWidth="1"/>
    <col min="325" max="326" width="5" bestFit="1" customWidth="1"/>
    <col min="327" max="327" width="7" bestFit="1" customWidth="1"/>
    <col min="328" max="328" width="6" bestFit="1" customWidth="1"/>
    <col min="329" max="329" width="7" bestFit="1" customWidth="1"/>
    <col min="330" max="330" width="5" bestFit="1" customWidth="1"/>
    <col min="331" max="333" width="6" bestFit="1" customWidth="1"/>
    <col min="334" max="334" width="7" bestFit="1" customWidth="1"/>
    <col min="335" max="338" width="6" bestFit="1" customWidth="1"/>
    <col min="339" max="339" width="7" bestFit="1" customWidth="1"/>
    <col min="340" max="341" width="5" bestFit="1" customWidth="1"/>
    <col min="342" max="344" width="6" bestFit="1" customWidth="1"/>
    <col min="345" max="345" width="5" bestFit="1" customWidth="1"/>
    <col min="346" max="346" width="8" bestFit="1" customWidth="1"/>
    <col min="347" max="349" width="6" bestFit="1" customWidth="1"/>
    <col min="350" max="350" width="7" bestFit="1" customWidth="1"/>
    <col min="351" max="351" width="5" bestFit="1" customWidth="1"/>
    <col min="352" max="353" width="6" bestFit="1" customWidth="1"/>
    <col min="354" max="354" width="5" bestFit="1" customWidth="1"/>
    <col min="355" max="356" width="6" bestFit="1" customWidth="1"/>
    <col min="357" max="357" width="7" bestFit="1" customWidth="1"/>
    <col min="358" max="358" width="6" bestFit="1" customWidth="1"/>
    <col min="359" max="359" width="8" bestFit="1" customWidth="1"/>
    <col min="360" max="361" width="5" bestFit="1" customWidth="1"/>
    <col min="362" max="362" width="8" bestFit="1" customWidth="1"/>
    <col min="363" max="365" width="6" bestFit="1" customWidth="1"/>
    <col min="366" max="367" width="5" bestFit="1" customWidth="1"/>
    <col min="368" max="369" width="6" bestFit="1" customWidth="1"/>
    <col min="370" max="370" width="8" bestFit="1" customWidth="1"/>
    <col min="371" max="371" width="5" bestFit="1" customWidth="1"/>
    <col min="372" max="372" width="7" bestFit="1" customWidth="1"/>
    <col min="373" max="373" width="5" bestFit="1" customWidth="1"/>
    <col min="374" max="375" width="6" bestFit="1" customWidth="1"/>
    <col min="376" max="376" width="5" bestFit="1" customWidth="1"/>
    <col min="377" max="380" width="6" bestFit="1" customWidth="1"/>
    <col min="381" max="381" width="5" bestFit="1" customWidth="1"/>
    <col min="382" max="382" width="6" bestFit="1" customWidth="1"/>
    <col min="383" max="383" width="5" bestFit="1" customWidth="1"/>
    <col min="384" max="384" width="8" bestFit="1" customWidth="1"/>
    <col min="385" max="385" width="5" bestFit="1" customWidth="1"/>
    <col min="386" max="386" width="6" bestFit="1" customWidth="1"/>
    <col min="387" max="387" width="5" bestFit="1" customWidth="1"/>
    <col min="388" max="388" width="8" bestFit="1" customWidth="1"/>
    <col min="389" max="390" width="6" bestFit="1" customWidth="1"/>
    <col min="391" max="391" width="5" bestFit="1" customWidth="1"/>
    <col min="392" max="396" width="6" bestFit="1" customWidth="1"/>
    <col min="397" max="398" width="8" bestFit="1" customWidth="1"/>
    <col min="399" max="399" width="5" bestFit="1" customWidth="1"/>
    <col min="400" max="400" width="6" bestFit="1" customWidth="1"/>
    <col min="401" max="402" width="5" bestFit="1" customWidth="1"/>
    <col min="403" max="403" width="6" bestFit="1" customWidth="1"/>
    <col min="404" max="404" width="5" bestFit="1" customWidth="1"/>
    <col min="405" max="406" width="6" bestFit="1" customWidth="1"/>
    <col min="407" max="407" width="5" bestFit="1" customWidth="1"/>
    <col min="408" max="433" width="6" bestFit="1" customWidth="1"/>
    <col min="434" max="434" width="8" bestFit="1" customWidth="1"/>
    <col min="435" max="442" width="6" bestFit="1" customWidth="1"/>
    <col min="443" max="443" width="7" bestFit="1" customWidth="1"/>
    <col min="444" max="444" width="6" bestFit="1" customWidth="1"/>
    <col min="445" max="445" width="8" bestFit="1" customWidth="1"/>
    <col min="446" max="447" width="6" bestFit="1" customWidth="1"/>
    <col min="448" max="448" width="7" bestFit="1" customWidth="1"/>
    <col min="449" max="452" width="6" bestFit="1" customWidth="1"/>
    <col min="453" max="453" width="7" bestFit="1" customWidth="1"/>
    <col min="454" max="454" width="9" bestFit="1" customWidth="1"/>
    <col min="455" max="455" width="6" bestFit="1" customWidth="1"/>
    <col min="456" max="456" width="8" bestFit="1" customWidth="1"/>
    <col min="457" max="460" width="6" bestFit="1" customWidth="1"/>
    <col min="461" max="461" width="8" bestFit="1" customWidth="1"/>
    <col min="462" max="473" width="6" bestFit="1" customWidth="1"/>
    <col min="474" max="474" width="8" bestFit="1" customWidth="1"/>
    <col min="475" max="476" width="6" bestFit="1" customWidth="1"/>
    <col min="477" max="477" width="8" bestFit="1" customWidth="1"/>
    <col min="478" max="481" width="6" bestFit="1" customWidth="1"/>
    <col min="482" max="482" width="8" bestFit="1" customWidth="1"/>
    <col min="483" max="488" width="6" bestFit="1" customWidth="1"/>
    <col min="489" max="490" width="8" bestFit="1" customWidth="1"/>
    <col min="491" max="500" width="6" bestFit="1" customWidth="1"/>
    <col min="501" max="501" width="8" bestFit="1" customWidth="1"/>
    <col min="502" max="510" width="6" bestFit="1" customWidth="1"/>
    <col min="511" max="511" width="8" bestFit="1" customWidth="1"/>
    <col min="512" max="513" width="6" bestFit="1" customWidth="1"/>
    <col min="514" max="514" width="8" bestFit="1" customWidth="1"/>
    <col min="515" max="515" width="6" bestFit="1" customWidth="1"/>
    <col min="516" max="516" width="8" bestFit="1" customWidth="1"/>
    <col min="517" max="517" width="6" bestFit="1" customWidth="1"/>
    <col min="518" max="518" width="7" bestFit="1" customWidth="1"/>
    <col min="519" max="528" width="6" bestFit="1" customWidth="1"/>
    <col min="529" max="530" width="7" bestFit="1" customWidth="1"/>
    <col min="531" max="531" width="6" bestFit="1" customWidth="1"/>
    <col min="532" max="533" width="7" bestFit="1" customWidth="1"/>
    <col min="534" max="537" width="6" bestFit="1" customWidth="1"/>
    <col min="538" max="538" width="7" bestFit="1" customWidth="1"/>
    <col min="539" max="540" width="6" bestFit="1" customWidth="1"/>
    <col min="541" max="541" width="7" bestFit="1" customWidth="1"/>
    <col min="542" max="565" width="6" bestFit="1" customWidth="1"/>
    <col min="566" max="566" width="7" bestFit="1" customWidth="1"/>
    <col min="567" max="567" width="6" bestFit="1" customWidth="1"/>
    <col min="568" max="568" width="9" bestFit="1" customWidth="1"/>
    <col min="569" max="569" width="7" bestFit="1" customWidth="1"/>
    <col min="570" max="575" width="6" bestFit="1" customWidth="1"/>
    <col min="576" max="576" width="7" bestFit="1" customWidth="1"/>
    <col min="577" max="580" width="6" bestFit="1" customWidth="1"/>
    <col min="581" max="581" width="7" bestFit="1" customWidth="1"/>
    <col min="582" max="584" width="6" bestFit="1" customWidth="1"/>
    <col min="585" max="585" width="7" bestFit="1" customWidth="1"/>
    <col min="586" max="587" width="6" bestFit="1" customWidth="1"/>
    <col min="588" max="588" width="7" bestFit="1" customWidth="1"/>
    <col min="589" max="589" width="8" bestFit="1" customWidth="1"/>
    <col min="590" max="590" width="6" bestFit="1" customWidth="1"/>
    <col min="591" max="591" width="7" bestFit="1" customWidth="1"/>
    <col min="592" max="593" width="6" bestFit="1" customWidth="1"/>
    <col min="594" max="594" width="7" bestFit="1" customWidth="1"/>
    <col min="595" max="595" width="6" bestFit="1" customWidth="1"/>
    <col min="596" max="599" width="7" bestFit="1" customWidth="1"/>
    <col min="600" max="600" width="10.33203125" bestFit="1" customWidth="1"/>
    <col min="601" max="606" width="7" bestFit="1" customWidth="1"/>
    <col min="607" max="607" width="6" bestFit="1" customWidth="1"/>
    <col min="608" max="608" width="7" bestFit="1" customWidth="1"/>
    <col min="609" max="609" width="6" bestFit="1" customWidth="1"/>
    <col min="610" max="613" width="7" bestFit="1" customWidth="1"/>
    <col min="614" max="614" width="8" bestFit="1" customWidth="1"/>
    <col min="615" max="619" width="7" bestFit="1" customWidth="1"/>
    <col min="620" max="620" width="8" bestFit="1" customWidth="1"/>
    <col min="621" max="622" width="7" bestFit="1" customWidth="1"/>
    <col min="623" max="623" width="8" bestFit="1" customWidth="1"/>
    <col min="624" max="624" width="7" bestFit="1" customWidth="1"/>
    <col min="625" max="625" width="8" bestFit="1" customWidth="1"/>
    <col min="626" max="626" width="7" bestFit="1" customWidth="1"/>
    <col min="627" max="632" width="8" bestFit="1" customWidth="1"/>
    <col min="633" max="633" width="7" bestFit="1" customWidth="1"/>
    <col min="634" max="635" width="8" bestFit="1" customWidth="1"/>
    <col min="636" max="636" width="7" bestFit="1" customWidth="1"/>
    <col min="637" max="638" width="8" bestFit="1" customWidth="1"/>
    <col min="639" max="639" width="5" bestFit="1" customWidth="1"/>
    <col min="640" max="641" width="7" bestFit="1" customWidth="1"/>
    <col min="642" max="646" width="8" bestFit="1" customWidth="1"/>
    <col min="647" max="647" width="6" bestFit="1" customWidth="1"/>
    <col min="648" max="648" width="8" bestFit="1" customWidth="1"/>
    <col min="649" max="650" width="7" bestFit="1" customWidth="1"/>
    <col min="651" max="659" width="8" bestFit="1" customWidth="1"/>
    <col min="660" max="660" width="6" bestFit="1" customWidth="1"/>
    <col min="661" max="661" width="7" bestFit="1" customWidth="1"/>
    <col min="662" max="662" width="8" bestFit="1" customWidth="1"/>
    <col min="663" max="663" width="6" bestFit="1" customWidth="1"/>
    <col min="664" max="664" width="7" bestFit="1" customWidth="1"/>
    <col min="665" max="666" width="8" bestFit="1" customWidth="1"/>
    <col min="667" max="667" width="7" bestFit="1" customWidth="1"/>
    <col min="668" max="671" width="8" bestFit="1" customWidth="1"/>
    <col min="672" max="675" width="7" bestFit="1" customWidth="1"/>
    <col min="676" max="677" width="8" bestFit="1" customWidth="1"/>
    <col min="678" max="678" width="7" bestFit="1" customWidth="1"/>
    <col min="679" max="679" width="8" bestFit="1" customWidth="1"/>
    <col min="680" max="680" width="7" bestFit="1" customWidth="1"/>
    <col min="681" max="681" width="8" bestFit="1" customWidth="1"/>
    <col min="682" max="682" width="7" bestFit="1" customWidth="1"/>
    <col min="683" max="684" width="8" bestFit="1" customWidth="1"/>
    <col min="685" max="685" width="7" bestFit="1" customWidth="1"/>
    <col min="686" max="686" width="8" bestFit="1" customWidth="1"/>
    <col min="687" max="688" width="7" bestFit="1" customWidth="1"/>
    <col min="689" max="689" width="8" bestFit="1" customWidth="1"/>
    <col min="690" max="690" width="7" bestFit="1" customWidth="1"/>
    <col min="691" max="691" width="8" bestFit="1" customWidth="1"/>
    <col min="692" max="692" width="7" bestFit="1" customWidth="1"/>
    <col min="693" max="693" width="8" bestFit="1" customWidth="1"/>
    <col min="694" max="694" width="7" bestFit="1" customWidth="1"/>
    <col min="695" max="700" width="8" bestFit="1" customWidth="1"/>
    <col min="701" max="701" width="7" bestFit="1" customWidth="1"/>
    <col min="702" max="704" width="8" bestFit="1" customWidth="1"/>
    <col min="705" max="705" width="7" bestFit="1" customWidth="1"/>
    <col min="706" max="708" width="8" bestFit="1" customWidth="1"/>
    <col min="709" max="709" width="7" bestFit="1" customWidth="1"/>
    <col min="710" max="711" width="8" bestFit="1" customWidth="1"/>
    <col min="712" max="712" width="7" bestFit="1" customWidth="1"/>
    <col min="713" max="715" width="8" bestFit="1" customWidth="1"/>
    <col min="716" max="716" width="7" bestFit="1" customWidth="1"/>
    <col min="717" max="717" width="8" bestFit="1" customWidth="1"/>
    <col min="718" max="719" width="7" bestFit="1" customWidth="1"/>
    <col min="720" max="721" width="8" bestFit="1" customWidth="1"/>
    <col min="722" max="722" width="7" bestFit="1" customWidth="1"/>
    <col min="723" max="723" width="8" bestFit="1" customWidth="1"/>
    <col min="724" max="724" width="7" bestFit="1" customWidth="1"/>
    <col min="725" max="725" width="8" bestFit="1" customWidth="1"/>
    <col min="726" max="726" width="7" bestFit="1" customWidth="1"/>
    <col min="727" max="727" width="8" bestFit="1" customWidth="1"/>
    <col min="728" max="729" width="7" bestFit="1" customWidth="1"/>
    <col min="730" max="730" width="8" bestFit="1" customWidth="1"/>
    <col min="731" max="731" width="7" bestFit="1" customWidth="1"/>
    <col min="732" max="736" width="8" bestFit="1" customWidth="1"/>
    <col min="737" max="737" width="9" bestFit="1" customWidth="1"/>
    <col min="738" max="738" width="8" bestFit="1" customWidth="1"/>
    <col min="739" max="739" width="7" bestFit="1" customWidth="1"/>
    <col min="740" max="740" width="6" bestFit="1" customWidth="1"/>
    <col min="741" max="742" width="8" bestFit="1" customWidth="1"/>
    <col min="743" max="743" width="7" bestFit="1" customWidth="1"/>
    <col min="744" max="745" width="8" bestFit="1" customWidth="1"/>
    <col min="746" max="746" width="7" bestFit="1" customWidth="1"/>
    <col min="747" max="748" width="8" bestFit="1" customWidth="1"/>
    <col min="749" max="749" width="6" bestFit="1" customWidth="1"/>
    <col min="750" max="751" width="8" bestFit="1" customWidth="1"/>
    <col min="752" max="752" width="7" bestFit="1" customWidth="1"/>
    <col min="753" max="753" width="8" bestFit="1" customWidth="1"/>
    <col min="754" max="754" width="7" bestFit="1" customWidth="1"/>
    <col min="755" max="758" width="8" bestFit="1" customWidth="1"/>
    <col min="759" max="759" width="5" bestFit="1" customWidth="1"/>
    <col min="760" max="761" width="8" bestFit="1" customWidth="1"/>
    <col min="762" max="763" width="7" bestFit="1" customWidth="1"/>
    <col min="764" max="764" width="8" bestFit="1" customWidth="1"/>
    <col min="765" max="765" width="7" bestFit="1" customWidth="1"/>
    <col min="766" max="766" width="8" bestFit="1" customWidth="1"/>
    <col min="767" max="767" width="7" bestFit="1" customWidth="1"/>
    <col min="768" max="768" width="5" bestFit="1" customWidth="1"/>
    <col min="769" max="778" width="8" bestFit="1" customWidth="1"/>
    <col min="779" max="779" width="7" bestFit="1" customWidth="1"/>
    <col min="780" max="780" width="6" bestFit="1" customWidth="1"/>
    <col min="781" max="781" width="7" bestFit="1" customWidth="1"/>
    <col min="782" max="782" width="6" bestFit="1" customWidth="1"/>
    <col min="783" max="783" width="8" bestFit="1" customWidth="1"/>
    <col min="784" max="784" width="6" bestFit="1" customWidth="1"/>
    <col min="785" max="788" width="8" bestFit="1" customWidth="1"/>
    <col min="789" max="789" width="9" bestFit="1" customWidth="1"/>
    <col min="790" max="790" width="7" bestFit="1" customWidth="1"/>
    <col min="791" max="791" width="8" bestFit="1" customWidth="1"/>
    <col min="792" max="792" width="7" bestFit="1" customWidth="1"/>
    <col min="793" max="793" width="9" bestFit="1" customWidth="1"/>
    <col min="794" max="804" width="8" bestFit="1" customWidth="1"/>
    <col min="805" max="809" width="7" bestFit="1" customWidth="1"/>
    <col min="810" max="814" width="8" bestFit="1" customWidth="1"/>
    <col min="815" max="815" width="7" bestFit="1" customWidth="1"/>
    <col min="816" max="818" width="8" bestFit="1" customWidth="1"/>
    <col min="819" max="819" width="7" bestFit="1" customWidth="1"/>
    <col min="820" max="820" width="8" bestFit="1" customWidth="1"/>
    <col min="821" max="821" width="6" bestFit="1" customWidth="1"/>
    <col min="822" max="822" width="7" bestFit="1" customWidth="1"/>
    <col min="823" max="823" width="8" bestFit="1" customWidth="1"/>
    <col min="824" max="824" width="9" bestFit="1" customWidth="1"/>
    <col min="825" max="825" width="8" bestFit="1" customWidth="1"/>
    <col min="826" max="826" width="7" bestFit="1" customWidth="1"/>
    <col min="827" max="830" width="8" bestFit="1" customWidth="1"/>
    <col min="831" max="831" width="7" bestFit="1" customWidth="1"/>
    <col min="832" max="833" width="8" bestFit="1" customWidth="1"/>
    <col min="834" max="836" width="7" bestFit="1" customWidth="1"/>
    <col min="837" max="837" width="9" bestFit="1" customWidth="1"/>
    <col min="838" max="838" width="8" bestFit="1" customWidth="1"/>
    <col min="839" max="840" width="5" bestFit="1" customWidth="1"/>
    <col min="841" max="841" width="7" bestFit="1" customWidth="1"/>
    <col min="842" max="843" width="8" bestFit="1" customWidth="1"/>
    <col min="844" max="844" width="7" bestFit="1" customWidth="1"/>
    <col min="845" max="846" width="8" bestFit="1" customWidth="1"/>
    <col min="847" max="847" width="7" bestFit="1" customWidth="1"/>
    <col min="848" max="849" width="9" bestFit="1" customWidth="1"/>
    <col min="850" max="851" width="8" bestFit="1" customWidth="1"/>
    <col min="852" max="853" width="7" bestFit="1" customWidth="1"/>
    <col min="854" max="854" width="9" bestFit="1" customWidth="1"/>
    <col min="855" max="855" width="8" bestFit="1" customWidth="1"/>
    <col min="856" max="859" width="7" bestFit="1" customWidth="1"/>
    <col min="860" max="860" width="9" bestFit="1" customWidth="1"/>
    <col min="861" max="861" width="8" bestFit="1" customWidth="1"/>
    <col min="862" max="863" width="7" bestFit="1" customWidth="1"/>
    <col min="864" max="864" width="8" bestFit="1" customWidth="1"/>
    <col min="865" max="865" width="9" bestFit="1" customWidth="1"/>
    <col min="866" max="871" width="8" bestFit="1" customWidth="1"/>
    <col min="872" max="873" width="7" bestFit="1" customWidth="1"/>
    <col min="874" max="875" width="9" bestFit="1" customWidth="1"/>
    <col min="876" max="878" width="8" bestFit="1" customWidth="1"/>
    <col min="879" max="879" width="7" bestFit="1" customWidth="1"/>
    <col min="880" max="880" width="8" bestFit="1" customWidth="1"/>
    <col min="881" max="881" width="5" bestFit="1" customWidth="1"/>
    <col min="882" max="882" width="7" bestFit="1" customWidth="1"/>
    <col min="883" max="884" width="9" bestFit="1" customWidth="1"/>
    <col min="885" max="885" width="7" bestFit="1" customWidth="1"/>
    <col min="886" max="887" width="8" bestFit="1" customWidth="1"/>
    <col min="888" max="889" width="7" bestFit="1" customWidth="1"/>
    <col min="890" max="896" width="8" bestFit="1" customWidth="1"/>
    <col min="897" max="897" width="7" bestFit="1" customWidth="1"/>
    <col min="898" max="899" width="8" bestFit="1" customWidth="1"/>
    <col min="900" max="900" width="9" bestFit="1" customWidth="1"/>
    <col min="901" max="902" width="8" bestFit="1" customWidth="1"/>
    <col min="903" max="903" width="9" bestFit="1" customWidth="1"/>
    <col min="904" max="904" width="7" bestFit="1" customWidth="1"/>
    <col min="905" max="905" width="8" bestFit="1" customWidth="1"/>
    <col min="906" max="906" width="7" bestFit="1" customWidth="1"/>
    <col min="907" max="907" width="8" bestFit="1" customWidth="1"/>
    <col min="908" max="908" width="9" bestFit="1" customWidth="1"/>
    <col min="909" max="909" width="8" bestFit="1" customWidth="1"/>
    <col min="910" max="911" width="9" bestFit="1" customWidth="1"/>
    <col min="912" max="912" width="8" bestFit="1" customWidth="1"/>
    <col min="913" max="913" width="9" bestFit="1" customWidth="1"/>
    <col min="914" max="914" width="8" bestFit="1" customWidth="1"/>
    <col min="915" max="915" width="9" bestFit="1" customWidth="1"/>
    <col min="916" max="916" width="8" bestFit="1" customWidth="1"/>
    <col min="917" max="918" width="7" bestFit="1" customWidth="1"/>
    <col min="919" max="920" width="8" bestFit="1" customWidth="1"/>
    <col min="921" max="921" width="6.6640625" bestFit="1" customWidth="1"/>
    <col min="922" max="926" width="7" bestFit="1" customWidth="1"/>
    <col min="927" max="928" width="8" bestFit="1" customWidth="1"/>
    <col min="929" max="929" width="6" bestFit="1" customWidth="1"/>
    <col min="930" max="934" width="8" bestFit="1" customWidth="1"/>
    <col min="935" max="936" width="9" bestFit="1" customWidth="1"/>
    <col min="937" max="937" width="7" bestFit="1" customWidth="1"/>
    <col min="938" max="939" width="8" bestFit="1" customWidth="1"/>
    <col min="940" max="940" width="6" bestFit="1" customWidth="1"/>
    <col min="941" max="941" width="8" bestFit="1" customWidth="1"/>
    <col min="942" max="942" width="9" bestFit="1" customWidth="1"/>
    <col min="943" max="943" width="8" bestFit="1" customWidth="1"/>
    <col min="944" max="944" width="7" bestFit="1" customWidth="1"/>
    <col min="945" max="945" width="9" bestFit="1" customWidth="1"/>
    <col min="946" max="946" width="8" bestFit="1" customWidth="1"/>
    <col min="947" max="947" width="9" bestFit="1" customWidth="1"/>
    <col min="948" max="949" width="8" bestFit="1" customWidth="1"/>
    <col min="950" max="950" width="7" bestFit="1" customWidth="1"/>
    <col min="951" max="953" width="8" bestFit="1" customWidth="1"/>
    <col min="954" max="954" width="9" bestFit="1" customWidth="1"/>
    <col min="955" max="956" width="8" bestFit="1" customWidth="1"/>
    <col min="957" max="957" width="9" bestFit="1" customWidth="1"/>
    <col min="958" max="958" width="8" bestFit="1" customWidth="1"/>
    <col min="959" max="959" width="7" bestFit="1" customWidth="1"/>
    <col min="960" max="960" width="8" bestFit="1" customWidth="1"/>
    <col min="961" max="961" width="7" bestFit="1" customWidth="1"/>
    <col min="962" max="962" width="8" bestFit="1" customWidth="1"/>
    <col min="963" max="964" width="9" bestFit="1" customWidth="1"/>
    <col min="965" max="966" width="7" bestFit="1" customWidth="1"/>
    <col min="967" max="974" width="8" bestFit="1" customWidth="1"/>
    <col min="975" max="975" width="6.6640625" bestFit="1" customWidth="1"/>
    <col min="976" max="976" width="8" bestFit="1" customWidth="1"/>
    <col min="977" max="977" width="9" bestFit="1" customWidth="1"/>
    <col min="978" max="978" width="7" bestFit="1" customWidth="1"/>
    <col min="979" max="981" width="8" bestFit="1" customWidth="1"/>
    <col min="982" max="983" width="7" bestFit="1" customWidth="1"/>
    <col min="984" max="984" width="6" bestFit="1" customWidth="1"/>
    <col min="985" max="986" width="7" bestFit="1" customWidth="1"/>
    <col min="987" max="987" width="8" bestFit="1" customWidth="1"/>
    <col min="988" max="988" width="7" bestFit="1" customWidth="1"/>
    <col min="989" max="989" width="8" bestFit="1" customWidth="1"/>
    <col min="990" max="990" width="7" bestFit="1" customWidth="1"/>
    <col min="991" max="991" width="8" bestFit="1" customWidth="1"/>
    <col min="992" max="992" width="9" bestFit="1" customWidth="1"/>
    <col min="993" max="995" width="8" bestFit="1" customWidth="1"/>
    <col min="996" max="996" width="9" bestFit="1" customWidth="1"/>
    <col min="997" max="997" width="8" bestFit="1" customWidth="1"/>
    <col min="998" max="998" width="7" bestFit="1" customWidth="1"/>
    <col min="999" max="999" width="8" bestFit="1" customWidth="1"/>
    <col min="1000" max="1000" width="7.6640625" bestFit="1" customWidth="1"/>
    <col min="1001" max="1001" width="8" bestFit="1" customWidth="1"/>
    <col min="1002" max="1002" width="7" bestFit="1" customWidth="1"/>
    <col min="1003" max="1003" width="6.6640625" bestFit="1" customWidth="1"/>
    <col min="1004" max="1004" width="8" bestFit="1" customWidth="1"/>
    <col min="1005" max="1005" width="9" bestFit="1" customWidth="1"/>
    <col min="1006" max="1006" width="8" bestFit="1" customWidth="1"/>
    <col min="1007" max="1007" width="9" bestFit="1" customWidth="1"/>
    <col min="1008" max="1008" width="8" bestFit="1" customWidth="1"/>
    <col min="1009" max="1009" width="7" bestFit="1" customWidth="1"/>
    <col min="1010" max="1011" width="8" bestFit="1" customWidth="1"/>
    <col min="1012" max="1012" width="9" bestFit="1" customWidth="1"/>
    <col min="1013" max="1014" width="8" bestFit="1" customWidth="1"/>
    <col min="1015" max="1015" width="9" bestFit="1" customWidth="1"/>
    <col min="1016" max="1016" width="6.6640625" bestFit="1" customWidth="1"/>
    <col min="1017" max="1018" width="8" bestFit="1" customWidth="1"/>
    <col min="1019" max="1019" width="7" bestFit="1" customWidth="1"/>
    <col min="1020" max="1021" width="8" bestFit="1" customWidth="1"/>
    <col min="1022" max="1022" width="9" bestFit="1" customWidth="1"/>
    <col min="1023" max="1025" width="8" bestFit="1" customWidth="1"/>
    <col min="1026" max="1026" width="5" bestFit="1" customWidth="1"/>
    <col min="1027" max="1031" width="8" bestFit="1" customWidth="1"/>
    <col min="1032" max="1032" width="7" bestFit="1" customWidth="1"/>
    <col min="1033" max="1034" width="8" bestFit="1" customWidth="1"/>
    <col min="1035" max="1035" width="7" bestFit="1" customWidth="1"/>
    <col min="1036" max="1036" width="9" bestFit="1" customWidth="1"/>
    <col min="1037" max="1038" width="8" bestFit="1" customWidth="1"/>
    <col min="1039" max="1040" width="9" bestFit="1" customWidth="1"/>
    <col min="1041" max="1041" width="8" bestFit="1" customWidth="1"/>
    <col min="1042" max="1042" width="9" bestFit="1" customWidth="1"/>
    <col min="1043" max="1043" width="7" bestFit="1" customWidth="1"/>
    <col min="1044" max="1046" width="8" bestFit="1" customWidth="1"/>
    <col min="1047" max="1047" width="9" bestFit="1" customWidth="1"/>
    <col min="1048" max="1049" width="8" bestFit="1" customWidth="1"/>
    <col min="1050" max="1050" width="9" bestFit="1" customWidth="1"/>
    <col min="1051" max="1051" width="8" bestFit="1" customWidth="1"/>
    <col min="1052" max="1053" width="9" bestFit="1" customWidth="1"/>
    <col min="1054" max="1054" width="8" bestFit="1" customWidth="1"/>
    <col min="1055" max="1055" width="7" bestFit="1" customWidth="1"/>
    <col min="1056" max="1056" width="9" bestFit="1" customWidth="1"/>
    <col min="1057" max="1057" width="8" bestFit="1" customWidth="1"/>
    <col min="1058" max="1058" width="7" bestFit="1" customWidth="1"/>
    <col min="1059" max="1060" width="8" bestFit="1" customWidth="1"/>
    <col min="1061" max="1061" width="9" bestFit="1" customWidth="1"/>
    <col min="1062" max="1064" width="8" bestFit="1" customWidth="1"/>
    <col min="1065" max="1065" width="7" bestFit="1" customWidth="1"/>
    <col min="1066" max="1067" width="9" bestFit="1" customWidth="1"/>
    <col min="1068" max="1068" width="7" bestFit="1" customWidth="1"/>
    <col min="1069" max="1069" width="8" bestFit="1" customWidth="1"/>
    <col min="1070" max="1070" width="7.6640625" bestFit="1" customWidth="1"/>
    <col min="1071" max="1072" width="8" bestFit="1" customWidth="1"/>
    <col min="1073" max="1073" width="7" bestFit="1" customWidth="1"/>
    <col min="1074" max="1074" width="9" bestFit="1" customWidth="1"/>
    <col min="1075" max="1075" width="8" bestFit="1" customWidth="1"/>
    <col min="1076" max="1077" width="9" bestFit="1" customWidth="1"/>
    <col min="1078" max="1078" width="8" bestFit="1" customWidth="1"/>
    <col min="1079" max="1079" width="9" bestFit="1" customWidth="1"/>
    <col min="1080" max="1081" width="7" bestFit="1" customWidth="1"/>
    <col min="1082" max="1084" width="8" bestFit="1" customWidth="1"/>
    <col min="1085" max="1085" width="9" bestFit="1" customWidth="1"/>
    <col min="1086" max="1086" width="8" bestFit="1" customWidth="1"/>
    <col min="1087" max="1087" width="9" bestFit="1" customWidth="1"/>
    <col min="1088" max="1089" width="8" bestFit="1" customWidth="1"/>
    <col min="1090" max="1090" width="9" bestFit="1" customWidth="1"/>
    <col min="1091" max="1091" width="8" bestFit="1" customWidth="1"/>
    <col min="1092" max="1092" width="9" bestFit="1" customWidth="1"/>
    <col min="1093" max="1093" width="8" bestFit="1" customWidth="1"/>
    <col min="1094" max="1094" width="9" bestFit="1" customWidth="1"/>
    <col min="1095" max="1100" width="8" bestFit="1" customWidth="1"/>
    <col min="1101" max="1101" width="7" bestFit="1" customWidth="1"/>
    <col min="1102" max="1102" width="9" bestFit="1" customWidth="1"/>
    <col min="1103" max="1105" width="8" bestFit="1" customWidth="1"/>
    <col min="1106" max="1106" width="7" bestFit="1" customWidth="1"/>
    <col min="1107" max="1109" width="8" bestFit="1" customWidth="1"/>
    <col min="1110" max="1111" width="9" bestFit="1" customWidth="1"/>
    <col min="1112" max="1112" width="6" bestFit="1" customWidth="1"/>
    <col min="1113" max="1113" width="8" bestFit="1" customWidth="1"/>
    <col min="1114" max="1114" width="9" bestFit="1" customWidth="1"/>
    <col min="1115" max="1115" width="8" bestFit="1" customWidth="1"/>
    <col min="1116" max="1118" width="9" bestFit="1" customWidth="1"/>
    <col min="1119" max="1119" width="8" bestFit="1" customWidth="1"/>
    <col min="1120" max="1120" width="7" bestFit="1" customWidth="1"/>
    <col min="1121" max="1121" width="8" bestFit="1" customWidth="1"/>
    <col min="1122" max="1122" width="9" bestFit="1" customWidth="1"/>
    <col min="1123" max="1123" width="8" bestFit="1" customWidth="1"/>
    <col min="1124" max="1125" width="7" bestFit="1" customWidth="1"/>
    <col min="1126" max="1126" width="7.6640625" bestFit="1" customWidth="1"/>
    <col min="1127" max="1127" width="8" bestFit="1" customWidth="1"/>
    <col min="1128" max="1129" width="9" bestFit="1" customWidth="1"/>
    <col min="1130" max="1130" width="8" bestFit="1" customWidth="1"/>
    <col min="1131" max="1133" width="9" bestFit="1" customWidth="1"/>
    <col min="1134" max="1134" width="8" bestFit="1" customWidth="1"/>
    <col min="1135" max="1135" width="7" bestFit="1" customWidth="1"/>
    <col min="1136" max="1137" width="9" bestFit="1" customWidth="1"/>
    <col min="1138" max="1138" width="8" bestFit="1" customWidth="1"/>
    <col min="1139" max="1139" width="7" bestFit="1" customWidth="1"/>
    <col min="1140" max="1140" width="9" bestFit="1" customWidth="1"/>
    <col min="1141" max="1141" width="8.6640625" bestFit="1" customWidth="1"/>
    <col min="1142" max="1142" width="8" bestFit="1" customWidth="1"/>
    <col min="1143" max="1144" width="9" bestFit="1" customWidth="1"/>
    <col min="1145" max="1145" width="8" bestFit="1" customWidth="1"/>
    <col min="1146" max="1146" width="9" bestFit="1" customWidth="1"/>
    <col min="1147" max="1147" width="7" bestFit="1" customWidth="1"/>
    <col min="1148" max="1148" width="6" bestFit="1" customWidth="1"/>
    <col min="1149" max="1149" width="9" bestFit="1" customWidth="1"/>
    <col min="1150" max="1150" width="8" bestFit="1" customWidth="1"/>
    <col min="1151" max="1151" width="9" bestFit="1" customWidth="1"/>
    <col min="1152" max="1157" width="8" bestFit="1" customWidth="1"/>
    <col min="1158" max="1159" width="9" bestFit="1" customWidth="1"/>
    <col min="1160" max="1160" width="8" bestFit="1" customWidth="1"/>
    <col min="1161" max="1161" width="9" bestFit="1" customWidth="1"/>
    <col min="1162" max="1162" width="8" bestFit="1" customWidth="1"/>
    <col min="1163" max="1165" width="9" bestFit="1" customWidth="1"/>
    <col min="1166" max="1166" width="8" bestFit="1" customWidth="1"/>
    <col min="1167" max="1170" width="9" bestFit="1" customWidth="1"/>
    <col min="1171" max="1171" width="8" bestFit="1" customWidth="1"/>
    <col min="1172" max="1172" width="9" bestFit="1" customWidth="1"/>
    <col min="1173" max="1174" width="8" bestFit="1" customWidth="1"/>
    <col min="1175" max="1176" width="9" bestFit="1" customWidth="1"/>
    <col min="1177" max="1179" width="8" bestFit="1" customWidth="1"/>
    <col min="1180" max="1180" width="9" bestFit="1" customWidth="1"/>
    <col min="1181" max="1181" width="8" bestFit="1" customWidth="1"/>
    <col min="1182" max="1182" width="9" bestFit="1" customWidth="1"/>
    <col min="1183" max="1183" width="8" bestFit="1" customWidth="1"/>
    <col min="1184" max="1185" width="9" bestFit="1" customWidth="1"/>
    <col min="1186" max="1186" width="8.6640625" bestFit="1" customWidth="1"/>
    <col min="1187" max="1188" width="9" bestFit="1" customWidth="1"/>
    <col min="1189" max="1189" width="8" bestFit="1" customWidth="1"/>
    <col min="1190" max="1190" width="9" bestFit="1" customWidth="1"/>
    <col min="1191" max="1192" width="8" bestFit="1" customWidth="1"/>
    <col min="1193" max="1197" width="9" bestFit="1" customWidth="1"/>
    <col min="1198" max="1198" width="7" bestFit="1" customWidth="1"/>
  </cols>
  <sheetData>
    <row r="3" spans="1:4" x14ac:dyDescent="0.3">
      <c r="A3" s="10" t="s">
        <v>1146</v>
      </c>
      <c r="B3" t="s">
        <v>1151</v>
      </c>
      <c r="C3" t="s">
        <v>1141</v>
      </c>
      <c r="D3" t="s">
        <v>1155</v>
      </c>
    </row>
    <row r="4" spans="1:4" x14ac:dyDescent="0.3">
      <c r="A4" s="11" t="s">
        <v>1158</v>
      </c>
      <c r="B4" s="8">
        <v>1948450</v>
      </c>
      <c r="C4" s="8">
        <v>737681.99000000034</v>
      </c>
      <c r="D4" s="8">
        <v>0</v>
      </c>
    </row>
    <row r="5" spans="1:4" x14ac:dyDescent="0.3">
      <c r="A5" s="11" t="s">
        <v>1159</v>
      </c>
      <c r="B5" s="8">
        <v>7117897.5</v>
      </c>
      <c r="C5" s="8">
        <v>2224730.4599999995</v>
      </c>
      <c r="D5" s="8">
        <v>601902.5</v>
      </c>
    </row>
    <row r="6" spans="1:4" x14ac:dyDescent="0.3">
      <c r="A6" s="11" t="s">
        <v>1160</v>
      </c>
      <c r="B6" s="8">
        <v>4818480</v>
      </c>
      <c r="C6" s="8">
        <v>1216466.5900000008</v>
      </c>
      <c r="D6" s="8">
        <v>1012820</v>
      </c>
    </row>
    <row r="7" spans="1:4" x14ac:dyDescent="0.3">
      <c r="A7" s="11" t="s">
        <v>1161</v>
      </c>
      <c r="B7" s="8">
        <v>3695440</v>
      </c>
      <c r="C7" s="8">
        <v>533977.78</v>
      </c>
      <c r="D7" s="8">
        <v>1350760</v>
      </c>
    </row>
    <row r="8" spans="1:4" x14ac:dyDescent="0.3">
      <c r="A8" s="11" t="s">
        <v>1162</v>
      </c>
      <c r="B8" s="8">
        <v>293887.5</v>
      </c>
      <c r="C8" s="8">
        <v>80321.67</v>
      </c>
      <c r="D8" s="8">
        <v>46662.5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D2E5A-2644-4E0E-A5D1-6F740464616F}">
  <dimension ref="A3:C25"/>
  <sheetViews>
    <sheetView workbookViewId="0">
      <selection activeCell="A3" sqref="A3"/>
    </sheetView>
  </sheetViews>
  <sheetFormatPr defaultRowHeight="14.4" x14ac:dyDescent="0.3"/>
  <cols>
    <col min="1" max="2" width="12.5546875" bestFit="1" customWidth="1"/>
    <col min="3" max="3" width="15.77734375" customWidth="1"/>
    <col min="4" max="4" width="18" bestFit="1" customWidth="1"/>
    <col min="5" max="5" width="12.5546875" bestFit="1" customWidth="1"/>
    <col min="6" max="6" width="15.77734375" bestFit="1" customWidth="1"/>
    <col min="7" max="8" width="14.88671875" customWidth="1"/>
  </cols>
  <sheetData>
    <row r="3" spans="1:3" x14ac:dyDescent="0.3">
      <c r="A3" s="10" t="s">
        <v>1146</v>
      </c>
      <c r="B3" t="s">
        <v>1153</v>
      </c>
      <c r="C3" t="s">
        <v>1149</v>
      </c>
    </row>
    <row r="4" spans="1:3" x14ac:dyDescent="0.3">
      <c r="A4" s="11" t="s">
        <v>151</v>
      </c>
      <c r="B4" s="12">
        <v>80</v>
      </c>
      <c r="C4" s="8">
        <v>1350697.5</v>
      </c>
    </row>
    <row r="5" spans="1:3" x14ac:dyDescent="0.3">
      <c r="A5" s="11" t="s">
        <v>66</v>
      </c>
      <c r="B5" s="12">
        <v>69</v>
      </c>
      <c r="C5" s="8">
        <v>983415</v>
      </c>
    </row>
    <row r="6" spans="1:3" x14ac:dyDescent="0.3">
      <c r="A6" s="11" t="s">
        <v>127</v>
      </c>
      <c r="B6" s="12">
        <v>86</v>
      </c>
      <c r="C6" s="8">
        <v>1724072.5</v>
      </c>
    </row>
    <row r="7" spans="1:3" x14ac:dyDescent="0.3">
      <c r="A7" s="11" t="s">
        <v>99</v>
      </c>
      <c r="B7" s="12">
        <v>88</v>
      </c>
      <c r="C7" s="8">
        <v>1293680</v>
      </c>
    </row>
    <row r="8" spans="1:3" x14ac:dyDescent="0.3">
      <c r="A8" s="11" t="s">
        <v>111</v>
      </c>
      <c r="B8" s="12">
        <v>83</v>
      </c>
      <c r="C8" s="8">
        <v>1675912.5</v>
      </c>
    </row>
    <row r="9" spans="1:3" x14ac:dyDescent="0.3">
      <c r="A9" s="11" t="s">
        <v>48</v>
      </c>
      <c r="B9" s="12">
        <v>91</v>
      </c>
      <c r="C9" s="8">
        <v>1628877.5</v>
      </c>
    </row>
    <row r="10" spans="1:3" x14ac:dyDescent="0.3">
      <c r="A10" s="11" t="s">
        <v>29</v>
      </c>
      <c r="B10" s="12">
        <v>75</v>
      </c>
      <c r="C10" s="8">
        <v>1188512.5</v>
      </c>
    </row>
    <row r="11" spans="1:3" x14ac:dyDescent="0.3">
      <c r="A11" s="11" t="s">
        <v>90</v>
      </c>
      <c r="B11" s="12">
        <v>96</v>
      </c>
      <c r="C11" s="8">
        <v>1345352.5</v>
      </c>
    </row>
    <row r="12" spans="1:3" x14ac:dyDescent="0.3">
      <c r="A12" s="11" t="s">
        <v>155</v>
      </c>
      <c r="B12" s="12">
        <v>73</v>
      </c>
      <c r="C12" s="8">
        <v>1598525</v>
      </c>
    </row>
    <row r="13" spans="1:3" x14ac:dyDescent="0.3">
      <c r="A13" s="11" t="s">
        <v>57</v>
      </c>
      <c r="B13" s="12">
        <v>85</v>
      </c>
      <c r="C13" s="8">
        <v>1636232.5</v>
      </c>
    </row>
    <row r="14" spans="1:3" x14ac:dyDescent="0.3">
      <c r="A14" s="11" t="s">
        <v>75</v>
      </c>
      <c r="B14" s="12">
        <v>83</v>
      </c>
      <c r="C14" s="8">
        <v>1467932.5</v>
      </c>
    </row>
    <row r="15" spans="1:3" x14ac:dyDescent="0.3">
      <c r="A15" s="11" t="s">
        <v>39</v>
      </c>
      <c r="B15" s="12">
        <v>91</v>
      </c>
      <c r="C15" s="8">
        <v>2021905</v>
      </c>
    </row>
    <row r="18" spans="2:3" x14ac:dyDescent="0.3">
      <c r="B18" s="10" t="s">
        <v>1146</v>
      </c>
      <c r="C18" t="s">
        <v>1149</v>
      </c>
    </row>
    <row r="19" spans="2:3" x14ac:dyDescent="0.3">
      <c r="B19" s="11" t="s">
        <v>30</v>
      </c>
      <c r="C19" s="8">
        <v>3284417.5</v>
      </c>
    </row>
    <row r="20" spans="2:3" x14ac:dyDescent="0.3">
      <c r="B20" s="11" t="s">
        <v>49</v>
      </c>
      <c r="C20" s="8">
        <v>2173412.5</v>
      </c>
    </row>
    <row r="21" spans="2:3" x14ac:dyDescent="0.3">
      <c r="B21" s="11" t="s">
        <v>86</v>
      </c>
      <c r="C21" s="8">
        <v>2720657.5</v>
      </c>
    </row>
    <row r="22" spans="2:3" x14ac:dyDescent="0.3">
      <c r="B22" s="11" t="s">
        <v>40</v>
      </c>
      <c r="C22" s="8">
        <v>3251390</v>
      </c>
    </row>
    <row r="23" spans="2:3" x14ac:dyDescent="0.3">
      <c r="B23" s="11" t="s">
        <v>67</v>
      </c>
      <c r="C23" s="8">
        <v>2528690</v>
      </c>
    </row>
    <row r="24" spans="2:3" x14ac:dyDescent="0.3">
      <c r="B24" s="11" t="s">
        <v>58</v>
      </c>
      <c r="C24" s="8">
        <v>2283895</v>
      </c>
    </row>
    <row r="25" spans="2:3" x14ac:dyDescent="0.3">
      <c r="B25" s="11" t="s">
        <v>71</v>
      </c>
      <c r="C25" s="8">
        <v>1672652.5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7C2B0-CC01-4E1D-A5E5-42C13DBE5412}">
  <dimension ref="A3:H10"/>
  <sheetViews>
    <sheetView workbookViewId="0">
      <selection activeCell="M22" sqref="M22"/>
    </sheetView>
  </sheetViews>
  <sheetFormatPr defaultRowHeight="14.4" x14ac:dyDescent="0.3"/>
  <cols>
    <col min="1" max="1" width="15.77734375" bestFit="1" customWidth="1"/>
    <col min="2" max="2" width="15.5546875" bestFit="1" customWidth="1"/>
    <col min="3" max="4" width="9.33203125" bestFit="1" customWidth="1"/>
    <col min="5" max="5" width="10.88671875" bestFit="1" customWidth="1"/>
    <col min="6" max="8" width="9.33203125" bestFit="1" customWidth="1"/>
    <col min="9" max="9" width="7" bestFit="1" customWidth="1"/>
    <col min="10" max="10" width="10.77734375" bestFit="1" customWidth="1"/>
  </cols>
  <sheetData>
    <row r="3" spans="1:8" x14ac:dyDescent="0.3">
      <c r="A3" s="10" t="s">
        <v>1149</v>
      </c>
      <c r="B3" s="10" t="s">
        <v>1156</v>
      </c>
    </row>
    <row r="4" spans="1:8" x14ac:dyDescent="0.3">
      <c r="A4" s="10" t="s">
        <v>1170</v>
      </c>
      <c r="B4" t="s">
        <v>30</v>
      </c>
      <c r="C4" t="s">
        <v>49</v>
      </c>
      <c r="D4" t="s">
        <v>86</v>
      </c>
      <c r="E4" t="s">
        <v>40</v>
      </c>
      <c r="F4" t="s">
        <v>67</v>
      </c>
      <c r="G4" t="s">
        <v>58</v>
      </c>
      <c r="H4" t="s">
        <v>71</v>
      </c>
    </row>
    <row r="5" spans="1:8" x14ac:dyDescent="0.3">
      <c r="A5" s="11" t="s">
        <v>1164</v>
      </c>
      <c r="B5" s="8">
        <v>747597.5</v>
      </c>
      <c r="C5" s="8">
        <v>371155</v>
      </c>
      <c r="D5" s="8">
        <v>513545</v>
      </c>
      <c r="E5" s="8">
        <v>557797.5</v>
      </c>
      <c r="F5" s="8">
        <v>476540</v>
      </c>
      <c r="G5" s="8">
        <v>376847.5</v>
      </c>
      <c r="H5" s="8">
        <v>335455</v>
      </c>
    </row>
    <row r="6" spans="1:8" x14ac:dyDescent="0.3">
      <c r="A6" s="11" t="s">
        <v>1165</v>
      </c>
      <c r="B6" s="8">
        <v>410805</v>
      </c>
      <c r="C6" s="8">
        <v>326875</v>
      </c>
      <c r="D6" s="8">
        <v>690080</v>
      </c>
      <c r="E6" s="8">
        <v>1086957.5</v>
      </c>
      <c r="F6" s="8">
        <v>541295</v>
      </c>
      <c r="G6" s="8">
        <v>513667.5</v>
      </c>
      <c r="H6" s="8">
        <v>164332.5</v>
      </c>
    </row>
    <row r="7" spans="1:8" x14ac:dyDescent="0.3">
      <c r="A7" s="11" t="s">
        <v>1166</v>
      </c>
      <c r="B7" s="8">
        <v>493687.5</v>
      </c>
      <c r="C7" s="8">
        <v>166425</v>
      </c>
      <c r="D7" s="8">
        <v>342207.5</v>
      </c>
      <c r="E7" s="8">
        <v>553837.5</v>
      </c>
      <c r="F7" s="8">
        <v>552715</v>
      </c>
      <c r="G7" s="8">
        <v>248450</v>
      </c>
      <c r="H7" s="8">
        <v>220222.5</v>
      </c>
    </row>
    <row r="8" spans="1:8" x14ac:dyDescent="0.3">
      <c r="A8" s="11" t="s">
        <v>1167</v>
      </c>
      <c r="B8" s="8">
        <v>489305</v>
      </c>
      <c r="C8" s="8">
        <v>595685</v>
      </c>
      <c r="D8" s="8">
        <v>278197.5</v>
      </c>
      <c r="E8" s="8">
        <v>549387.5</v>
      </c>
      <c r="F8" s="8">
        <v>383075</v>
      </c>
      <c r="G8" s="8">
        <v>546985</v>
      </c>
      <c r="H8" s="8">
        <v>377290</v>
      </c>
    </row>
    <row r="9" spans="1:8" x14ac:dyDescent="0.3">
      <c r="A9" s="11" t="s">
        <v>1168</v>
      </c>
      <c r="B9" s="8">
        <v>622117.5</v>
      </c>
      <c r="C9" s="8">
        <v>300092.5</v>
      </c>
      <c r="D9" s="8">
        <v>407230</v>
      </c>
      <c r="E9" s="8">
        <v>345602.5</v>
      </c>
      <c r="F9" s="8">
        <v>298012.5</v>
      </c>
      <c r="G9" s="8">
        <v>385767.5</v>
      </c>
      <c r="H9" s="8">
        <v>394222.5</v>
      </c>
    </row>
    <row r="10" spans="1:8" x14ac:dyDescent="0.3">
      <c r="A10" s="11" t="s">
        <v>1169</v>
      </c>
      <c r="B10" s="8">
        <v>520905</v>
      </c>
      <c r="C10" s="8">
        <v>413180</v>
      </c>
      <c r="D10" s="8">
        <v>489397.5</v>
      </c>
      <c r="E10" s="8">
        <v>157807.5</v>
      </c>
      <c r="F10" s="8">
        <v>277052.5</v>
      </c>
      <c r="G10" s="8">
        <v>212177.5</v>
      </c>
      <c r="H10" s="8">
        <v>181130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6FCAD-7962-4450-A9D8-931F6FB837B7}">
  <dimension ref="A2:C10"/>
  <sheetViews>
    <sheetView topLeftCell="MB1" workbookViewId="0">
      <selection activeCell="X13" sqref="X13"/>
    </sheetView>
  </sheetViews>
  <sheetFormatPr defaultRowHeight="14.4" x14ac:dyDescent="0.3"/>
  <cols>
    <col min="1" max="1" width="12.5546875" bestFit="1" customWidth="1"/>
    <col min="2" max="2" width="16.6640625" bestFit="1" customWidth="1"/>
    <col min="3" max="3" width="20.5546875" bestFit="1" customWidth="1"/>
    <col min="4" max="4" width="7.109375" bestFit="1" customWidth="1"/>
    <col min="5" max="5" width="8" bestFit="1" customWidth="1"/>
    <col min="6" max="6" width="5.44140625" bestFit="1" customWidth="1"/>
    <col min="7" max="7" width="6.6640625" bestFit="1" customWidth="1"/>
    <col min="8" max="11" width="2" bestFit="1" customWidth="1"/>
    <col min="12" max="12" width="20" bestFit="1" customWidth="1"/>
    <col min="13" max="15" width="3" bestFit="1" customWidth="1"/>
    <col min="16" max="21" width="2" bestFit="1" customWidth="1"/>
  </cols>
  <sheetData>
    <row r="2" spans="1:3" x14ac:dyDescent="0.3">
      <c r="A2" s="10" t="s">
        <v>1172</v>
      </c>
      <c r="B2" t="s">
        <v>1171</v>
      </c>
    </row>
    <row r="4" spans="1:3" x14ac:dyDescent="0.3">
      <c r="A4" s="10" t="s">
        <v>1146</v>
      </c>
      <c r="B4" t="s">
        <v>1173</v>
      </c>
      <c r="C4" t="s">
        <v>1174</v>
      </c>
    </row>
    <row r="5" spans="1:3" x14ac:dyDescent="0.3">
      <c r="A5" s="11" t="s">
        <v>120</v>
      </c>
      <c r="B5" s="12">
        <v>2149.96</v>
      </c>
      <c r="C5" s="12">
        <v>2</v>
      </c>
    </row>
    <row r="6" spans="1:3" x14ac:dyDescent="0.3">
      <c r="A6" s="11" t="s">
        <v>101</v>
      </c>
      <c r="B6" s="12">
        <v>793.77</v>
      </c>
      <c r="C6" s="12">
        <v>1</v>
      </c>
    </row>
    <row r="7" spans="1:3" x14ac:dyDescent="0.3">
      <c r="A7" s="11" t="s">
        <v>61</v>
      </c>
      <c r="B7" s="12">
        <v>839.92000000000007</v>
      </c>
      <c r="C7" s="12">
        <v>2</v>
      </c>
    </row>
    <row r="8" spans="1:3" x14ac:dyDescent="0.3">
      <c r="A8" s="11" t="s">
        <v>140</v>
      </c>
      <c r="B8" s="12">
        <v>160.88</v>
      </c>
      <c r="C8" s="12">
        <v>1</v>
      </c>
    </row>
    <row r="9" spans="1:3" x14ac:dyDescent="0.3">
      <c r="A9" s="11" t="s">
        <v>52</v>
      </c>
      <c r="B9" s="12">
        <v>1573.66</v>
      </c>
      <c r="C9" s="12">
        <v>1</v>
      </c>
    </row>
    <row r="10" spans="1:3" x14ac:dyDescent="0.3">
      <c r="A10" s="11" t="s">
        <v>153</v>
      </c>
      <c r="B10" s="12">
        <v>226.02</v>
      </c>
      <c r="C10" s="12">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FF337-5B14-4DCA-9419-352C99ADBAC3}">
  <dimension ref="A4:C11"/>
  <sheetViews>
    <sheetView workbookViewId="0">
      <selection activeCell="H22" sqref="H22"/>
    </sheetView>
  </sheetViews>
  <sheetFormatPr defaultRowHeight="14.4" x14ac:dyDescent="0.3"/>
  <cols>
    <col min="1" max="1" width="15.21875" bestFit="1" customWidth="1"/>
    <col min="2" max="2" width="16.44140625" bestFit="1" customWidth="1"/>
    <col min="3" max="3" width="15.77734375" bestFit="1" customWidth="1"/>
    <col min="4" max="4" width="4" bestFit="1" customWidth="1"/>
    <col min="5" max="5" width="2" bestFit="1" customWidth="1"/>
    <col min="6" max="6" width="4" bestFit="1" customWidth="1"/>
    <col min="7" max="7" width="2" bestFit="1" customWidth="1"/>
    <col min="8" max="8" width="7.77734375" bestFit="1" customWidth="1"/>
    <col min="9" max="9" width="9.77734375" bestFit="1" customWidth="1"/>
    <col min="10" max="10" width="2" bestFit="1" customWidth="1"/>
    <col min="11" max="11" width="9.77734375" bestFit="1" customWidth="1"/>
    <col min="12" max="12" width="11.44140625" bestFit="1" customWidth="1"/>
    <col min="13" max="13" width="2" bestFit="1" customWidth="1"/>
    <col min="14" max="14" width="4" bestFit="1" customWidth="1"/>
    <col min="15" max="15" width="2" bestFit="1" customWidth="1"/>
    <col min="16" max="16" width="4" bestFit="1" customWidth="1"/>
    <col min="17" max="17" width="2" bestFit="1" customWidth="1"/>
    <col min="18" max="18" width="9.44140625" bestFit="1" customWidth="1"/>
    <col min="19" max="19" width="14.21875" bestFit="1" customWidth="1"/>
    <col min="20" max="20" width="8.44140625" bestFit="1" customWidth="1"/>
    <col min="21" max="21" width="4" bestFit="1" customWidth="1"/>
    <col min="22" max="22" width="2" bestFit="1" customWidth="1"/>
    <col min="23" max="23" width="4" bestFit="1" customWidth="1"/>
    <col min="24" max="24" width="2" bestFit="1" customWidth="1"/>
    <col min="25" max="25" width="9.44140625" bestFit="1" customWidth="1"/>
    <col min="26" max="26" width="11.109375" bestFit="1" customWidth="1"/>
    <col min="27" max="27" width="7.44140625" bestFit="1" customWidth="1"/>
    <col min="28" max="28" width="2" bestFit="1" customWidth="1"/>
    <col min="29" max="29" width="4" bestFit="1" customWidth="1"/>
    <col min="30" max="30" width="2" bestFit="1" customWidth="1"/>
    <col min="31" max="31" width="4" bestFit="1" customWidth="1"/>
    <col min="32" max="32" width="2" bestFit="1" customWidth="1"/>
    <col min="33" max="33" width="9.44140625" bestFit="1" customWidth="1"/>
    <col min="34" max="34" width="10.109375" bestFit="1" customWidth="1"/>
    <col min="35" max="35" width="9.44140625" bestFit="1" customWidth="1"/>
    <col min="36" max="36" width="2" bestFit="1" customWidth="1"/>
    <col min="37" max="37" width="4" bestFit="1" customWidth="1"/>
    <col min="38" max="38" width="2" bestFit="1" customWidth="1"/>
    <col min="39" max="39" width="4" bestFit="1" customWidth="1"/>
    <col min="40" max="40" width="2" bestFit="1" customWidth="1"/>
    <col min="41" max="41" width="12.109375" bestFit="1" customWidth="1"/>
    <col min="42" max="42" width="9.77734375" bestFit="1" customWidth="1"/>
    <col min="43" max="43" width="2" bestFit="1" customWidth="1"/>
    <col min="44" max="44" width="4" bestFit="1" customWidth="1"/>
    <col min="45" max="45" width="2" bestFit="1" customWidth="1"/>
    <col min="46" max="46" width="4" bestFit="1" customWidth="1"/>
    <col min="47" max="47" width="2" bestFit="1" customWidth="1"/>
    <col min="48" max="48" width="12.44140625" bestFit="1" customWidth="1"/>
    <col min="49" max="49" width="11.77734375" bestFit="1" customWidth="1"/>
    <col min="50" max="50" width="2" bestFit="1" customWidth="1"/>
    <col min="51" max="51" width="4" bestFit="1" customWidth="1"/>
    <col min="52" max="52" width="2" bestFit="1" customWidth="1"/>
    <col min="53" max="53" width="4" bestFit="1" customWidth="1"/>
    <col min="54" max="54" width="2" bestFit="1" customWidth="1"/>
    <col min="55" max="55" width="9.44140625" bestFit="1" customWidth="1"/>
    <col min="56" max="56" width="14.5546875" bestFit="1" customWidth="1"/>
  </cols>
  <sheetData>
    <row r="4" spans="1:3" x14ac:dyDescent="0.3">
      <c r="A4" s="10" t="s">
        <v>1146</v>
      </c>
      <c r="B4" t="s">
        <v>1150</v>
      </c>
      <c r="C4" t="s">
        <v>1149</v>
      </c>
    </row>
    <row r="5" spans="1:3" x14ac:dyDescent="0.3">
      <c r="A5" s="11" t="s">
        <v>38</v>
      </c>
      <c r="B5" s="12">
        <v>184</v>
      </c>
      <c r="C5" s="12">
        <v>3200682.5</v>
      </c>
    </row>
    <row r="6" spans="1:3" x14ac:dyDescent="0.3">
      <c r="A6" s="11" t="s">
        <v>45</v>
      </c>
      <c r="B6" s="12">
        <v>160</v>
      </c>
      <c r="C6" s="12">
        <v>3167982.5</v>
      </c>
    </row>
    <row r="7" spans="1:3" x14ac:dyDescent="0.3">
      <c r="A7" s="11" t="s">
        <v>1138</v>
      </c>
      <c r="B7" s="12">
        <v>25</v>
      </c>
      <c r="C7" s="12">
        <v>528715</v>
      </c>
    </row>
    <row r="8" spans="1:3" x14ac:dyDescent="0.3">
      <c r="A8" s="11" t="s">
        <v>56</v>
      </c>
      <c r="B8" s="12">
        <v>150</v>
      </c>
      <c r="C8" s="12">
        <v>2388570</v>
      </c>
    </row>
    <row r="9" spans="1:3" x14ac:dyDescent="0.3">
      <c r="A9" s="11" t="s">
        <v>80</v>
      </c>
      <c r="B9" s="12">
        <v>161</v>
      </c>
      <c r="C9" s="12">
        <v>2965232.5</v>
      </c>
    </row>
    <row r="10" spans="1:3" x14ac:dyDescent="0.3">
      <c r="A10" s="11" t="s">
        <v>85</v>
      </c>
      <c r="B10" s="12">
        <v>129</v>
      </c>
      <c r="C10" s="12">
        <v>2328382.5</v>
      </c>
    </row>
    <row r="11" spans="1:3" x14ac:dyDescent="0.3">
      <c r="A11" s="11" t="s">
        <v>64</v>
      </c>
      <c r="B11" s="12">
        <v>191</v>
      </c>
      <c r="C11" s="12">
        <v>3335550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C6330-617E-4E27-BDA4-C9F38732C2F4}">
  <dimension ref="A3:E13"/>
  <sheetViews>
    <sheetView workbookViewId="0">
      <selection activeCell="M15" sqref="M15"/>
    </sheetView>
  </sheetViews>
  <sheetFormatPr defaultRowHeight="14.4" x14ac:dyDescent="0.3"/>
  <cols>
    <col min="1" max="1" width="16.44140625" bestFit="1" customWidth="1"/>
    <col min="2" max="2" width="15.5546875" bestFit="1" customWidth="1"/>
    <col min="3" max="3" width="4.88671875" bestFit="1" customWidth="1"/>
    <col min="4" max="4" width="7.6640625" bestFit="1" customWidth="1"/>
    <col min="5" max="5" width="7" bestFit="1" customWidth="1"/>
    <col min="6" max="6" width="10.77734375" bestFit="1" customWidth="1"/>
  </cols>
  <sheetData>
    <row r="3" spans="1:5" x14ac:dyDescent="0.3">
      <c r="A3" s="10" t="s">
        <v>1150</v>
      </c>
      <c r="B3" s="10" t="s">
        <v>1156</v>
      </c>
    </row>
    <row r="4" spans="1:5" x14ac:dyDescent="0.3">
      <c r="A4" s="10" t="s">
        <v>1146</v>
      </c>
      <c r="B4" t="s">
        <v>96</v>
      </c>
      <c r="C4" t="s">
        <v>51</v>
      </c>
      <c r="D4" t="s">
        <v>24</v>
      </c>
      <c r="E4" t="s">
        <v>1147</v>
      </c>
    </row>
    <row r="5" spans="1:5" x14ac:dyDescent="0.3">
      <c r="A5" s="11" t="s">
        <v>32</v>
      </c>
      <c r="B5" s="12">
        <v>26</v>
      </c>
      <c r="C5" s="12">
        <v>28</v>
      </c>
      <c r="D5" s="12">
        <v>81</v>
      </c>
      <c r="E5" s="12"/>
    </row>
    <row r="6" spans="1:5" x14ac:dyDescent="0.3">
      <c r="A6" s="11" t="s">
        <v>69</v>
      </c>
      <c r="B6" s="12">
        <v>19</v>
      </c>
      <c r="C6" s="12">
        <v>22</v>
      </c>
      <c r="D6" s="12">
        <v>90</v>
      </c>
      <c r="E6" s="12"/>
    </row>
    <row r="7" spans="1:5" x14ac:dyDescent="0.3">
      <c r="A7" s="11" t="s">
        <v>622</v>
      </c>
      <c r="B7" s="12">
        <v>16</v>
      </c>
      <c r="C7" s="12">
        <v>35</v>
      </c>
      <c r="D7" s="12">
        <v>112</v>
      </c>
      <c r="E7" s="12"/>
    </row>
    <row r="8" spans="1:5" x14ac:dyDescent="0.3">
      <c r="A8" s="11" t="s">
        <v>23</v>
      </c>
      <c r="B8" s="12">
        <v>23</v>
      </c>
      <c r="C8" s="12">
        <v>38</v>
      </c>
      <c r="D8" s="12">
        <v>67</v>
      </c>
      <c r="E8" s="12"/>
    </row>
    <row r="9" spans="1:5" x14ac:dyDescent="0.3">
      <c r="A9" s="11" t="s">
        <v>108</v>
      </c>
      <c r="B9" s="12">
        <v>18</v>
      </c>
      <c r="C9" s="12">
        <v>30</v>
      </c>
      <c r="D9" s="12">
        <v>92</v>
      </c>
      <c r="E9" s="12"/>
    </row>
    <row r="10" spans="1:5" x14ac:dyDescent="0.3">
      <c r="A10" s="11" t="s">
        <v>77</v>
      </c>
      <c r="B10" s="12">
        <v>23</v>
      </c>
      <c r="C10" s="12">
        <v>38</v>
      </c>
      <c r="D10" s="12">
        <v>82</v>
      </c>
      <c r="E10" s="12"/>
    </row>
    <row r="11" spans="1:5" x14ac:dyDescent="0.3">
      <c r="A11" s="11" t="s">
        <v>60</v>
      </c>
      <c r="B11" s="12">
        <v>19</v>
      </c>
      <c r="C11" s="12">
        <v>39</v>
      </c>
      <c r="D11" s="12">
        <v>91</v>
      </c>
      <c r="E11" s="12"/>
    </row>
    <row r="12" spans="1:5" x14ac:dyDescent="0.3">
      <c r="A12" s="11" t="s">
        <v>157</v>
      </c>
      <c r="B12" s="12">
        <v>1</v>
      </c>
      <c r="C12" s="12">
        <v>3</v>
      </c>
      <c r="D12" s="12">
        <v>7</v>
      </c>
      <c r="E12" s="12"/>
    </row>
    <row r="13" spans="1:5" x14ac:dyDescent="0.3">
      <c r="A13" s="11" t="s">
        <v>1147</v>
      </c>
      <c r="B13" s="12"/>
      <c r="C13" s="12"/>
      <c r="D13" s="12"/>
      <c r="E13" s="1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90E02-DF07-4748-AC60-E60122DE9EA0}">
  <dimension ref="A2:AN97"/>
  <sheetViews>
    <sheetView showGridLines="0" tabSelected="1" zoomScale="24" zoomScaleNormal="49" workbookViewId="0">
      <selection activeCell="AT62" sqref="AT62"/>
    </sheetView>
  </sheetViews>
  <sheetFormatPr defaultRowHeight="14.4" x14ac:dyDescent="0.3"/>
  <cols>
    <col min="3" max="3" width="10.21875" customWidth="1"/>
    <col min="13" max="13" width="10.5546875" customWidth="1"/>
    <col min="15" max="15" width="13.88671875" customWidth="1"/>
    <col min="18" max="18" width="12.109375" customWidth="1"/>
  </cols>
  <sheetData>
    <row r="2" spans="1:40" ht="61.2" x14ac:dyDescent="0.3">
      <c r="A2" s="13" t="s">
        <v>1154</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row>
    <row r="3" spans="1:40"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row>
    <row r="4" spans="1:40" ht="19.8" customHeight="1" x14ac:dyDescent="0.55000000000000004">
      <c r="A4" s="9"/>
      <c r="B4" s="14" t="s">
        <v>1140</v>
      </c>
      <c r="C4" s="14"/>
      <c r="D4" s="14"/>
      <c r="E4" s="15"/>
      <c r="F4" s="22" t="s">
        <v>1141</v>
      </c>
      <c r="G4" s="22"/>
      <c r="H4" s="22"/>
      <c r="I4" s="15"/>
      <c r="J4" s="14" t="s">
        <v>1142</v>
      </c>
      <c r="K4" s="14"/>
      <c r="L4" s="14"/>
      <c r="M4" s="16"/>
      <c r="N4" s="17"/>
      <c r="O4" s="18" t="s">
        <v>1143</v>
      </c>
      <c r="P4" s="18"/>
      <c r="Q4" s="15"/>
      <c r="R4" s="22" t="s">
        <v>1144</v>
      </c>
      <c r="S4" s="22"/>
      <c r="T4" s="22"/>
      <c r="U4" s="22"/>
      <c r="V4" s="22"/>
      <c r="W4" s="22"/>
      <c r="X4" s="9"/>
      <c r="Y4" s="22" t="s">
        <v>1145</v>
      </c>
      <c r="Z4" s="22"/>
      <c r="AA4" s="22"/>
      <c r="AB4" s="22"/>
      <c r="AC4" s="22"/>
      <c r="AD4" s="22"/>
      <c r="AE4" s="9"/>
      <c r="AF4" s="9"/>
      <c r="AG4" s="9"/>
      <c r="AH4" s="9"/>
      <c r="AI4" s="9"/>
      <c r="AJ4" s="9"/>
      <c r="AK4" s="9"/>
      <c r="AL4" s="9"/>
      <c r="AM4" s="9"/>
      <c r="AN4" s="9"/>
    </row>
    <row r="5" spans="1:40" ht="28.8" x14ac:dyDescent="0.55000000000000004">
      <c r="A5" s="9"/>
      <c r="B5" s="19">
        <f>SUM(Table1[Net_Sales])</f>
        <v>17915115</v>
      </c>
      <c r="C5" s="19"/>
      <c r="D5" s="19"/>
      <c r="E5" s="15"/>
      <c r="F5" s="19">
        <f>SUM(Table1[Profit])</f>
        <v>4804980.820000005</v>
      </c>
      <c r="G5" s="19"/>
      <c r="H5" s="19"/>
      <c r="I5" s="15"/>
      <c r="J5" s="20">
        <f>COUNTA(Table1[Order_ID])</f>
        <v>1000</v>
      </c>
      <c r="K5" s="20"/>
      <c r="L5" s="20"/>
      <c r="M5" s="15"/>
      <c r="N5" s="20">
        <f>SUM(Table1[Quantity])</f>
        <v>1596</v>
      </c>
      <c r="O5" s="20"/>
      <c r="P5" s="20"/>
      <c r="Q5" s="15"/>
      <c r="R5" s="19">
        <f>SUM(Table1[Net_Sales])/COUNTA(Table1[Order_ID])</f>
        <v>17915.115000000002</v>
      </c>
      <c r="S5" s="19"/>
      <c r="T5" s="19"/>
      <c r="U5" s="19"/>
      <c r="V5" s="19"/>
      <c r="W5" s="19"/>
      <c r="X5" s="9"/>
      <c r="Y5" s="21">
        <f>(F5/B5)*100</f>
        <v>26.820820407795342</v>
      </c>
      <c r="Z5" s="21"/>
      <c r="AA5" s="21"/>
      <c r="AB5" s="21"/>
      <c r="AC5" s="21"/>
      <c r="AD5" s="21"/>
      <c r="AE5" s="9"/>
      <c r="AF5" s="9"/>
      <c r="AG5" s="9"/>
      <c r="AH5" s="9"/>
      <c r="AI5" s="9"/>
      <c r="AJ5" s="9"/>
      <c r="AK5" s="9"/>
      <c r="AL5" s="9"/>
      <c r="AM5" s="9"/>
      <c r="AN5" s="9"/>
    </row>
    <row r="6" spans="1:40" ht="28.8" x14ac:dyDescent="0.55000000000000004">
      <c r="A6" s="9"/>
      <c r="B6" s="19"/>
      <c r="C6" s="19"/>
      <c r="D6" s="19"/>
      <c r="E6" s="15"/>
      <c r="F6" s="19"/>
      <c r="G6" s="19"/>
      <c r="H6" s="19"/>
      <c r="I6" s="15"/>
      <c r="J6" s="20"/>
      <c r="K6" s="20"/>
      <c r="L6" s="20"/>
      <c r="M6" s="15"/>
      <c r="N6" s="20"/>
      <c r="O6" s="20"/>
      <c r="P6" s="20"/>
      <c r="Q6" s="15"/>
      <c r="R6" s="19"/>
      <c r="S6" s="19"/>
      <c r="T6" s="19"/>
      <c r="U6" s="19"/>
      <c r="V6" s="19"/>
      <c r="W6" s="19"/>
      <c r="X6" s="9"/>
      <c r="Y6" s="21"/>
      <c r="Z6" s="21"/>
      <c r="AA6" s="21"/>
      <c r="AB6" s="21"/>
      <c r="AC6" s="21"/>
      <c r="AD6" s="21"/>
      <c r="AE6" s="9"/>
      <c r="AF6" s="9"/>
      <c r="AG6" s="9"/>
      <c r="AH6" s="9"/>
      <c r="AI6" s="9"/>
      <c r="AJ6" s="9"/>
      <c r="AK6" s="9"/>
      <c r="AL6" s="9"/>
      <c r="AM6" s="9"/>
      <c r="AN6" s="9"/>
    </row>
    <row r="7" spans="1:40"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row>
    <row r="8" spans="1:40"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row>
    <row r="9" spans="1:40"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row>
    <row r="10" spans="1:40"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row>
    <row r="11" spans="1:40"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row>
    <row r="12" spans="1:40"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row>
    <row r="13" spans="1:40"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row>
    <row r="14" spans="1:40"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row>
    <row r="15" spans="1:40"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row>
    <row r="17" spans="1:40"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row>
    <row r="19" spans="1:40"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row>
    <row r="20" spans="1:40"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row>
    <row r="21" spans="1:40"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row>
    <row r="22" spans="1:40"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row>
    <row r="23" spans="1:40"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row>
    <row r="24" spans="1:40"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row>
    <row r="25" spans="1:40"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row>
    <row r="26" spans="1:40"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row>
    <row r="27" spans="1:40"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row>
    <row r="28" spans="1:40"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row>
    <row r="29" spans="1:40"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row>
    <row r="30" spans="1:40"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row>
    <row r="31" spans="1:40"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row>
    <row r="32" spans="1:40"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row>
    <row r="33" spans="1:40"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row>
    <row r="34" spans="1:40"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row>
    <row r="35" spans="1:40"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row>
    <row r="36" spans="1:40"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row>
    <row r="37" spans="1:40"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row>
    <row r="38" spans="1:40"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row>
    <row r="39" spans="1:40" x14ac:dyDescent="0.3">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row>
    <row r="40" spans="1:40" x14ac:dyDescent="0.3">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row>
    <row r="41" spans="1:40" x14ac:dyDescent="0.3">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row>
    <row r="42" spans="1:40" x14ac:dyDescent="0.3">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row>
    <row r="43" spans="1:40" x14ac:dyDescent="0.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row>
    <row r="44" spans="1:40"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row>
    <row r="45" spans="1:40" x14ac:dyDescent="0.3">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row>
    <row r="46" spans="1:40" x14ac:dyDescent="0.3">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row>
    <row r="47" spans="1:40" x14ac:dyDescent="0.3">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row>
    <row r="48" spans="1:40" x14ac:dyDescent="0.3">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row>
    <row r="49" spans="1:40" x14ac:dyDescent="0.3">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row>
    <row r="50" spans="1:40" x14ac:dyDescent="0.3">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row>
    <row r="51" spans="1:40" x14ac:dyDescent="0.3">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row>
    <row r="52" spans="1:40" x14ac:dyDescent="0.3">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row>
    <row r="53" spans="1:40"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row>
    <row r="54" spans="1:40"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row>
    <row r="55" spans="1:40"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row>
    <row r="56" spans="1:40"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row>
    <row r="57" spans="1:40"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row>
    <row r="58" spans="1:40"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row>
    <row r="59" spans="1:40"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row>
    <row r="60" spans="1:40"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row>
    <row r="61" spans="1:40"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row>
    <row r="62" spans="1:40"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row>
    <row r="63" spans="1:40" x14ac:dyDescent="0.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row>
    <row r="64" spans="1:40" x14ac:dyDescent="0.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row>
    <row r="65" spans="1:40" x14ac:dyDescent="0.3">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row>
    <row r="66" spans="1:40" x14ac:dyDescent="0.3">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row>
    <row r="67" spans="1:40" x14ac:dyDescent="0.3">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row>
    <row r="68" spans="1:40" x14ac:dyDescent="0.3">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row>
    <row r="69" spans="1:40" x14ac:dyDescent="0.3">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row>
    <row r="70" spans="1:40" x14ac:dyDescent="0.3">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row>
    <row r="71" spans="1:40" x14ac:dyDescent="0.3">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row>
    <row r="72" spans="1:40" x14ac:dyDescent="0.3">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row>
    <row r="73" spans="1:40" x14ac:dyDescent="0.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row>
    <row r="74" spans="1:40" x14ac:dyDescent="0.3">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row>
    <row r="75" spans="1:40" x14ac:dyDescent="0.3">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row>
    <row r="76" spans="1:40" x14ac:dyDescent="0.3">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row>
    <row r="77" spans="1:40" x14ac:dyDescent="0.3">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row>
    <row r="78" spans="1:40" x14ac:dyDescent="0.3">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row>
    <row r="79" spans="1:40" x14ac:dyDescent="0.3">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row>
    <row r="80" spans="1:40" x14ac:dyDescent="0.3">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row>
    <row r="81" spans="1:40" x14ac:dyDescent="0.3">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row>
    <row r="82" spans="1:40" x14ac:dyDescent="0.3">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row>
    <row r="83" spans="1:40" x14ac:dyDescent="0.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row>
    <row r="84" spans="1:40" x14ac:dyDescent="0.3">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row>
    <row r="85" spans="1:40" x14ac:dyDescent="0.3">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row>
    <row r="86" spans="1:40" x14ac:dyDescent="0.3">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row>
    <row r="87" spans="1:40" x14ac:dyDescent="0.3">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row>
    <row r="88" spans="1:40" x14ac:dyDescent="0.3">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row>
    <row r="89" spans="1:40" x14ac:dyDescent="0.3">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row>
    <row r="90" spans="1:40" x14ac:dyDescent="0.3">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row>
    <row r="91" spans="1:40" x14ac:dyDescent="0.3">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row>
    <row r="92" spans="1:40" x14ac:dyDescent="0.3">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row>
    <row r="93" spans="1:40" x14ac:dyDescent="0.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row>
    <row r="94" spans="1:40" x14ac:dyDescent="0.3">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row>
    <row r="95" spans="1:40" x14ac:dyDescent="0.3">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row>
    <row r="96" spans="1:40" x14ac:dyDescent="0.3">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row>
    <row r="97" spans="1:40" x14ac:dyDescent="0.3">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row>
  </sheetData>
  <mergeCells count="12">
    <mergeCell ref="A2:AN2"/>
    <mergeCell ref="B4:D4"/>
    <mergeCell ref="B5:D6"/>
    <mergeCell ref="F5:H6"/>
    <mergeCell ref="J4:L4"/>
    <mergeCell ref="J5:L6"/>
    <mergeCell ref="N5:P6"/>
    <mergeCell ref="R4:W4"/>
    <mergeCell ref="R5:W6"/>
    <mergeCell ref="Y4:AD4"/>
    <mergeCell ref="Y5:AD6"/>
    <mergeCell ref="F4:H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Raw_Data</vt:lpstr>
      <vt:lpstr>Sales by Category</vt:lpstr>
      <vt:lpstr>Top 5 performing Brands</vt:lpstr>
      <vt:lpstr>Top 5 Selling products</vt:lpstr>
      <vt:lpstr>Best Performing cities</vt:lpstr>
      <vt:lpstr>Ocassion driving sales</vt:lpstr>
      <vt:lpstr>Profit generating Channel</vt:lpstr>
      <vt:lpstr>Discount VS Sales</vt:lpstr>
      <vt:lpstr>Month wise Sales</vt:lpstr>
      <vt:lpstr>Peak hours</vt:lpstr>
      <vt:lpstr>Loss Transactions</vt:lpstr>
      <vt:lpstr>Sales by customer Aquisition </vt:lpstr>
      <vt:lpstr>Gender  - City Wise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Archana Bhoi</cp:lastModifiedBy>
  <dcterms:created xsi:type="dcterms:W3CDTF">2026-09-30T16:47:42Z</dcterms:created>
  <dcterms:modified xsi:type="dcterms:W3CDTF">2026-10-03T06:41:51Z</dcterms:modified>
</cp:coreProperties>
</file>